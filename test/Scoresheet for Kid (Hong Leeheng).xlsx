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O-P-E-R-A-T-I-O-N\KID PROGRAM\2026 Term I (Feb-Jul.2026)\Score sheet &amp; Progress report (Kid)\Scoresheet &amp; Progress report (Hong Leeheng)\"/>
    </mc:Choice>
  </mc:AlternateContent>
  <xr:revisionPtr revIDLastSave="0" documentId="13_ncr:1_{FA8D8B22-DBB8-44A5-AA31-3C716EF6AAA1}" xr6:coauthVersionLast="47" xr6:coauthVersionMax="47" xr10:uidLastSave="{00000000-0000-0000-0000-000000000000}"/>
  <bookViews>
    <workbookView xWindow="45" yWindow="135" windowWidth="15945" windowHeight="14715" tabRatio="827" activeTab="4" xr2:uid="{00000000-000D-0000-FFFF-FFFF00000000}"/>
  </bookViews>
  <sheets>
    <sheet name="Guide" sheetId="1" r:id="rId1"/>
    <sheet name="How to record the scores" sheetId="9" r:id="rId2"/>
    <sheet name="(1).Classes" sheetId="2" r:id="rId3"/>
    <sheet name="(2).Midterm Daily" sheetId="3" r:id="rId4"/>
    <sheet name="(3).Midterm Exam" sheetId="4" r:id="rId5"/>
    <sheet name="(4).Midterm Results" sheetId="5" r:id="rId6"/>
    <sheet name="Individual Midterm Result" sheetId="10" r:id="rId7"/>
    <sheet name="(5).Promotion Daily" sheetId="6" r:id="rId8"/>
    <sheet name="(6).Promotion Exam" sheetId="7" r:id="rId9"/>
    <sheet name="(7).Promotion Results" sheetId="8" r:id="rId10"/>
  </sheets>
  <definedNames>
    <definedName name="_xlnm._FilterDatabase" localSheetId="3" hidden="1">'(2).Midterm Daily'!$D$7:$AG$36</definedName>
    <definedName name="_xlnm._FilterDatabase" localSheetId="4" hidden="1">'(3).Midterm Exam'!$D$7:$M$36</definedName>
    <definedName name="_xlnm._FilterDatabase" localSheetId="5" hidden="1">'(4).Midterm Results'!$E$7:$N$36</definedName>
    <definedName name="_xlnm._FilterDatabase" localSheetId="7" hidden="1">'(5).Promotion Daily'!$D$6:$AG$35</definedName>
    <definedName name="_xlnm._FilterDatabase" localSheetId="8" hidden="1">'(6).Promotion Exam'!$D$7:$M$36</definedName>
    <definedName name="_xlnm._FilterDatabase" localSheetId="9" hidden="1">'(7).Promotion Results'!#REF!</definedName>
    <definedName name="_xlnm._FilterDatabase" localSheetId="1" hidden="1">'How to record the scores'!#REF!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M185" i="7"/>
  <c r="L185" i="7"/>
  <c r="K185" i="7"/>
  <c r="J185" i="7"/>
  <c r="I185" i="7"/>
  <c r="H185" i="7"/>
  <c r="G185" i="7"/>
  <c r="F185" i="7"/>
  <c r="E185" i="7"/>
  <c r="D185" i="7"/>
  <c r="M149" i="7"/>
  <c r="L149" i="7"/>
  <c r="K149" i="7"/>
  <c r="J149" i="7"/>
  <c r="I149" i="7"/>
  <c r="H149" i="7"/>
  <c r="G149" i="7"/>
  <c r="F149" i="7"/>
  <c r="E149" i="7"/>
  <c r="D149" i="7"/>
  <c r="M113" i="7"/>
  <c r="L113" i="7"/>
  <c r="K113" i="7"/>
  <c r="J113" i="7"/>
  <c r="I113" i="7"/>
  <c r="H113" i="7"/>
  <c r="G113" i="7"/>
  <c r="F113" i="7"/>
  <c r="E113" i="7"/>
  <c r="D113" i="7"/>
  <c r="M77" i="7"/>
  <c r="L77" i="7"/>
  <c r="K77" i="7"/>
  <c r="J77" i="7"/>
  <c r="I77" i="7"/>
  <c r="H77" i="7"/>
  <c r="G77" i="7"/>
  <c r="F77" i="7"/>
  <c r="E77" i="7"/>
  <c r="D77" i="7"/>
  <c r="M41" i="7"/>
  <c r="L41" i="7"/>
  <c r="K41" i="7"/>
  <c r="J41" i="7"/>
  <c r="I41" i="7"/>
  <c r="H41" i="7"/>
  <c r="G41" i="7"/>
  <c r="F41" i="7"/>
  <c r="E41" i="7"/>
  <c r="D41" i="7"/>
  <c r="N185" i="5"/>
  <c r="M185" i="5"/>
  <c r="L185" i="5"/>
  <c r="K185" i="5"/>
  <c r="J185" i="5"/>
  <c r="I185" i="5"/>
  <c r="P185" i="10" s="1"/>
  <c r="H185" i="5"/>
  <c r="O185" i="10" s="1"/>
  <c r="G185" i="5"/>
  <c r="N185" i="10" s="1"/>
  <c r="F185" i="5"/>
  <c r="E185" i="5"/>
  <c r="N149" i="5"/>
  <c r="M149" i="5"/>
  <c r="L149" i="5"/>
  <c r="K149" i="5"/>
  <c r="J149" i="5"/>
  <c r="I149" i="5"/>
  <c r="P149" i="10" s="1"/>
  <c r="H149" i="5"/>
  <c r="O149" i="10" s="1"/>
  <c r="G149" i="5"/>
  <c r="N149" i="10" s="1"/>
  <c r="F149" i="5"/>
  <c r="E149" i="5"/>
  <c r="N113" i="5"/>
  <c r="M113" i="5"/>
  <c r="L113" i="5"/>
  <c r="K113" i="5"/>
  <c r="J113" i="5"/>
  <c r="I113" i="5"/>
  <c r="H113" i="5"/>
  <c r="G113" i="5"/>
  <c r="F113" i="5"/>
  <c r="E113" i="5"/>
  <c r="N77" i="5"/>
  <c r="M77" i="5"/>
  <c r="L77" i="5"/>
  <c r="K77" i="5"/>
  <c r="J77" i="5"/>
  <c r="I77" i="5"/>
  <c r="H77" i="5"/>
  <c r="O77" i="10" s="1"/>
  <c r="G77" i="5"/>
  <c r="F77" i="5"/>
  <c r="E77" i="5"/>
  <c r="N41" i="5"/>
  <c r="M41" i="5"/>
  <c r="L41" i="5"/>
  <c r="K41" i="5"/>
  <c r="R41" i="10" s="1"/>
  <c r="J41" i="5"/>
  <c r="Q41" i="10" s="1"/>
  <c r="I41" i="5"/>
  <c r="P41" i="10" s="1"/>
  <c r="H41" i="5"/>
  <c r="G41" i="5"/>
  <c r="F41" i="5"/>
  <c r="E41" i="5"/>
  <c r="M185" i="4"/>
  <c r="L185" i="4"/>
  <c r="K185" i="4"/>
  <c r="J185" i="4"/>
  <c r="I185" i="4"/>
  <c r="H185" i="4"/>
  <c r="G185" i="4"/>
  <c r="F185" i="4"/>
  <c r="E185" i="4"/>
  <c r="D185" i="4"/>
  <c r="M149" i="4"/>
  <c r="L149" i="4"/>
  <c r="K149" i="4"/>
  <c r="J149" i="4"/>
  <c r="I149" i="4"/>
  <c r="H149" i="4"/>
  <c r="G149" i="4"/>
  <c r="F149" i="4"/>
  <c r="E149" i="4"/>
  <c r="D149" i="4"/>
  <c r="M113" i="4"/>
  <c r="L113" i="4"/>
  <c r="K113" i="4"/>
  <c r="J113" i="4"/>
  <c r="I113" i="4"/>
  <c r="H113" i="4"/>
  <c r="G113" i="4"/>
  <c r="F113" i="4"/>
  <c r="E113" i="4"/>
  <c r="D113" i="4"/>
  <c r="M77" i="4"/>
  <c r="L77" i="4"/>
  <c r="K77" i="4"/>
  <c r="J77" i="4"/>
  <c r="I77" i="4"/>
  <c r="H77" i="4"/>
  <c r="G77" i="4"/>
  <c r="F77" i="4"/>
  <c r="E77" i="4"/>
  <c r="D77" i="4"/>
  <c r="M41" i="4"/>
  <c r="L41" i="4"/>
  <c r="K41" i="4"/>
  <c r="J41" i="4"/>
  <c r="I41" i="4"/>
  <c r="H41" i="4"/>
  <c r="G41" i="4"/>
  <c r="F41" i="4"/>
  <c r="E41" i="4"/>
  <c r="D41" i="4"/>
  <c r="AE185" i="3"/>
  <c r="Y185" i="3"/>
  <c r="V185" i="3"/>
  <c r="S185" i="3"/>
  <c r="P185" i="3"/>
  <c r="M185" i="3"/>
  <c r="J185" i="3"/>
  <c r="G185" i="3"/>
  <c r="D185" i="3"/>
  <c r="AE149" i="3"/>
  <c r="Y149" i="3"/>
  <c r="V149" i="3"/>
  <c r="S149" i="3"/>
  <c r="P149" i="3"/>
  <c r="M149" i="3"/>
  <c r="J149" i="3"/>
  <c r="G149" i="3"/>
  <c r="D149" i="3"/>
  <c r="AE113" i="3"/>
  <c r="Y113" i="3"/>
  <c r="V113" i="3"/>
  <c r="S113" i="3"/>
  <c r="P113" i="3"/>
  <c r="M113" i="3"/>
  <c r="J113" i="3"/>
  <c r="G113" i="3"/>
  <c r="D113" i="3"/>
  <c r="AE77" i="3"/>
  <c r="Y77" i="3"/>
  <c r="V77" i="3"/>
  <c r="S77" i="3"/>
  <c r="P77" i="3"/>
  <c r="M77" i="3"/>
  <c r="J77" i="3"/>
  <c r="G77" i="3"/>
  <c r="D77" i="3"/>
  <c r="AE41" i="3"/>
  <c r="Y41" i="3"/>
  <c r="V41" i="3"/>
  <c r="S41" i="3"/>
  <c r="P41" i="3"/>
  <c r="M41" i="3"/>
  <c r="J41" i="3"/>
  <c r="G41" i="3"/>
  <c r="D41" i="3"/>
  <c r="F1400" i="10"/>
  <c r="F1401" i="10"/>
  <c r="F1402" i="10"/>
  <c r="F1403" i="10"/>
  <c r="F1404" i="10"/>
  <c r="F1405" i="10"/>
  <c r="F1406" i="10"/>
  <c r="F1407" i="10"/>
  <c r="F1408" i="10"/>
  <c r="F1409" i="10"/>
  <c r="F1410" i="10"/>
  <c r="F1399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82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65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48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31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14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297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80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63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46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29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12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195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78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16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33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50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67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61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44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27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10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093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76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59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42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25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08" i="10"/>
  <c r="F992" i="10"/>
  <c r="F993" i="10"/>
  <c r="F994" i="10"/>
  <c r="F995" i="10"/>
  <c r="F996" i="10"/>
  <c r="F997" i="10"/>
  <c r="F998" i="10"/>
  <c r="F999" i="10"/>
  <c r="F1000" i="10"/>
  <c r="F1001" i="10"/>
  <c r="F1002" i="10"/>
  <c r="F991" i="10"/>
  <c r="F975" i="10"/>
  <c r="F976" i="10"/>
  <c r="F977" i="10"/>
  <c r="F978" i="10"/>
  <c r="F979" i="10"/>
  <c r="F980" i="10"/>
  <c r="F981" i="10"/>
  <c r="F982" i="10"/>
  <c r="F983" i="10"/>
  <c r="F984" i="10"/>
  <c r="F985" i="10"/>
  <c r="F974" i="10"/>
  <c r="F958" i="10"/>
  <c r="F959" i="10"/>
  <c r="F960" i="10"/>
  <c r="F961" i="10"/>
  <c r="F962" i="10"/>
  <c r="F963" i="10"/>
  <c r="F964" i="10"/>
  <c r="F965" i="10"/>
  <c r="F966" i="10"/>
  <c r="F967" i="10"/>
  <c r="F968" i="10"/>
  <c r="F957" i="10"/>
  <c r="F941" i="10"/>
  <c r="F942" i="10"/>
  <c r="F943" i="10"/>
  <c r="F944" i="10"/>
  <c r="F945" i="10"/>
  <c r="F946" i="10"/>
  <c r="F947" i="10"/>
  <c r="F948" i="10"/>
  <c r="F949" i="10"/>
  <c r="F950" i="10"/>
  <c r="F951" i="10"/>
  <c r="F940" i="10"/>
  <c r="F924" i="10"/>
  <c r="F925" i="10"/>
  <c r="F926" i="10"/>
  <c r="F927" i="10"/>
  <c r="F928" i="10"/>
  <c r="F929" i="10"/>
  <c r="F930" i="10"/>
  <c r="F931" i="10"/>
  <c r="F932" i="10"/>
  <c r="F933" i="10"/>
  <c r="F934" i="10"/>
  <c r="F923" i="10"/>
  <c r="F907" i="10"/>
  <c r="F908" i="10"/>
  <c r="F909" i="10"/>
  <c r="F910" i="10"/>
  <c r="F911" i="10"/>
  <c r="F912" i="10"/>
  <c r="F913" i="10"/>
  <c r="F914" i="10"/>
  <c r="F915" i="10"/>
  <c r="F916" i="10"/>
  <c r="F917" i="10"/>
  <c r="F906" i="10"/>
  <c r="F890" i="10"/>
  <c r="F891" i="10"/>
  <c r="F892" i="10"/>
  <c r="F893" i="10"/>
  <c r="F894" i="10"/>
  <c r="F895" i="10"/>
  <c r="F896" i="10"/>
  <c r="F897" i="10"/>
  <c r="F898" i="10"/>
  <c r="F899" i="10"/>
  <c r="F900" i="10"/>
  <c r="F889" i="10"/>
  <c r="F873" i="10"/>
  <c r="F874" i="10"/>
  <c r="F875" i="10"/>
  <c r="F876" i="10"/>
  <c r="F877" i="10"/>
  <c r="F878" i="10"/>
  <c r="F879" i="10"/>
  <c r="F880" i="10"/>
  <c r="F881" i="10"/>
  <c r="F882" i="10"/>
  <c r="F883" i="10"/>
  <c r="F872" i="10"/>
  <c r="F856" i="10"/>
  <c r="F857" i="10"/>
  <c r="F858" i="10"/>
  <c r="F859" i="10"/>
  <c r="F860" i="10"/>
  <c r="F861" i="10"/>
  <c r="F862" i="10"/>
  <c r="F863" i="10"/>
  <c r="F864" i="10"/>
  <c r="F865" i="10"/>
  <c r="F866" i="10"/>
  <c r="F855" i="10"/>
  <c r="F839" i="10"/>
  <c r="F840" i="10"/>
  <c r="F841" i="10"/>
  <c r="F842" i="10"/>
  <c r="F843" i="10"/>
  <c r="F844" i="10"/>
  <c r="F845" i="10"/>
  <c r="F846" i="10"/>
  <c r="F847" i="10"/>
  <c r="F848" i="10"/>
  <c r="F849" i="10"/>
  <c r="F838" i="10"/>
  <c r="F822" i="10"/>
  <c r="F823" i="10"/>
  <c r="F824" i="10"/>
  <c r="F825" i="10"/>
  <c r="F826" i="10"/>
  <c r="F827" i="10"/>
  <c r="F828" i="10"/>
  <c r="F829" i="10"/>
  <c r="F830" i="10"/>
  <c r="F831" i="10"/>
  <c r="F832" i="10"/>
  <c r="F821" i="10"/>
  <c r="F805" i="10"/>
  <c r="F806" i="10"/>
  <c r="F807" i="10"/>
  <c r="F808" i="10"/>
  <c r="F809" i="10"/>
  <c r="F810" i="10"/>
  <c r="F811" i="10"/>
  <c r="F812" i="10"/>
  <c r="F813" i="10"/>
  <c r="F814" i="10"/>
  <c r="F815" i="10"/>
  <c r="F804" i="10"/>
  <c r="F788" i="10"/>
  <c r="F789" i="10"/>
  <c r="F790" i="10"/>
  <c r="F791" i="10"/>
  <c r="F792" i="10"/>
  <c r="F793" i="10"/>
  <c r="F794" i="10"/>
  <c r="F795" i="10"/>
  <c r="F796" i="10"/>
  <c r="F797" i="10"/>
  <c r="F798" i="10"/>
  <c r="F787" i="10"/>
  <c r="F771" i="10"/>
  <c r="F772" i="10"/>
  <c r="F773" i="10"/>
  <c r="F774" i="10"/>
  <c r="F775" i="10"/>
  <c r="F776" i="10"/>
  <c r="F777" i="10"/>
  <c r="F778" i="10"/>
  <c r="F779" i="10"/>
  <c r="F780" i="10"/>
  <c r="F781" i="10"/>
  <c r="F770" i="10"/>
  <c r="F754" i="10"/>
  <c r="F755" i="10"/>
  <c r="F756" i="10"/>
  <c r="F757" i="10"/>
  <c r="F758" i="10"/>
  <c r="F759" i="10"/>
  <c r="F760" i="10"/>
  <c r="F761" i="10"/>
  <c r="F762" i="10"/>
  <c r="F763" i="10"/>
  <c r="F764" i="10"/>
  <c r="F753" i="10"/>
  <c r="F737" i="10"/>
  <c r="F738" i="10"/>
  <c r="F739" i="10"/>
  <c r="F740" i="10"/>
  <c r="F741" i="10"/>
  <c r="F742" i="10"/>
  <c r="F743" i="10"/>
  <c r="F744" i="10"/>
  <c r="F745" i="10"/>
  <c r="F746" i="10"/>
  <c r="F747" i="10"/>
  <c r="F736" i="10"/>
  <c r="F720" i="10"/>
  <c r="F721" i="10"/>
  <c r="F722" i="10"/>
  <c r="F723" i="10"/>
  <c r="F724" i="10"/>
  <c r="F725" i="10"/>
  <c r="F726" i="10"/>
  <c r="F727" i="10"/>
  <c r="F728" i="10"/>
  <c r="F729" i="10"/>
  <c r="F730" i="10"/>
  <c r="F719" i="10"/>
  <c r="F703" i="10"/>
  <c r="F704" i="10"/>
  <c r="F705" i="10"/>
  <c r="F706" i="10"/>
  <c r="F707" i="10"/>
  <c r="F708" i="10"/>
  <c r="F709" i="10"/>
  <c r="F710" i="10"/>
  <c r="F711" i="10"/>
  <c r="F712" i="10"/>
  <c r="F713" i="10"/>
  <c r="F702" i="10"/>
  <c r="F686" i="10"/>
  <c r="F687" i="10"/>
  <c r="F688" i="10"/>
  <c r="F689" i="10"/>
  <c r="F690" i="10"/>
  <c r="F691" i="10"/>
  <c r="F692" i="10"/>
  <c r="F693" i="10"/>
  <c r="F694" i="10"/>
  <c r="F695" i="10"/>
  <c r="F696" i="10"/>
  <c r="F685" i="10"/>
  <c r="F669" i="10"/>
  <c r="F670" i="10"/>
  <c r="F671" i="10"/>
  <c r="F672" i="10"/>
  <c r="F673" i="10"/>
  <c r="F674" i="10"/>
  <c r="F675" i="10"/>
  <c r="F676" i="10"/>
  <c r="F677" i="10"/>
  <c r="F678" i="10"/>
  <c r="F679" i="10"/>
  <c r="F668" i="10"/>
  <c r="F652" i="10"/>
  <c r="F653" i="10"/>
  <c r="F654" i="10"/>
  <c r="F655" i="10"/>
  <c r="F656" i="10"/>
  <c r="F657" i="10"/>
  <c r="F658" i="10"/>
  <c r="F659" i="10"/>
  <c r="F660" i="10"/>
  <c r="F661" i="10"/>
  <c r="F662" i="10"/>
  <c r="F651" i="10"/>
  <c r="F635" i="10"/>
  <c r="F636" i="10"/>
  <c r="F637" i="10"/>
  <c r="F638" i="10"/>
  <c r="F639" i="10"/>
  <c r="F640" i="10"/>
  <c r="F641" i="10"/>
  <c r="F642" i="10"/>
  <c r="F643" i="10"/>
  <c r="F644" i="10"/>
  <c r="F645" i="10"/>
  <c r="F634" i="10"/>
  <c r="F618" i="10"/>
  <c r="F619" i="10"/>
  <c r="F620" i="10"/>
  <c r="F621" i="10"/>
  <c r="F622" i="10"/>
  <c r="F623" i="10"/>
  <c r="F624" i="10"/>
  <c r="F625" i="10"/>
  <c r="F626" i="10"/>
  <c r="F627" i="10"/>
  <c r="F628" i="10"/>
  <c r="F617" i="10"/>
  <c r="F601" i="10"/>
  <c r="F602" i="10"/>
  <c r="F603" i="10"/>
  <c r="F604" i="10"/>
  <c r="F605" i="10"/>
  <c r="F606" i="10"/>
  <c r="F607" i="10"/>
  <c r="F608" i="10"/>
  <c r="F609" i="10"/>
  <c r="F610" i="10"/>
  <c r="F611" i="10"/>
  <c r="F600" i="10"/>
  <c r="F584" i="10"/>
  <c r="F585" i="10"/>
  <c r="F586" i="10"/>
  <c r="F587" i="10"/>
  <c r="F588" i="10"/>
  <c r="F589" i="10"/>
  <c r="F590" i="10"/>
  <c r="F591" i="10"/>
  <c r="F592" i="10"/>
  <c r="F593" i="10"/>
  <c r="F594" i="10"/>
  <c r="F583" i="10"/>
  <c r="F567" i="10"/>
  <c r="F568" i="10"/>
  <c r="F569" i="10"/>
  <c r="F570" i="10"/>
  <c r="F571" i="10"/>
  <c r="F572" i="10"/>
  <c r="F573" i="10"/>
  <c r="F574" i="10"/>
  <c r="F575" i="10"/>
  <c r="F576" i="10"/>
  <c r="F577" i="10"/>
  <c r="F566" i="10"/>
  <c r="F550" i="10"/>
  <c r="F551" i="10"/>
  <c r="F552" i="10"/>
  <c r="F553" i="10"/>
  <c r="F554" i="10"/>
  <c r="F555" i="10"/>
  <c r="F556" i="10"/>
  <c r="F557" i="10"/>
  <c r="F558" i="10"/>
  <c r="F559" i="10"/>
  <c r="F560" i="10"/>
  <c r="F549" i="10"/>
  <c r="F533" i="10"/>
  <c r="F534" i="10"/>
  <c r="F535" i="10"/>
  <c r="F536" i="10"/>
  <c r="F537" i="10"/>
  <c r="F538" i="10"/>
  <c r="F539" i="10"/>
  <c r="F540" i="10"/>
  <c r="F541" i="10"/>
  <c r="F542" i="10"/>
  <c r="F543" i="10"/>
  <c r="F532" i="10"/>
  <c r="F516" i="10"/>
  <c r="F517" i="10"/>
  <c r="F518" i="10"/>
  <c r="F519" i="10"/>
  <c r="F520" i="10"/>
  <c r="F521" i="10"/>
  <c r="F522" i="10"/>
  <c r="F523" i="10"/>
  <c r="F524" i="10"/>
  <c r="F525" i="10"/>
  <c r="F526" i="10"/>
  <c r="F515" i="10"/>
  <c r="F499" i="10"/>
  <c r="F500" i="10"/>
  <c r="F501" i="10"/>
  <c r="F502" i="10"/>
  <c r="F503" i="10"/>
  <c r="F504" i="10"/>
  <c r="F505" i="10"/>
  <c r="F506" i="10"/>
  <c r="F507" i="10"/>
  <c r="F508" i="10"/>
  <c r="F509" i="10"/>
  <c r="F498" i="10"/>
  <c r="F482" i="10"/>
  <c r="F483" i="10"/>
  <c r="F484" i="10"/>
  <c r="F485" i="10"/>
  <c r="F486" i="10"/>
  <c r="F487" i="10"/>
  <c r="F488" i="10"/>
  <c r="F489" i="10"/>
  <c r="F490" i="10"/>
  <c r="F491" i="10"/>
  <c r="F492" i="10"/>
  <c r="F481" i="10"/>
  <c r="F465" i="10"/>
  <c r="F466" i="10"/>
  <c r="F467" i="10"/>
  <c r="F468" i="10"/>
  <c r="F469" i="10"/>
  <c r="F470" i="10"/>
  <c r="F471" i="10"/>
  <c r="F472" i="10"/>
  <c r="F473" i="10"/>
  <c r="F474" i="10"/>
  <c r="F475" i="10"/>
  <c r="F464" i="10"/>
  <c r="F448" i="10"/>
  <c r="F449" i="10"/>
  <c r="F450" i="10"/>
  <c r="F451" i="10"/>
  <c r="F452" i="10"/>
  <c r="F453" i="10"/>
  <c r="F454" i="10"/>
  <c r="F455" i="10"/>
  <c r="F456" i="10"/>
  <c r="F457" i="10"/>
  <c r="F458" i="10"/>
  <c r="F447" i="10"/>
  <c r="F431" i="10"/>
  <c r="F432" i="10"/>
  <c r="F433" i="10"/>
  <c r="F434" i="10"/>
  <c r="F435" i="10"/>
  <c r="F436" i="10"/>
  <c r="F437" i="10"/>
  <c r="F438" i="10"/>
  <c r="F439" i="10"/>
  <c r="F440" i="10"/>
  <c r="F441" i="10"/>
  <c r="F430" i="10"/>
  <c r="F414" i="10"/>
  <c r="F415" i="10"/>
  <c r="F416" i="10"/>
  <c r="F417" i="10"/>
  <c r="F418" i="10"/>
  <c r="F419" i="10"/>
  <c r="F420" i="10"/>
  <c r="F421" i="10"/>
  <c r="F422" i="10"/>
  <c r="F423" i="10"/>
  <c r="F424" i="10"/>
  <c r="F413" i="10"/>
  <c r="F397" i="10"/>
  <c r="F398" i="10"/>
  <c r="F399" i="10"/>
  <c r="F400" i="10"/>
  <c r="F401" i="10"/>
  <c r="F402" i="10"/>
  <c r="F403" i="10"/>
  <c r="F404" i="10"/>
  <c r="F405" i="10"/>
  <c r="F406" i="10"/>
  <c r="F407" i="10"/>
  <c r="F396" i="10"/>
  <c r="F380" i="10"/>
  <c r="F381" i="10"/>
  <c r="F382" i="10"/>
  <c r="F383" i="10"/>
  <c r="F384" i="10"/>
  <c r="F385" i="10"/>
  <c r="F386" i="10"/>
  <c r="F387" i="10"/>
  <c r="F388" i="10"/>
  <c r="F389" i="10"/>
  <c r="F390" i="10"/>
  <c r="F379" i="10"/>
  <c r="F363" i="10"/>
  <c r="F364" i="10"/>
  <c r="F365" i="10"/>
  <c r="F366" i="10"/>
  <c r="F367" i="10"/>
  <c r="F368" i="10"/>
  <c r="F369" i="10"/>
  <c r="F370" i="10"/>
  <c r="F371" i="10"/>
  <c r="F372" i="10"/>
  <c r="F373" i="10"/>
  <c r="F362" i="10"/>
  <c r="F346" i="10"/>
  <c r="F347" i="10"/>
  <c r="F348" i="10"/>
  <c r="F349" i="10"/>
  <c r="F350" i="10"/>
  <c r="F351" i="10"/>
  <c r="F352" i="10"/>
  <c r="F353" i="10"/>
  <c r="F354" i="10"/>
  <c r="F355" i="10"/>
  <c r="F356" i="10"/>
  <c r="F345" i="10"/>
  <c r="F329" i="10"/>
  <c r="F330" i="10"/>
  <c r="F331" i="10"/>
  <c r="F332" i="10"/>
  <c r="F333" i="10"/>
  <c r="F334" i="10"/>
  <c r="F335" i="10"/>
  <c r="F336" i="10"/>
  <c r="F337" i="10"/>
  <c r="F338" i="10"/>
  <c r="F339" i="10"/>
  <c r="F328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84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01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18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35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52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69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86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03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20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37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54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71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688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05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22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39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56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73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790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07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24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41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58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75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892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09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26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43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60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77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1994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11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28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45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62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79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096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13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30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47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64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81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198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15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32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49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66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83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00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17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34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51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68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85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02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19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36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53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70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87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04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21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38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55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72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589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06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23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40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57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74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691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08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25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42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59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76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793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10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27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44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61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78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895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12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29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46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63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80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2997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14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31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48" i="10"/>
  <c r="D2583" i="10"/>
  <c r="D2600" i="10"/>
  <c r="D2617" i="10"/>
  <c r="D2634" i="10"/>
  <c r="D2651" i="10"/>
  <c r="D2668" i="10"/>
  <c r="D2685" i="10"/>
  <c r="D2702" i="10"/>
  <c r="D2719" i="10"/>
  <c r="D2736" i="10"/>
  <c r="D2753" i="10"/>
  <c r="D2770" i="10"/>
  <c r="D2787" i="10"/>
  <c r="D2804" i="10"/>
  <c r="D2821" i="10"/>
  <c r="D2838" i="10"/>
  <c r="D2855" i="10"/>
  <c r="D2872" i="10"/>
  <c r="D2889" i="10"/>
  <c r="D2906" i="10"/>
  <c r="D2923" i="10"/>
  <c r="D2940" i="10"/>
  <c r="D2957" i="10"/>
  <c r="D2974" i="10"/>
  <c r="D2991" i="10"/>
  <c r="D3008" i="10"/>
  <c r="D3025" i="10"/>
  <c r="D3042" i="10"/>
  <c r="D3059" i="10"/>
  <c r="D2073" i="10"/>
  <c r="D2090" i="10"/>
  <c r="D2107" i="10"/>
  <c r="D2124" i="10"/>
  <c r="D2141" i="10"/>
  <c r="D2158" i="10"/>
  <c r="D2175" i="10"/>
  <c r="D2192" i="10"/>
  <c r="D2209" i="10"/>
  <c r="D2226" i="10"/>
  <c r="D2243" i="10"/>
  <c r="D2260" i="10"/>
  <c r="D2277" i="10"/>
  <c r="D2294" i="10"/>
  <c r="D2311" i="10"/>
  <c r="D2328" i="10"/>
  <c r="D2345" i="10"/>
  <c r="D2362" i="10"/>
  <c r="D2379" i="10"/>
  <c r="D2396" i="10"/>
  <c r="D2413" i="10"/>
  <c r="D2430" i="10"/>
  <c r="D2447" i="10"/>
  <c r="D2464" i="10"/>
  <c r="D2481" i="10"/>
  <c r="D2498" i="10"/>
  <c r="D2515" i="10"/>
  <c r="D2532" i="10"/>
  <c r="D2566" i="10"/>
  <c r="D2549" i="10"/>
  <c r="D2056" i="10"/>
  <c r="D2039" i="10"/>
  <c r="D2022" i="10"/>
  <c r="D2005" i="10"/>
  <c r="D1988" i="10"/>
  <c r="D1971" i="10"/>
  <c r="D1954" i="10"/>
  <c r="D1937" i="10"/>
  <c r="D1920" i="10"/>
  <c r="D1903" i="10"/>
  <c r="D1886" i="10"/>
  <c r="D1869" i="10"/>
  <c r="D1852" i="10"/>
  <c r="D1835" i="10"/>
  <c r="D1818" i="10"/>
  <c r="D1801" i="10"/>
  <c r="D1784" i="10"/>
  <c r="D1767" i="10"/>
  <c r="D1750" i="10"/>
  <c r="D1733" i="10"/>
  <c r="D1716" i="10"/>
  <c r="D1699" i="10"/>
  <c r="D1682" i="10"/>
  <c r="D1665" i="10"/>
  <c r="D1648" i="10"/>
  <c r="D1631" i="10"/>
  <c r="D1614" i="10"/>
  <c r="D1597" i="10"/>
  <c r="D1580" i="10"/>
  <c r="D1563" i="10"/>
  <c r="D1546" i="10"/>
  <c r="D1529" i="10"/>
  <c r="D1512" i="10"/>
  <c r="D1495" i="10"/>
  <c r="D1478" i="10"/>
  <c r="D1461" i="10"/>
  <c r="D1444" i="10"/>
  <c r="D1427" i="10"/>
  <c r="D1410" i="10"/>
  <c r="D1393" i="10"/>
  <c r="D1376" i="10"/>
  <c r="D1359" i="10"/>
  <c r="D1342" i="10"/>
  <c r="D1325" i="10"/>
  <c r="D1308" i="10"/>
  <c r="D1291" i="10"/>
  <c r="D1274" i="10"/>
  <c r="D1257" i="10"/>
  <c r="D1240" i="10"/>
  <c r="D1223" i="10"/>
  <c r="D1206" i="10"/>
  <c r="D1189" i="10"/>
  <c r="D1172" i="10"/>
  <c r="D1155" i="10"/>
  <c r="D1138" i="10"/>
  <c r="D1121" i="10"/>
  <c r="D1104" i="10"/>
  <c r="D1087" i="10"/>
  <c r="D1070" i="10"/>
  <c r="D1053" i="10"/>
  <c r="D1036" i="10"/>
  <c r="D1019" i="10"/>
  <c r="D1002" i="10"/>
  <c r="D985" i="10"/>
  <c r="D968" i="10"/>
  <c r="D951" i="10"/>
  <c r="D934" i="10"/>
  <c r="D917" i="10"/>
  <c r="D900" i="10"/>
  <c r="D883" i="10"/>
  <c r="D866" i="10"/>
  <c r="D849" i="10"/>
  <c r="D832" i="10"/>
  <c r="D815" i="10"/>
  <c r="D798" i="10"/>
  <c r="D781" i="10"/>
  <c r="D764" i="10"/>
  <c r="D747" i="10"/>
  <c r="D730" i="10"/>
  <c r="D713" i="10"/>
  <c r="D696" i="10"/>
  <c r="D679" i="10"/>
  <c r="D662" i="10"/>
  <c r="D645" i="10"/>
  <c r="D628" i="10"/>
  <c r="D611" i="10"/>
  <c r="D594" i="10"/>
  <c r="D577" i="10"/>
  <c r="D560" i="10"/>
  <c r="D543" i="10"/>
  <c r="D526" i="10"/>
  <c r="D509" i="10"/>
  <c r="D492" i="10"/>
  <c r="D475" i="10"/>
  <c r="D458" i="10"/>
  <c r="D441" i="10"/>
  <c r="D424" i="10"/>
  <c r="D407" i="10"/>
  <c r="D390" i="10"/>
  <c r="D373" i="10"/>
  <c r="D356" i="10"/>
  <c r="D339" i="10"/>
  <c r="D322" i="10"/>
  <c r="D305" i="10"/>
  <c r="D288" i="10"/>
  <c r="D271" i="10"/>
  <c r="D254" i="10"/>
  <c r="D237" i="10"/>
  <c r="D220" i="10"/>
  <c r="D203" i="10"/>
  <c r="D186" i="10"/>
  <c r="D169" i="10"/>
  <c r="D152" i="10"/>
  <c r="D135" i="10"/>
  <c r="D118" i="10"/>
  <c r="D101" i="10"/>
  <c r="D84" i="10"/>
  <c r="D67" i="10"/>
  <c r="D50" i="10"/>
  <c r="D33" i="10"/>
  <c r="H2" i="10"/>
  <c r="J2" i="10"/>
  <c r="L2" i="10"/>
  <c r="M2" i="10"/>
  <c r="N2" i="10"/>
  <c r="O2" i="10"/>
  <c r="P2" i="10"/>
  <c r="Q2" i="10"/>
  <c r="R2" i="10"/>
  <c r="S2" i="10"/>
  <c r="T2" i="10"/>
  <c r="U2" i="10"/>
  <c r="V2" i="10"/>
  <c r="H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H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H5" i="10"/>
  <c r="J5" i="10"/>
  <c r="K5" i="10"/>
  <c r="V5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I26" i="10"/>
  <c r="E324" i="10" s="1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H27" i="10"/>
  <c r="I27" i="10"/>
  <c r="E341" i="10" s="1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H28" i="10"/>
  <c r="I28" i="10"/>
  <c r="E358" i="10" s="1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H29" i="10"/>
  <c r="I29" i="10"/>
  <c r="E375" i="10" s="1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H30" i="10"/>
  <c r="I30" i="10"/>
  <c r="E392" i="10" s="1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H31" i="10"/>
  <c r="I31" i="10"/>
  <c r="E409" i="10" s="1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H32" i="10"/>
  <c r="I32" i="10"/>
  <c r="E426" i="10" s="1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H33" i="10"/>
  <c r="I33" i="10"/>
  <c r="E443" i="10" s="1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H34" i="10"/>
  <c r="I34" i="10"/>
  <c r="E460" i="10" s="1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H35" i="10"/>
  <c r="I35" i="10"/>
  <c r="E477" i="10" s="1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H36" i="10"/>
  <c r="I36" i="10"/>
  <c r="E494" i="10" s="1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H38" i="10"/>
  <c r="I38" i="10"/>
  <c r="E920" i="10" s="1"/>
  <c r="J38" i="10"/>
  <c r="L38" i="10"/>
  <c r="M38" i="10"/>
  <c r="N38" i="10"/>
  <c r="O38" i="10"/>
  <c r="P38" i="10"/>
  <c r="Q38" i="10"/>
  <c r="R38" i="10"/>
  <c r="S38" i="10"/>
  <c r="T38" i="10"/>
  <c r="U38" i="10"/>
  <c r="V38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H41" i="10"/>
  <c r="I41" i="10"/>
  <c r="J41" i="10"/>
  <c r="K41" i="10"/>
  <c r="L41" i="10"/>
  <c r="M41" i="10"/>
  <c r="N41" i="10"/>
  <c r="O41" i="10"/>
  <c r="S41" i="10"/>
  <c r="T41" i="10"/>
  <c r="U41" i="10"/>
  <c r="V41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H43" i="10"/>
  <c r="I43" i="10"/>
  <c r="E511" i="10" s="1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H44" i="10"/>
  <c r="I44" i="10"/>
  <c r="E528" i="10" s="1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H45" i="10"/>
  <c r="I45" i="10"/>
  <c r="E545" i="10" s="1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H46" i="10"/>
  <c r="I46" i="10"/>
  <c r="E562" i="10" s="1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H47" i="10"/>
  <c r="I47" i="10"/>
  <c r="E579" i="10" s="1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H48" i="10"/>
  <c r="I48" i="10"/>
  <c r="E596" i="10" s="1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H49" i="10"/>
  <c r="I49" i="10"/>
  <c r="E613" i="10" s="1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H50" i="10"/>
  <c r="I50" i="10"/>
  <c r="E630" i="10" s="1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H51" i="10"/>
  <c r="I51" i="10"/>
  <c r="E647" i="10" s="1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H52" i="10"/>
  <c r="I52" i="10"/>
  <c r="E664" i="10" s="1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H53" i="10"/>
  <c r="I53" i="10"/>
  <c r="E681" i="10" s="1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H54" i="10"/>
  <c r="I54" i="10"/>
  <c r="E698" i="10" s="1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H55" i="10"/>
  <c r="I55" i="10"/>
  <c r="E715" i="10" s="1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H56" i="10"/>
  <c r="I56" i="10"/>
  <c r="E732" i="10" s="1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H57" i="10"/>
  <c r="I57" i="10"/>
  <c r="E749" i="10" s="1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H58" i="10"/>
  <c r="I58" i="10"/>
  <c r="E766" i="10" s="1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H59" i="10"/>
  <c r="I59" i="10"/>
  <c r="E783" i="10" s="1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H60" i="10"/>
  <c r="I60" i="10"/>
  <c r="E800" i="10" s="1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H61" i="10"/>
  <c r="I61" i="10"/>
  <c r="E817" i="10" s="1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H62" i="10"/>
  <c r="I62" i="10"/>
  <c r="E834" i="10" s="1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H63" i="10"/>
  <c r="I63" i="10"/>
  <c r="E851" i="10" s="1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H64" i="10"/>
  <c r="I64" i="10"/>
  <c r="E868" i="10" s="1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H65" i="10"/>
  <c r="I65" i="10"/>
  <c r="E885" i="10" s="1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H66" i="10"/>
  <c r="I66" i="10"/>
  <c r="E902" i="10" s="1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H67" i="10"/>
  <c r="I67" i="10"/>
  <c r="E919" i="10" s="1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H68" i="10"/>
  <c r="I68" i="10"/>
  <c r="E936" i="10" s="1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H69" i="10"/>
  <c r="I69" i="10"/>
  <c r="E953" i="10" s="1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H70" i="10"/>
  <c r="I70" i="10"/>
  <c r="E970" i="10" s="1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H71" i="10"/>
  <c r="I71" i="10"/>
  <c r="E987" i="10" s="1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H72" i="10"/>
  <c r="I72" i="10"/>
  <c r="E1004" i="10" s="1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H74" i="10"/>
  <c r="I74" i="10"/>
  <c r="E1481" i="10" s="1"/>
  <c r="J74" i="10"/>
  <c r="L74" i="10"/>
  <c r="M74" i="10"/>
  <c r="N74" i="10"/>
  <c r="O74" i="10"/>
  <c r="P74" i="10"/>
  <c r="Q74" i="10"/>
  <c r="R74" i="10"/>
  <c r="S74" i="10"/>
  <c r="T74" i="10"/>
  <c r="U74" i="10"/>
  <c r="V74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H77" i="10"/>
  <c r="I77" i="10"/>
  <c r="J77" i="10"/>
  <c r="K77" i="10"/>
  <c r="L77" i="10"/>
  <c r="M77" i="10"/>
  <c r="N77" i="10"/>
  <c r="P77" i="10"/>
  <c r="Q77" i="10"/>
  <c r="R77" i="10"/>
  <c r="S77" i="10"/>
  <c r="T77" i="10"/>
  <c r="U77" i="10"/>
  <c r="V77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H79" i="10"/>
  <c r="I79" i="10"/>
  <c r="E1021" i="10" s="1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H80" i="10"/>
  <c r="I80" i="10"/>
  <c r="E1038" i="10" s="1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H81" i="10"/>
  <c r="I81" i="10"/>
  <c r="E1055" i="10" s="1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H82" i="10"/>
  <c r="I82" i="10"/>
  <c r="E1072" i="10" s="1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H83" i="10"/>
  <c r="I83" i="10"/>
  <c r="E1089" i="10" s="1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H84" i="10"/>
  <c r="I84" i="10"/>
  <c r="E1106" i="10" s="1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H85" i="10"/>
  <c r="I85" i="10"/>
  <c r="E1123" i="10" s="1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H86" i="10"/>
  <c r="I86" i="10"/>
  <c r="E1140" i="10" s="1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H87" i="10"/>
  <c r="I87" i="10"/>
  <c r="E1157" i="10" s="1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H88" i="10"/>
  <c r="I88" i="10"/>
  <c r="E1174" i="10" s="1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H89" i="10"/>
  <c r="I89" i="10"/>
  <c r="E1191" i="10" s="1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H90" i="10"/>
  <c r="I90" i="10"/>
  <c r="E1208" i="10" s="1"/>
  <c r="J90" i="10"/>
  <c r="K90" i="10"/>
  <c r="E1212" i="10" s="1" a="1"/>
  <c r="L90" i="10"/>
  <c r="M90" i="10"/>
  <c r="N90" i="10"/>
  <c r="O90" i="10"/>
  <c r="P90" i="10"/>
  <c r="Q90" i="10"/>
  <c r="R90" i="10"/>
  <c r="S90" i="10"/>
  <c r="T90" i="10"/>
  <c r="U90" i="10"/>
  <c r="V90" i="10"/>
  <c r="H91" i="10"/>
  <c r="I91" i="10"/>
  <c r="E1225" i="10" s="1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H92" i="10"/>
  <c r="I92" i="10"/>
  <c r="E1242" i="10" s="1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H93" i="10"/>
  <c r="I93" i="10"/>
  <c r="E1259" i="10" s="1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H94" i="10"/>
  <c r="I94" i="10"/>
  <c r="E1276" i="10" s="1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H95" i="10"/>
  <c r="I95" i="10"/>
  <c r="E1293" i="10" s="1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H96" i="10"/>
  <c r="I96" i="10"/>
  <c r="E1310" i="10" s="1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H97" i="10"/>
  <c r="I97" i="10"/>
  <c r="E1327" i="10" s="1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H98" i="10"/>
  <c r="I98" i="10"/>
  <c r="E1344" i="10" s="1"/>
  <c r="J98" i="10"/>
  <c r="K98" i="10"/>
  <c r="E1348" i="10" s="1" a="1"/>
  <c r="L98" i="10"/>
  <c r="M98" i="10"/>
  <c r="N98" i="10"/>
  <c r="O98" i="10"/>
  <c r="P98" i="10"/>
  <c r="Q98" i="10"/>
  <c r="R98" i="10"/>
  <c r="S98" i="10"/>
  <c r="T98" i="10"/>
  <c r="U98" i="10"/>
  <c r="V98" i="10"/>
  <c r="H99" i="10"/>
  <c r="I99" i="10"/>
  <c r="E1361" i="10" s="1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H100" i="10"/>
  <c r="I100" i="10"/>
  <c r="E1378" i="10" s="1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H101" i="10"/>
  <c r="I101" i="10"/>
  <c r="E1395" i="10" s="1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H102" i="10"/>
  <c r="I102" i="10"/>
  <c r="E1412" i="10" s="1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H103" i="10"/>
  <c r="I103" i="10"/>
  <c r="E1429" i="10" s="1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H104" i="10"/>
  <c r="I104" i="10"/>
  <c r="E1446" i="10" s="1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H105" i="10"/>
  <c r="I105" i="10"/>
  <c r="E1463" i="10" s="1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H106" i="10"/>
  <c r="I106" i="10"/>
  <c r="E1480" i="10" s="1"/>
  <c r="J106" i="10"/>
  <c r="K106" i="10"/>
  <c r="E1484" i="10" s="1" a="1"/>
  <c r="L106" i="10"/>
  <c r="M106" i="10"/>
  <c r="N106" i="10"/>
  <c r="O106" i="10"/>
  <c r="P106" i="10"/>
  <c r="Q106" i="10"/>
  <c r="R106" i="10"/>
  <c r="S106" i="10"/>
  <c r="T106" i="10"/>
  <c r="U106" i="10"/>
  <c r="V106" i="10"/>
  <c r="H107" i="10"/>
  <c r="I107" i="10"/>
  <c r="E1497" i="10" s="1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H108" i="10"/>
  <c r="I108" i="10"/>
  <c r="E1514" i="10" s="1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H110" i="10"/>
  <c r="I110" i="10"/>
  <c r="E1923" i="10" s="1"/>
  <c r="J110" i="10"/>
  <c r="L110" i="10"/>
  <c r="M110" i="10"/>
  <c r="N110" i="10"/>
  <c r="O110" i="10"/>
  <c r="P110" i="10"/>
  <c r="Q110" i="10"/>
  <c r="R110" i="10"/>
  <c r="S110" i="10"/>
  <c r="T110" i="10"/>
  <c r="U110" i="10"/>
  <c r="V110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H115" i="10"/>
  <c r="I115" i="10"/>
  <c r="E1531" i="10" s="1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H116" i="10"/>
  <c r="I116" i="10"/>
  <c r="E1548" i="10" s="1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H117" i="10"/>
  <c r="I117" i="10"/>
  <c r="E1565" i="10" s="1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H118" i="10"/>
  <c r="I118" i="10"/>
  <c r="E1582" i="10" s="1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H119" i="10"/>
  <c r="I119" i="10"/>
  <c r="E1599" i="10" s="1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H120" i="10"/>
  <c r="I120" i="10"/>
  <c r="E1616" i="10" s="1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H121" i="10"/>
  <c r="I121" i="10"/>
  <c r="E1633" i="10" s="1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H122" i="10"/>
  <c r="I122" i="10"/>
  <c r="E1650" i="10" s="1"/>
  <c r="J122" i="10"/>
  <c r="K122" i="10"/>
  <c r="E1654" i="10" s="1" a="1"/>
  <c r="E1654" i="10" s="1"/>
  <c r="L122" i="10"/>
  <c r="M122" i="10"/>
  <c r="N122" i="10"/>
  <c r="O122" i="10"/>
  <c r="P122" i="10"/>
  <c r="Q122" i="10"/>
  <c r="R122" i="10"/>
  <c r="S122" i="10"/>
  <c r="T122" i="10"/>
  <c r="U122" i="10"/>
  <c r="V122" i="10"/>
  <c r="H123" i="10"/>
  <c r="I123" i="10"/>
  <c r="E1667" i="10" s="1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H124" i="10"/>
  <c r="I124" i="10"/>
  <c r="E1684" i="10" s="1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H125" i="10"/>
  <c r="I125" i="10"/>
  <c r="E1701" i="10" s="1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H126" i="10"/>
  <c r="I126" i="10"/>
  <c r="E1718" i="10" s="1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H127" i="10"/>
  <c r="I127" i="10"/>
  <c r="E1735" i="10" s="1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H128" i="10"/>
  <c r="I128" i="10"/>
  <c r="E1752" i="10" s="1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H129" i="10"/>
  <c r="I129" i="10"/>
  <c r="E1769" i="10" s="1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H130" i="10"/>
  <c r="I130" i="10"/>
  <c r="E1786" i="10" s="1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H131" i="10"/>
  <c r="I131" i="10"/>
  <c r="E1803" i="10" s="1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H132" i="10"/>
  <c r="I132" i="10"/>
  <c r="E1820" i="10" s="1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H133" i="10"/>
  <c r="I133" i="10"/>
  <c r="E1837" i="10" s="1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H134" i="10"/>
  <c r="I134" i="10"/>
  <c r="E1854" i="10" s="1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H135" i="10"/>
  <c r="I135" i="10"/>
  <c r="E1871" i="10" s="1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H136" i="10"/>
  <c r="I136" i="10"/>
  <c r="E1888" i="10" s="1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H137" i="10"/>
  <c r="I137" i="10"/>
  <c r="E1905" i="10" s="1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H138" i="10"/>
  <c r="I138" i="10"/>
  <c r="E1922" i="10" s="1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H139" i="10"/>
  <c r="I139" i="10"/>
  <c r="E1939" i="10" s="1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H140" i="10"/>
  <c r="I140" i="10"/>
  <c r="E1956" i="10" s="1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H141" i="10"/>
  <c r="I141" i="10"/>
  <c r="E1973" i="10" s="1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H142" i="10"/>
  <c r="I142" i="10"/>
  <c r="E1990" i="10" s="1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H143" i="10"/>
  <c r="I143" i="10"/>
  <c r="E2007" i="10" s="1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H144" i="10"/>
  <c r="I144" i="10"/>
  <c r="E2024" i="10" s="1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H146" i="10"/>
  <c r="I146" i="10"/>
  <c r="E2331" i="10" s="1"/>
  <c r="J146" i="10"/>
  <c r="L146" i="10"/>
  <c r="M146" i="10"/>
  <c r="N146" i="10"/>
  <c r="O146" i="10"/>
  <c r="P146" i="10"/>
  <c r="Q146" i="10"/>
  <c r="R146" i="10"/>
  <c r="S146" i="10"/>
  <c r="T146" i="10"/>
  <c r="U146" i="10"/>
  <c r="V146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H149" i="10"/>
  <c r="I149" i="10"/>
  <c r="J149" i="10"/>
  <c r="K149" i="10"/>
  <c r="L149" i="10"/>
  <c r="M149" i="10"/>
  <c r="Q149" i="10"/>
  <c r="R149" i="10"/>
  <c r="S149" i="10"/>
  <c r="T149" i="10"/>
  <c r="U149" i="10"/>
  <c r="V149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H151" i="10"/>
  <c r="I151" i="10"/>
  <c r="E2041" i="10" s="1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H152" i="10"/>
  <c r="I152" i="10"/>
  <c r="E2058" i="10" s="1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H153" i="10"/>
  <c r="I153" i="10"/>
  <c r="E2075" i="10" s="1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H154" i="10"/>
  <c r="I154" i="10"/>
  <c r="E2092" i="10" s="1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H155" i="10"/>
  <c r="I155" i="10"/>
  <c r="E2109" i="10" s="1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H156" i="10"/>
  <c r="I156" i="10"/>
  <c r="E2126" i="10" s="1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H157" i="10"/>
  <c r="I157" i="10"/>
  <c r="E2143" i="10" s="1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H158" i="10"/>
  <c r="I158" i="10"/>
  <c r="E2160" i="10" s="1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H159" i="10"/>
  <c r="I159" i="10"/>
  <c r="E2177" i="10" s="1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H160" i="10"/>
  <c r="I160" i="10"/>
  <c r="E2194" i="10" s="1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H161" i="10"/>
  <c r="I161" i="10"/>
  <c r="E2211" i="10" s="1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H162" i="10"/>
  <c r="I162" i="10"/>
  <c r="E2228" i="10" s="1"/>
  <c r="J162" i="10"/>
  <c r="K162" i="10"/>
  <c r="E2232" i="10" s="1" a="1"/>
  <c r="L162" i="10"/>
  <c r="M162" i="10"/>
  <c r="N162" i="10"/>
  <c r="O162" i="10"/>
  <c r="P162" i="10"/>
  <c r="Q162" i="10"/>
  <c r="R162" i="10"/>
  <c r="S162" i="10"/>
  <c r="T162" i="10"/>
  <c r="U162" i="10"/>
  <c r="V162" i="10"/>
  <c r="H163" i="10"/>
  <c r="I163" i="10"/>
  <c r="E2245" i="10" s="1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H164" i="10"/>
  <c r="I164" i="10"/>
  <c r="E2262" i="10" s="1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H165" i="10"/>
  <c r="I165" i="10"/>
  <c r="E2279" i="10" s="1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H166" i="10"/>
  <c r="I166" i="10"/>
  <c r="E2296" i="10" s="1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H167" i="10"/>
  <c r="I167" i="10"/>
  <c r="E2313" i="10" s="1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H168" i="10"/>
  <c r="I168" i="10"/>
  <c r="E2330" i="10" s="1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H169" i="10"/>
  <c r="I169" i="10"/>
  <c r="E2347" i="10" s="1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H170" i="10"/>
  <c r="I170" i="10"/>
  <c r="E2364" i="10" s="1"/>
  <c r="J170" i="10"/>
  <c r="K170" i="10"/>
  <c r="E2368" i="10" s="1" a="1"/>
  <c r="L170" i="10"/>
  <c r="M170" i="10"/>
  <c r="N170" i="10"/>
  <c r="O170" i="10"/>
  <c r="P170" i="10"/>
  <c r="Q170" i="10"/>
  <c r="R170" i="10"/>
  <c r="S170" i="10"/>
  <c r="T170" i="10"/>
  <c r="U170" i="10"/>
  <c r="V170" i="10"/>
  <c r="H171" i="10"/>
  <c r="I171" i="10"/>
  <c r="E2381" i="10" s="1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H172" i="10"/>
  <c r="I172" i="10"/>
  <c r="E2398" i="10" s="1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H173" i="10"/>
  <c r="I173" i="10"/>
  <c r="E2415" i="10" s="1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H174" i="10"/>
  <c r="I174" i="10"/>
  <c r="E2432" i="10" s="1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H175" i="10"/>
  <c r="I175" i="10"/>
  <c r="E2449" i="10" s="1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H176" i="10"/>
  <c r="I176" i="10"/>
  <c r="E2466" i="10" s="1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H177" i="10"/>
  <c r="I177" i="10"/>
  <c r="E2483" i="10" s="1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H178" i="10"/>
  <c r="I178" i="10"/>
  <c r="E2500" i="10" s="1"/>
  <c r="J178" i="10"/>
  <c r="K178" i="10"/>
  <c r="E2504" i="10" s="1" a="1"/>
  <c r="L178" i="10"/>
  <c r="M178" i="10"/>
  <c r="N178" i="10"/>
  <c r="O178" i="10"/>
  <c r="P178" i="10"/>
  <c r="Q178" i="10"/>
  <c r="R178" i="10"/>
  <c r="S178" i="10"/>
  <c r="T178" i="10"/>
  <c r="U178" i="10"/>
  <c r="V178" i="10"/>
  <c r="H179" i="10"/>
  <c r="I179" i="10"/>
  <c r="E2517" i="10" s="1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H180" i="10"/>
  <c r="I180" i="10"/>
  <c r="E2534" i="10" s="1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H182" i="10"/>
  <c r="I182" i="10"/>
  <c r="E2841" i="10" s="1"/>
  <c r="J182" i="10"/>
  <c r="L182" i="10"/>
  <c r="M182" i="10"/>
  <c r="N182" i="10"/>
  <c r="O182" i="10"/>
  <c r="P182" i="10"/>
  <c r="Q182" i="10"/>
  <c r="R182" i="10"/>
  <c r="S182" i="10"/>
  <c r="T182" i="10"/>
  <c r="U182" i="10"/>
  <c r="V182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H185" i="10"/>
  <c r="I185" i="10"/>
  <c r="J185" i="10"/>
  <c r="K185" i="10"/>
  <c r="L185" i="10"/>
  <c r="M185" i="10"/>
  <c r="Q185" i="10"/>
  <c r="R185" i="10"/>
  <c r="S185" i="10"/>
  <c r="T185" i="10"/>
  <c r="U185" i="10"/>
  <c r="V185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H187" i="10"/>
  <c r="I187" i="10"/>
  <c r="E2551" i="10" s="1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H188" i="10"/>
  <c r="I188" i="10"/>
  <c r="E2568" i="10" s="1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H189" i="10"/>
  <c r="I189" i="10"/>
  <c r="E2585" i="10" s="1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H190" i="10"/>
  <c r="I190" i="10"/>
  <c r="E2602" i="10" s="1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H191" i="10"/>
  <c r="I191" i="10"/>
  <c r="E2619" i="10" s="1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H192" i="10"/>
  <c r="I192" i="10"/>
  <c r="E2636" i="10" s="1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H193" i="10"/>
  <c r="I193" i="10"/>
  <c r="E2653" i="10" s="1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H194" i="10"/>
  <c r="I194" i="10"/>
  <c r="E2670" i="10" s="1"/>
  <c r="J194" i="10"/>
  <c r="K194" i="10"/>
  <c r="E2674" i="10" s="1" a="1"/>
  <c r="L194" i="10"/>
  <c r="M194" i="10"/>
  <c r="N194" i="10"/>
  <c r="O194" i="10"/>
  <c r="P194" i="10"/>
  <c r="Q194" i="10"/>
  <c r="R194" i="10"/>
  <c r="S194" i="10"/>
  <c r="T194" i="10"/>
  <c r="U194" i="10"/>
  <c r="V194" i="10"/>
  <c r="H195" i="10"/>
  <c r="I195" i="10"/>
  <c r="E2687" i="10" s="1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H196" i="10"/>
  <c r="I196" i="10"/>
  <c r="E2704" i="10" s="1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H197" i="10"/>
  <c r="I197" i="10"/>
  <c r="E2721" i="10" s="1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H198" i="10"/>
  <c r="I198" i="10"/>
  <c r="E2738" i="10" s="1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H199" i="10"/>
  <c r="I199" i="10"/>
  <c r="E2755" i="10" s="1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H200" i="10"/>
  <c r="I200" i="10"/>
  <c r="E2772" i="10" s="1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H201" i="10"/>
  <c r="I201" i="10"/>
  <c r="E2789" i="10" s="1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H202" i="10"/>
  <c r="I202" i="10"/>
  <c r="E2806" i="10" s="1"/>
  <c r="J202" i="10"/>
  <c r="K202" i="10"/>
  <c r="E2810" i="10" s="1" a="1"/>
  <c r="L202" i="10"/>
  <c r="M202" i="10"/>
  <c r="N202" i="10"/>
  <c r="O202" i="10"/>
  <c r="P202" i="10"/>
  <c r="Q202" i="10"/>
  <c r="R202" i="10"/>
  <c r="S202" i="10"/>
  <c r="T202" i="10"/>
  <c r="U202" i="10"/>
  <c r="V202" i="10"/>
  <c r="H203" i="10"/>
  <c r="I203" i="10"/>
  <c r="E2823" i="10" s="1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H204" i="10"/>
  <c r="I204" i="10"/>
  <c r="E2840" i="10" s="1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H205" i="10"/>
  <c r="I205" i="10"/>
  <c r="E2857" i="10" s="1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H206" i="10"/>
  <c r="I206" i="10"/>
  <c r="E2874" i="10" s="1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H207" i="10"/>
  <c r="I207" i="10"/>
  <c r="E2891" i="10" s="1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H208" i="10"/>
  <c r="I208" i="10"/>
  <c r="E2908" i="10" s="1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H209" i="10"/>
  <c r="I209" i="10"/>
  <c r="E2925" i="10" s="1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H210" i="10"/>
  <c r="I210" i="10"/>
  <c r="E2942" i="10" s="1"/>
  <c r="J210" i="10"/>
  <c r="K210" i="10"/>
  <c r="E2946" i="10" s="1" a="1"/>
  <c r="L210" i="10"/>
  <c r="M210" i="10"/>
  <c r="N210" i="10"/>
  <c r="O210" i="10"/>
  <c r="P210" i="10"/>
  <c r="Q210" i="10"/>
  <c r="R210" i="10"/>
  <c r="S210" i="10"/>
  <c r="T210" i="10"/>
  <c r="U210" i="10"/>
  <c r="V210" i="10"/>
  <c r="H211" i="10"/>
  <c r="I211" i="10"/>
  <c r="E2959" i="10" s="1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H212" i="10"/>
  <c r="I212" i="10"/>
  <c r="E2976" i="10" s="1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H213" i="10"/>
  <c r="I213" i="10"/>
  <c r="E2993" i="10" s="1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H214" i="10"/>
  <c r="I214" i="10"/>
  <c r="E3010" i="10" s="1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H215" i="10"/>
  <c r="I215" i="10"/>
  <c r="E3027" i="10" s="1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H216" i="10"/>
  <c r="I216" i="10"/>
  <c r="E3044" i="10" s="1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J1" i="10"/>
  <c r="K1" i="10"/>
  <c r="L1" i="10"/>
  <c r="M1" i="10"/>
  <c r="N1" i="10"/>
  <c r="O1" i="10"/>
  <c r="P1" i="10"/>
  <c r="Q1" i="10"/>
  <c r="R1" i="10"/>
  <c r="S1" i="10"/>
  <c r="T1" i="10"/>
  <c r="U1" i="10"/>
  <c r="V1" i="10"/>
  <c r="E2096" i="10" l="1" a="1"/>
  <c r="E906" i="10" a="1"/>
  <c r="E770" i="10" a="1"/>
  <c r="E634" i="10" a="1"/>
  <c r="E464" i="10" a="1"/>
  <c r="E464" i="10" s="1"/>
  <c r="E328" i="10" a="1"/>
  <c r="E2963" i="10" a="1"/>
  <c r="E2963" i="10" s="1"/>
  <c r="E2827" i="10" a="1"/>
  <c r="E2827" i="10" s="1"/>
  <c r="E2691" i="10" a="1"/>
  <c r="E2555" i="10" a="1"/>
  <c r="E2555" i="10" s="1"/>
  <c r="E2521" i="10" a="1"/>
  <c r="E2521" i="10" s="1"/>
  <c r="E2385" i="10" a="1"/>
  <c r="E2249" i="10" a="1"/>
  <c r="E2113" i="10" a="1"/>
  <c r="E2113" i="10" s="1"/>
  <c r="E1943" i="10" a="1"/>
  <c r="E1943" i="10" s="1"/>
  <c r="E1807" i="10" a="1"/>
  <c r="E1807" i="10" s="1"/>
  <c r="E1671" i="10" a="1"/>
  <c r="E1671" i="10" s="1"/>
  <c r="E1535" i="10" a="1"/>
  <c r="E1501" i="10" a="1"/>
  <c r="E1365" i="10" a="1"/>
  <c r="E1229" i="10" a="1"/>
  <c r="E1093" i="10" a="1"/>
  <c r="E923" i="10" a="1"/>
  <c r="E787" i="10" a="1"/>
  <c r="E651" i="10" a="1"/>
  <c r="E515" i="10" a="1"/>
  <c r="E481" i="10" a="1"/>
  <c r="E481" i="10" s="1"/>
  <c r="E345" i="10" a="1"/>
  <c r="E345" i="10" s="1"/>
  <c r="E1076" i="10" a="1"/>
  <c r="E2980" i="10" a="1"/>
  <c r="E2844" i="10" a="1"/>
  <c r="E2708" i="10" a="1"/>
  <c r="E2572" i="10" a="1"/>
  <c r="E2538" i="10" a="1"/>
  <c r="E2402" i="10" a="1"/>
  <c r="E2266" i="10" a="1"/>
  <c r="E2130" i="10" a="1"/>
  <c r="E1960" i="10" a="1"/>
  <c r="E1824" i="10" a="1"/>
  <c r="E1688" i="10" a="1"/>
  <c r="E1688" i="10" s="1"/>
  <c r="E1552" i="10" a="1"/>
  <c r="E1518" i="10" a="1"/>
  <c r="E1382" i="10" a="1"/>
  <c r="E1246" i="10" a="1"/>
  <c r="E1110" i="10" a="1"/>
  <c r="E940" i="10" a="1"/>
  <c r="E804" i="10" a="1"/>
  <c r="E668" i="10" a="1"/>
  <c r="E532" i="10" a="1"/>
  <c r="E532" i="10" s="1"/>
  <c r="E498" i="10" a="1"/>
  <c r="E498" i="10" s="1"/>
  <c r="E362" i="10" a="1"/>
  <c r="E2997" i="10" a="1"/>
  <c r="E2997" i="10" s="1"/>
  <c r="E2861" i="10" a="1"/>
  <c r="E2861" i="10" s="1"/>
  <c r="E2725" i="10" a="1"/>
  <c r="E2589" i="10" a="1"/>
  <c r="E2589" i="10" s="1"/>
  <c r="E2419" i="10" a="1"/>
  <c r="E2419" i="10" s="1"/>
  <c r="E2283" i="10" a="1"/>
  <c r="E2283" i="10" s="1"/>
  <c r="E2147" i="10" a="1"/>
  <c r="E2147" i="10" s="1"/>
  <c r="E1977" i="10" a="1"/>
  <c r="E1841" i="10" a="1"/>
  <c r="E1841" i="10" s="1"/>
  <c r="E1705" i="10" a="1"/>
  <c r="E1705" i="10" s="1"/>
  <c r="E1569" i="10" a="1"/>
  <c r="E1569" i="10" s="1"/>
  <c r="E1399" i="10" a="1"/>
  <c r="E1263" i="10" a="1"/>
  <c r="E1127" i="10" a="1"/>
  <c r="E1127" i="10" s="1"/>
  <c r="E957" i="10" a="1"/>
  <c r="E821" i="10" a="1"/>
  <c r="E685" i="10" a="1"/>
  <c r="E549" i="10" a="1"/>
  <c r="E549" i="10" s="1"/>
  <c r="E379" i="10" a="1"/>
  <c r="E379" i="10" s="1"/>
  <c r="E1926" i="10" a="1"/>
  <c r="E3014" i="10" a="1"/>
  <c r="E2878" i="10" a="1"/>
  <c r="E2742" i="10" a="1"/>
  <c r="E2606" i="10" a="1"/>
  <c r="E2436" i="10" a="1"/>
  <c r="E2300" i="10" a="1"/>
  <c r="E2164" i="10" a="1"/>
  <c r="E1994" i="10" a="1"/>
  <c r="E1858" i="10" a="1"/>
  <c r="E1722" i="10" a="1"/>
  <c r="E1586" i="10" a="1"/>
  <c r="E1416" i="10" a="1"/>
  <c r="E1280" i="10" a="1"/>
  <c r="E1144" i="10" a="1"/>
  <c r="E974" i="10" a="1"/>
  <c r="E838" i="10" a="1"/>
  <c r="E702" i="10" a="1"/>
  <c r="E702" i="10" s="1"/>
  <c r="E566" i="10" a="1"/>
  <c r="E396" i="10" a="1"/>
  <c r="E1790" i="10" a="1"/>
  <c r="E3031" i="10" a="1"/>
  <c r="E3031" i="10" s="1"/>
  <c r="E2895" i="10" a="1"/>
  <c r="E2895" i="10" s="1"/>
  <c r="E2759" i="10" a="1"/>
  <c r="E2623" i="10" a="1"/>
  <c r="E2453" i="10" a="1"/>
  <c r="E2453" i="10" s="1"/>
  <c r="E2317" i="10" a="1"/>
  <c r="E2317" i="10" s="1"/>
  <c r="E2181" i="10" a="1"/>
  <c r="E2181" i="10" s="1"/>
  <c r="E2045" i="10" a="1"/>
  <c r="E2011" i="10" a="1"/>
  <c r="E1875" i="10" a="1"/>
  <c r="E1875" i="10" s="1"/>
  <c r="E1739" i="10" a="1"/>
  <c r="E1739" i="10" s="1"/>
  <c r="E1603" i="10" a="1"/>
  <c r="E1433" i="10" a="1"/>
  <c r="E1297" i="10" a="1"/>
  <c r="E1161" i="10" a="1"/>
  <c r="E1025" i="10" a="1"/>
  <c r="E991" i="10" a="1"/>
  <c r="E855" i="10" a="1"/>
  <c r="E719" i="10" a="1"/>
  <c r="E583" i="10" a="1"/>
  <c r="E583" i="10" s="1"/>
  <c r="E413" i="10" a="1"/>
  <c r="E413" i="10" s="1"/>
  <c r="E3048" i="10" a="1"/>
  <c r="E2912" i="10" a="1"/>
  <c r="E2776" i="10" a="1"/>
  <c r="E2640" i="10" a="1"/>
  <c r="E2470" i="10" a="1"/>
  <c r="E2334" i="10" a="1"/>
  <c r="E2198" i="10" a="1"/>
  <c r="E2198" i="10" s="1"/>
  <c r="E2062" i="10" a="1"/>
  <c r="E2028" i="10" a="1"/>
  <c r="E2028" i="10" s="1"/>
  <c r="E1892" i="10" a="1"/>
  <c r="E1756" i="10" a="1"/>
  <c r="E1756" i="10" s="1"/>
  <c r="E1620" i="10" a="1"/>
  <c r="E1450" i="10" a="1"/>
  <c r="E1314" i="10" a="1"/>
  <c r="E1178" i="10" a="1"/>
  <c r="E1178" i="10" s="1"/>
  <c r="E1042" i="10" a="1"/>
  <c r="E1042" i="10" s="1"/>
  <c r="E1008" i="10" a="1"/>
  <c r="E1008" i="10" s="1"/>
  <c r="E872" i="10" a="1"/>
  <c r="E872" i="10" s="1"/>
  <c r="E736" i="10" a="1"/>
  <c r="E736" i="10" s="1"/>
  <c r="E600" i="10" a="1"/>
  <c r="E430" i="10" a="1"/>
  <c r="E430" i="10" s="1"/>
  <c r="E2929" i="10" a="1"/>
  <c r="E2929" i="10" s="1"/>
  <c r="E2793" i="10" a="1"/>
  <c r="E2657" i="10" a="1"/>
  <c r="E2657" i="10" s="1"/>
  <c r="E2487" i="10" a="1"/>
  <c r="E2487" i="10" s="1"/>
  <c r="E2351" i="10" a="1"/>
  <c r="E2215" i="10" a="1"/>
  <c r="E2215" i="10" s="1"/>
  <c r="E2079" i="10" a="1"/>
  <c r="E2079" i="10" s="1"/>
  <c r="E1909" i="10" a="1"/>
  <c r="E1909" i="10" s="1"/>
  <c r="E1773" i="10" a="1"/>
  <c r="E1773" i="10" s="1"/>
  <c r="E1637" i="10" a="1"/>
  <c r="E1637" i="10" s="1"/>
  <c r="E1467" i="10" a="1"/>
  <c r="E1467" i="10" s="1"/>
  <c r="E1331" i="10" a="1"/>
  <c r="E1195" i="10" a="1"/>
  <c r="E1195" i="10" s="1"/>
  <c r="E1059" i="10" a="1"/>
  <c r="E1059" i="10" s="1"/>
  <c r="E889" i="10" a="1"/>
  <c r="E889" i="10" s="1"/>
  <c r="E753" i="10" a="1"/>
  <c r="E753" i="10" s="1"/>
  <c r="E617" i="10" a="1"/>
  <c r="E617" i="10" s="1"/>
  <c r="E447" i="10" a="1"/>
  <c r="E2232" i="10"/>
  <c r="E2096" i="10"/>
  <c r="E1926" i="10"/>
  <c r="E1790" i="10"/>
  <c r="E1484" i="10"/>
  <c r="E1348" i="10"/>
  <c r="E1212" i="10"/>
  <c r="E1076" i="10"/>
  <c r="E906" i="10"/>
  <c r="E770" i="10"/>
  <c r="E634" i="10"/>
  <c r="E328" i="10"/>
  <c r="E2674" i="10"/>
  <c r="E2249" i="10"/>
  <c r="E1535" i="10"/>
  <c r="E1501" i="10"/>
  <c r="E1365" i="10"/>
  <c r="E1229" i="10"/>
  <c r="E1093" i="10"/>
  <c r="E923" i="10"/>
  <c r="E787" i="10"/>
  <c r="E651" i="10"/>
  <c r="E515" i="10"/>
  <c r="E2793" i="10"/>
  <c r="E2810" i="10"/>
  <c r="E2368" i="10"/>
  <c r="E2385" i="10"/>
  <c r="E2980" i="10"/>
  <c r="E2844" i="10"/>
  <c r="E2708" i="10"/>
  <c r="E2572" i="10"/>
  <c r="E2538" i="10"/>
  <c r="E2402" i="10"/>
  <c r="E2266" i="10"/>
  <c r="E2130" i="10"/>
  <c r="E1960" i="10"/>
  <c r="E1824" i="10"/>
  <c r="E1552" i="10"/>
  <c r="E1518" i="10"/>
  <c r="E1382" i="10"/>
  <c r="E1246" i="10"/>
  <c r="E1110" i="10"/>
  <c r="E940" i="10"/>
  <c r="E804" i="10"/>
  <c r="E668" i="10"/>
  <c r="E362" i="10"/>
  <c r="E2946" i="10"/>
  <c r="E2504" i="10"/>
  <c r="E2691" i="10"/>
  <c r="E2725" i="10"/>
  <c r="E1977" i="10"/>
  <c r="E1399" i="10"/>
  <c r="E1263" i="10"/>
  <c r="E957" i="10"/>
  <c r="E821" i="10"/>
  <c r="E685" i="10"/>
  <c r="E2878" i="10"/>
  <c r="E2606" i="10"/>
  <c r="E2436" i="10"/>
  <c r="E2300" i="10"/>
  <c r="E2164" i="10"/>
  <c r="E1994" i="10"/>
  <c r="E1858" i="10"/>
  <c r="E1722" i="10"/>
  <c r="E1586" i="10"/>
  <c r="E1416" i="10"/>
  <c r="E1280" i="10"/>
  <c r="E1144" i="10"/>
  <c r="E974" i="10"/>
  <c r="E838" i="10"/>
  <c r="E566" i="10"/>
  <c r="E396" i="10"/>
  <c r="E2351" i="10"/>
  <c r="E3014" i="10"/>
  <c r="E2045" i="10"/>
  <c r="E2011" i="10"/>
  <c r="E1603" i="10"/>
  <c r="E1433" i="10"/>
  <c r="E1297" i="10"/>
  <c r="E1161" i="10"/>
  <c r="E1025" i="10"/>
  <c r="E991" i="10"/>
  <c r="E855" i="10"/>
  <c r="E719" i="10"/>
  <c r="E1331" i="10"/>
  <c r="E447" i="10"/>
  <c r="E2742" i="10"/>
  <c r="E2759" i="10"/>
  <c r="E2623" i="10"/>
  <c r="E3048" i="10"/>
  <c r="E2912" i="10"/>
  <c r="E2776" i="10"/>
  <c r="E2640" i="10"/>
  <c r="E2470" i="10"/>
  <c r="E2334" i="10"/>
  <c r="E2062" i="10"/>
  <c r="E1892" i="10"/>
  <c r="E1620" i="10"/>
  <c r="E1450" i="10"/>
  <c r="E1314" i="10"/>
  <c r="E600" i="10"/>
  <c r="C2964" i="10" a="1"/>
  <c r="C2964" i="10" s="1"/>
  <c r="E2756" i="10"/>
  <c r="C2539" i="10" a="1"/>
  <c r="C2539" i="10" s="1"/>
  <c r="E2246" i="10"/>
  <c r="E2603" i="10"/>
  <c r="C2658" i="10" a="1"/>
  <c r="C2658" i="10" s="1"/>
  <c r="E2773" i="10"/>
  <c r="C3015" i="10" a="1"/>
  <c r="C3015" i="10" s="1"/>
  <c r="E2994" i="10"/>
  <c r="C2930" i="10" a="1"/>
  <c r="C2930" i="10" s="1"/>
  <c r="C2641" i="10" a="1"/>
  <c r="C2641" i="10" s="1"/>
  <c r="C2624" i="10" a="1"/>
  <c r="C2624" i="10" s="1"/>
  <c r="E3045" i="10"/>
  <c r="C2981" i="10" a="1"/>
  <c r="C2981" i="10" s="1"/>
  <c r="E2960" i="10"/>
  <c r="C2896" i="10" a="1"/>
  <c r="C2896" i="10" s="1"/>
  <c r="E2076" i="10"/>
  <c r="E2654" i="10"/>
  <c r="C2811" i="10" a="1"/>
  <c r="C2811" i="10" s="1"/>
  <c r="C2726" i="10" a="1"/>
  <c r="C2726" i="10" s="1"/>
  <c r="E3011" i="10"/>
  <c r="C2947" i="10" a="1"/>
  <c r="C2947" i="10" s="1"/>
  <c r="E2926" i="10"/>
  <c r="C2862" i="10" a="1"/>
  <c r="C2862" i="10" s="1"/>
  <c r="E2637" i="10"/>
  <c r="E2620" i="10"/>
  <c r="C2760" i="10" a="1"/>
  <c r="C2760" i="10" s="1"/>
  <c r="E2977" i="10"/>
  <c r="C2913" i="10" a="1"/>
  <c r="C2913" i="10" s="1"/>
  <c r="E2892" i="10"/>
  <c r="C2828" i="10" a="1"/>
  <c r="C2828" i="10" s="1"/>
  <c r="E2263" i="10"/>
  <c r="E2552" i="10"/>
  <c r="E2569" i="10"/>
  <c r="C2590" i="10" a="1"/>
  <c r="C2590" i="10" s="1"/>
  <c r="E2807" i="10"/>
  <c r="C2794" i="10" a="1"/>
  <c r="C2794" i="10" s="1"/>
  <c r="E2722" i="10"/>
  <c r="C2709" i="10" a="1"/>
  <c r="C2709" i="10" s="1"/>
  <c r="C2692" i="10" a="1"/>
  <c r="C2692" i="10" s="1"/>
  <c r="E2943" i="10"/>
  <c r="C2879" i="10" a="1"/>
  <c r="C2879" i="10" s="1"/>
  <c r="E2858" i="10"/>
  <c r="E1158" i="10"/>
  <c r="C2556" i="10" a="1"/>
  <c r="C2556" i="10" s="1"/>
  <c r="C2675" i="10" a="1"/>
  <c r="C2675" i="10" s="1"/>
  <c r="C2743" i="10" a="1"/>
  <c r="C2743" i="10" s="1"/>
  <c r="C3032" i="10" a="1"/>
  <c r="C3032" i="10" s="1"/>
  <c r="E2909" i="10"/>
  <c r="C2845" i="10" a="1"/>
  <c r="C2845" i="10" s="1"/>
  <c r="E2824" i="10"/>
  <c r="E1430" i="10"/>
  <c r="E2382" i="10"/>
  <c r="C2607" i="10" a="1"/>
  <c r="C2607" i="10" s="1"/>
  <c r="E2586" i="10"/>
  <c r="E2790" i="10"/>
  <c r="C2777" i="10" a="1"/>
  <c r="C2777" i="10" s="1"/>
  <c r="E2705" i="10"/>
  <c r="E2688" i="10"/>
  <c r="C2998" i="10" a="1"/>
  <c r="C2998" i="10" s="1"/>
  <c r="E2875" i="10"/>
  <c r="C2148" i="10" a="1"/>
  <c r="C2148" i="10" s="1"/>
  <c r="E2484" i="10"/>
  <c r="C2573" i="10" a="1"/>
  <c r="C2573" i="10" s="1"/>
  <c r="E2671" i="10"/>
  <c r="E2739" i="10"/>
  <c r="C3049" i="10" a="1"/>
  <c r="C3049" i="10" s="1"/>
  <c r="E3028" i="10"/>
  <c r="E1651" i="10"/>
  <c r="E2025" i="10"/>
  <c r="E1974" i="10"/>
  <c r="E1838" i="10"/>
  <c r="C2233" i="10" a="1"/>
  <c r="C2233" i="10" s="1"/>
  <c r="E2535" i="10"/>
  <c r="C2471" i="10" a="1"/>
  <c r="C2471" i="10" s="1"/>
  <c r="C2454" i="10" a="1"/>
  <c r="C2454" i="10" s="1"/>
  <c r="C2369" i="10" a="1"/>
  <c r="C2369" i="10" s="1"/>
  <c r="E1226" i="10"/>
  <c r="E1498" i="10"/>
  <c r="E1753" i="10"/>
  <c r="E2059" i="10"/>
  <c r="C2165" i="10" a="1"/>
  <c r="C2165" i="10" s="1"/>
  <c r="E2144" i="10"/>
  <c r="C2114" i="10" a="1"/>
  <c r="C2114" i="10" s="1"/>
  <c r="C2216" i="10" a="1"/>
  <c r="C2216" i="10" s="1"/>
  <c r="E2501" i="10"/>
  <c r="C2420" i="10" a="1"/>
  <c r="C2420" i="10" s="1"/>
  <c r="C2352" i="10" a="1"/>
  <c r="C2352" i="10" s="1"/>
  <c r="E1719" i="10"/>
  <c r="E2042" i="10"/>
  <c r="C2284" i="10" a="1"/>
  <c r="C2284" i="10" s="1"/>
  <c r="E2229" i="10"/>
  <c r="C2182" i="10" a="1"/>
  <c r="C2182" i="10" s="1"/>
  <c r="E2467" i="10"/>
  <c r="E2450" i="10"/>
  <c r="E2365" i="10"/>
  <c r="C2318" i="10" a="1"/>
  <c r="C2318" i="10" s="1"/>
  <c r="C1553" i="10" a="1"/>
  <c r="C1553" i="10" s="1"/>
  <c r="E1022" i="10"/>
  <c r="E1294" i="10"/>
  <c r="C2046" i="10" a="1"/>
  <c r="C2046" i="10" s="1"/>
  <c r="E2161" i="10"/>
  <c r="C2131" i="10" a="1"/>
  <c r="C2131" i="10" s="1"/>
  <c r="E2110" i="10"/>
  <c r="E2212" i="10"/>
  <c r="C2437" i="10" a="1"/>
  <c r="C2437" i="10" s="1"/>
  <c r="E2416" i="10"/>
  <c r="E2348" i="10"/>
  <c r="C1859" i="10" a="1"/>
  <c r="C1859" i="10" s="1"/>
  <c r="C2097" i="10" a="1"/>
  <c r="C2097" i="10" s="1"/>
  <c r="C2301" i="10" a="1"/>
  <c r="C2301" i="10" s="1"/>
  <c r="E2280" i="10"/>
  <c r="C2199" i="10" a="1"/>
  <c r="C2199" i="10" s="1"/>
  <c r="E2178" i="10"/>
  <c r="C2522" i="10" a="1"/>
  <c r="C2522" i="10" s="1"/>
  <c r="C2403" i="10" a="1"/>
  <c r="C2403" i="10" s="1"/>
  <c r="C2335" i="10" a="1"/>
  <c r="C2335" i="10" s="1"/>
  <c r="E2314" i="10"/>
  <c r="C2505" i="10" a="1"/>
  <c r="C2505" i="10" s="1"/>
  <c r="E1090" i="10"/>
  <c r="E1362" i="10"/>
  <c r="C2063" i="10" a="1"/>
  <c r="C2063" i="10" s="1"/>
  <c r="C2080" i="10" a="1"/>
  <c r="C2080" i="10" s="1"/>
  <c r="E2127" i="10"/>
  <c r="C2267" i="10" a="1"/>
  <c r="C2267" i="10" s="1"/>
  <c r="C2250" i="10" a="1"/>
  <c r="C2250" i="10" s="1"/>
  <c r="C2488" i="10" a="1"/>
  <c r="C2488" i="10" s="1"/>
  <c r="E2433" i="10"/>
  <c r="C2386" i="10" a="1"/>
  <c r="C2386" i="10" s="1"/>
  <c r="E1685" i="10"/>
  <c r="E2093" i="10"/>
  <c r="E2297" i="10"/>
  <c r="E2195" i="10"/>
  <c r="E2518" i="10"/>
  <c r="E2399" i="10"/>
  <c r="C1621" i="10" a="1"/>
  <c r="C1621" i="10" s="1"/>
  <c r="E1770" i="10"/>
  <c r="E1702" i="10"/>
  <c r="E1991" i="10"/>
  <c r="E1940" i="10"/>
  <c r="E1617" i="10"/>
  <c r="C1604" i="10" a="1"/>
  <c r="C1604" i="10" s="1"/>
  <c r="E2008" i="10"/>
  <c r="E1957" i="10"/>
  <c r="C1893" i="10" a="1"/>
  <c r="C1893" i="10" s="1"/>
  <c r="C1961" i="10" a="1"/>
  <c r="C1961" i="10" s="1"/>
  <c r="C1791" i="10" a="1"/>
  <c r="C1791" i="10" s="1"/>
  <c r="E1736" i="10"/>
  <c r="E1039" i="10"/>
  <c r="E1107" i="10"/>
  <c r="E1175" i="10"/>
  <c r="E1243" i="10"/>
  <c r="E1311" i="10"/>
  <c r="E1379" i="10"/>
  <c r="E1447" i="10"/>
  <c r="E1515" i="10"/>
  <c r="C1638" i="10" a="1"/>
  <c r="C1638" i="10" s="1"/>
  <c r="E1787" i="10"/>
  <c r="E1872" i="10"/>
  <c r="C1808" i="10" a="1"/>
  <c r="C1808" i="10" s="1"/>
  <c r="E1549" i="10"/>
  <c r="C1587" i="10" a="1"/>
  <c r="C1587" i="10" s="1"/>
  <c r="C1570" i="10" a="1"/>
  <c r="C1570" i="10" s="1"/>
  <c r="C1978" i="10" a="1"/>
  <c r="C1978" i="10" s="1"/>
  <c r="C1910" i="10" a="1"/>
  <c r="C1910" i="10" s="1"/>
  <c r="E1889" i="10"/>
  <c r="C1825" i="10" a="1"/>
  <c r="C1825" i="10" s="1"/>
  <c r="C1876" i="10" a="1"/>
  <c r="C1876" i="10" s="1"/>
  <c r="C1366" i="10" a="1"/>
  <c r="C1366" i="10" s="1"/>
  <c r="E1056" i="10"/>
  <c r="E1124" i="10"/>
  <c r="E1192" i="10"/>
  <c r="E1260" i="10"/>
  <c r="E1328" i="10"/>
  <c r="E1396" i="10"/>
  <c r="E1464" i="10"/>
  <c r="E1532" i="10"/>
  <c r="C1672" i="10" a="1"/>
  <c r="C1672" i="10" s="1"/>
  <c r="C1944" i="10" a="1"/>
  <c r="C1944" i="10" s="1"/>
  <c r="C1927" i="10" a="1"/>
  <c r="C1927" i="10" s="1"/>
  <c r="E1804" i="10"/>
  <c r="E1855" i="10"/>
  <c r="C1536" i="10" a="1"/>
  <c r="C1536" i="10" s="1"/>
  <c r="E1583" i="10"/>
  <c r="E1566" i="10"/>
  <c r="C1655" i="10" a="1"/>
  <c r="C1655" i="10" s="1"/>
  <c r="E1600" i="10"/>
  <c r="C1757" i="10" a="1"/>
  <c r="C1757" i="10" s="1"/>
  <c r="C1723" i="10" a="1"/>
  <c r="C1723" i="10" s="1"/>
  <c r="C1689" i="10" a="1"/>
  <c r="C1689" i="10" s="1"/>
  <c r="C2029" i="10" a="1"/>
  <c r="C2029" i="10" s="1"/>
  <c r="E1906" i="10"/>
  <c r="C1842" i="10" a="1"/>
  <c r="C1842" i="10" s="1"/>
  <c r="E1821" i="10"/>
  <c r="E1073" i="10"/>
  <c r="E1141" i="10"/>
  <c r="E1209" i="10"/>
  <c r="E1277" i="10"/>
  <c r="E1345" i="10"/>
  <c r="E1413" i="10"/>
  <c r="E1634" i="10"/>
  <c r="C1774" i="10" a="1"/>
  <c r="C1774" i="10" s="1"/>
  <c r="C1740" i="10" a="1"/>
  <c r="C1740" i="10" s="1"/>
  <c r="C1706" i="10" a="1"/>
  <c r="C1706" i="10" s="1"/>
  <c r="E1668" i="10"/>
  <c r="C2012" i="10" a="1"/>
  <c r="C2012" i="10" s="1"/>
  <c r="C1995" i="10" a="1"/>
  <c r="C1995" i="10" s="1"/>
  <c r="C1400" i="10" a="1"/>
  <c r="C1400" i="10" s="1"/>
  <c r="C1298" i="10" a="1"/>
  <c r="C1298" i="10" s="1"/>
  <c r="C941" i="10" a="1"/>
  <c r="C941" i="10" s="1"/>
  <c r="E512" i="10"/>
  <c r="E818" i="10"/>
  <c r="C1247" i="10" a="1"/>
  <c r="C1247" i="10" s="1"/>
  <c r="C1213" i="10" a="1"/>
  <c r="C1213" i="10" s="1"/>
  <c r="C1332" i="10" a="1"/>
  <c r="C1332" i="10" s="1"/>
  <c r="C1502" i="10" a="1"/>
  <c r="C1502" i="10" s="1"/>
  <c r="E597" i="10"/>
  <c r="E954" i="10"/>
  <c r="C1128" i="10" a="1"/>
  <c r="C1128" i="10" s="1"/>
  <c r="C1417" i="10" a="1"/>
  <c r="C1417" i="10" s="1"/>
  <c r="C805" i="10" a="1"/>
  <c r="C805" i="10" s="1"/>
  <c r="C1043" i="10" a="1"/>
  <c r="C1043" i="10" s="1"/>
  <c r="C1060" i="10" a="1"/>
  <c r="C1060" i="10" s="1"/>
  <c r="C1264" i="10" a="1"/>
  <c r="C1264" i="10" s="1"/>
  <c r="C1230" i="10" a="1"/>
  <c r="C1230" i="10" s="1"/>
  <c r="C1179" i="10" a="1"/>
  <c r="C1179" i="10" s="1"/>
  <c r="C1451" i="10" a="1"/>
  <c r="C1451" i="10" s="1"/>
  <c r="C1349" i="10" a="1"/>
  <c r="C1349" i="10" s="1"/>
  <c r="C1077" i="10" a="1"/>
  <c r="C1077" i="10" s="1"/>
  <c r="C1145" i="10" a="1"/>
  <c r="C1145" i="10" s="1"/>
  <c r="C1111" i="10" a="1"/>
  <c r="C1111" i="10" s="1"/>
  <c r="C1519" i="10" a="1"/>
  <c r="C1519" i="10" s="1"/>
  <c r="C1485" i="10" a="1"/>
  <c r="C1485" i="10" s="1"/>
  <c r="C1383" i="10" a="1"/>
  <c r="C1383" i="10" s="1"/>
  <c r="E665" i="10"/>
  <c r="C1009" i="10" a="1"/>
  <c r="C1009" i="10" s="1"/>
  <c r="C1094" i="10" a="1"/>
  <c r="C1094" i="10" s="1"/>
  <c r="C1281" i="10" a="1"/>
  <c r="C1281" i="10" s="1"/>
  <c r="C1162" i="10" a="1"/>
  <c r="C1162" i="10" s="1"/>
  <c r="C1434" i="10" a="1"/>
  <c r="C1434" i="10" s="1"/>
  <c r="C1315" i="10" a="1"/>
  <c r="C1315" i="10" s="1"/>
  <c r="E869" i="10"/>
  <c r="C1026" i="10" a="1"/>
  <c r="C1026" i="10" s="1"/>
  <c r="C1196" i="10" a="1"/>
  <c r="C1196" i="10" s="1"/>
  <c r="C1468" i="10" a="1"/>
  <c r="C1468" i="10" s="1"/>
  <c r="C635" i="10" a="1"/>
  <c r="C635" i="10" s="1"/>
  <c r="C516" i="10" a="1"/>
  <c r="C516" i="10" s="1"/>
  <c r="E529" i="10"/>
  <c r="E563" i="10"/>
  <c r="E546" i="10"/>
  <c r="E767" i="10"/>
  <c r="E682" i="10"/>
  <c r="E988" i="10"/>
  <c r="C890" i="10" a="1"/>
  <c r="C890" i="10" s="1"/>
  <c r="C856" i="10" a="1"/>
  <c r="C856" i="10" s="1"/>
  <c r="C618" i="10" a="1"/>
  <c r="C618" i="10" s="1"/>
  <c r="C584" i="10" a="1"/>
  <c r="C584" i="10" s="1"/>
  <c r="E699" i="10"/>
  <c r="C669" i="10" a="1"/>
  <c r="C669" i="10" s="1"/>
  <c r="E903" i="10"/>
  <c r="C839" i="10" a="1"/>
  <c r="C839" i="10" s="1"/>
  <c r="C601" i="10" a="1"/>
  <c r="C601" i="10" s="1"/>
  <c r="C771" i="10" a="1"/>
  <c r="C771" i="10" s="1"/>
  <c r="E716" i="10"/>
  <c r="C652" i="10" a="1"/>
  <c r="C652" i="10" s="1"/>
  <c r="E971" i="10"/>
  <c r="E886" i="10"/>
  <c r="C873" i="10" a="1"/>
  <c r="C873" i="10" s="1"/>
  <c r="E852" i="10"/>
  <c r="E801" i="10"/>
  <c r="C788" i="10" a="1"/>
  <c r="C788" i="10" s="1"/>
  <c r="E614" i="10"/>
  <c r="E580" i="10"/>
  <c r="C754" i="10" a="1"/>
  <c r="C754" i="10" s="1"/>
  <c r="E733" i="10"/>
  <c r="C703" i="10" a="1"/>
  <c r="C703" i="10" s="1"/>
  <c r="C567" i="10" a="1"/>
  <c r="C567" i="10" s="1"/>
  <c r="C686" i="10" a="1"/>
  <c r="C686" i="10" s="1"/>
  <c r="E937" i="10"/>
  <c r="C924" i="10" a="1"/>
  <c r="C924" i="10" s="1"/>
  <c r="E784" i="10"/>
  <c r="E750" i="10"/>
  <c r="C737" i="10" a="1"/>
  <c r="C737" i="10" s="1"/>
  <c r="C958" i="10" a="1"/>
  <c r="C958" i="10" s="1"/>
  <c r="C907" i="10" a="1"/>
  <c r="C907" i="10" s="1"/>
  <c r="E835" i="10"/>
  <c r="C822" i="10" a="1"/>
  <c r="C822" i="10" s="1"/>
  <c r="C533" i="10" a="1"/>
  <c r="C533" i="10" s="1"/>
  <c r="C550" i="10" a="1"/>
  <c r="C550" i="10" s="1"/>
  <c r="E631" i="10"/>
  <c r="C720" i="10" a="1"/>
  <c r="C720" i="10" s="1"/>
  <c r="E648" i="10"/>
  <c r="E1005" i="10"/>
  <c r="C992" i="10" a="1"/>
  <c r="C992" i="10" s="1"/>
  <c r="C975" i="10" a="1"/>
  <c r="C975" i="10" s="1"/>
  <c r="H1" i="10" l="1"/>
  <c r="D16" i="10" l="1"/>
  <c r="AI216" i="8" l="1"/>
  <c r="AH216" i="8"/>
  <c r="AG216" i="8"/>
  <c r="AF216" i="8"/>
  <c r="AI215" i="8"/>
  <c r="AH215" i="8"/>
  <c r="AG215" i="8"/>
  <c r="AF215" i="8"/>
  <c r="AI214" i="8"/>
  <c r="AH214" i="8"/>
  <c r="AG214" i="8"/>
  <c r="AF214" i="8"/>
  <c r="AI213" i="8"/>
  <c r="AH213" i="8"/>
  <c r="AG213" i="8"/>
  <c r="AF213" i="8"/>
  <c r="AI212" i="8"/>
  <c r="AH212" i="8"/>
  <c r="AG212" i="8"/>
  <c r="AF212" i="8"/>
  <c r="AI211" i="8"/>
  <c r="AH211" i="8"/>
  <c r="AG211" i="8"/>
  <c r="AF211" i="8"/>
  <c r="AI210" i="8"/>
  <c r="AH210" i="8"/>
  <c r="AG210" i="8"/>
  <c r="AF210" i="8"/>
  <c r="AI209" i="8"/>
  <c r="AH209" i="8"/>
  <c r="AG209" i="8"/>
  <c r="AF209" i="8"/>
  <c r="AI208" i="8"/>
  <c r="AH208" i="8"/>
  <c r="AG208" i="8"/>
  <c r="AF208" i="8"/>
  <c r="AI207" i="8"/>
  <c r="AH207" i="8"/>
  <c r="AG207" i="8"/>
  <c r="AF207" i="8"/>
  <c r="AI206" i="8"/>
  <c r="AH206" i="8"/>
  <c r="AG206" i="8"/>
  <c r="AF206" i="8"/>
  <c r="AI205" i="8"/>
  <c r="AH205" i="8"/>
  <c r="AG205" i="8"/>
  <c r="AF205" i="8"/>
  <c r="AI204" i="8"/>
  <c r="AH204" i="8"/>
  <c r="AG204" i="8"/>
  <c r="AF204" i="8"/>
  <c r="AI203" i="8"/>
  <c r="AH203" i="8"/>
  <c r="AG203" i="8"/>
  <c r="AF203" i="8"/>
  <c r="AI202" i="8"/>
  <c r="AH202" i="8"/>
  <c r="AG202" i="8"/>
  <c r="AF202" i="8"/>
  <c r="AI201" i="8"/>
  <c r="AH201" i="8"/>
  <c r="AG201" i="8"/>
  <c r="AF201" i="8"/>
  <c r="AI200" i="8"/>
  <c r="AH200" i="8"/>
  <c r="AG200" i="8"/>
  <c r="AF200" i="8"/>
  <c r="AI199" i="8"/>
  <c r="AH199" i="8"/>
  <c r="AG199" i="8"/>
  <c r="AF199" i="8"/>
  <c r="AI198" i="8"/>
  <c r="AH198" i="8"/>
  <c r="AG198" i="8"/>
  <c r="AF198" i="8"/>
  <c r="AI197" i="8"/>
  <c r="AH197" i="8"/>
  <c r="AG197" i="8"/>
  <c r="AF197" i="8"/>
  <c r="AI196" i="8"/>
  <c r="AH196" i="8"/>
  <c r="AG196" i="8"/>
  <c r="AF196" i="8"/>
  <c r="AI195" i="8"/>
  <c r="AH195" i="8"/>
  <c r="AG195" i="8"/>
  <c r="AF195" i="8"/>
  <c r="AI194" i="8"/>
  <c r="AH194" i="8"/>
  <c r="AG194" i="8"/>
  <c r="AF194" i="8"/>
  <c r="AI193" i="8"/>
  <c r="AH193" i="8"/>
  <c r="AG193" i="8"/>
  <c r="AF193" i="8"/>
  <c r="AI192" i="8"/>
  <c r="AH192" i="8"/>
  <c r="AG192" i="8"/>
  <c r="AF192" i="8"/>
  <c r="AI191" i="8"/>
  <c r="AH191" i="8"/>
  <c r="AG191" i="8"/>
  <c r="AF191" i="8"/>
  <c r="AI190" i="8"/>
  <c r="AH190" i="8"/>
  <c r="AG190" i="8"/>
  <c r="AF190" i="8"/>
  <c r="AI189" i="8"/>
  <c r="AH189" i="8"/>
  <c r="AG189" i="8"/>
  <c r="AF189" i="8"/>
  <c r="AI188" i="8"/>
  <c r="AH188" i="8"/>
  <c r="AG188" i="8"/>
  <c r="AF188" i="8"/>
  <c r="AI187" i="8"/>
  <c r="AH187" i="8"/>
  <c r="AG187" i="8"/>
  <c r="AF187" i="8"/>
  <c r="AI180" i="8"/>
  <c r="AH180" i="8"/>
  <c r="AG180" i="8"/>
  <c r="AF180" i="8"/>
  <c r="AI179" i="8"/>
  <c r="AH179" i="8"/>
  <c r="AG179" i="8"/>
  <c r="AF179" i="8"/>
  <c r="AI178" i="8"/>
  <c r="AH178" i="8"/>
  <c r="AG178" i="8"/>
  <c r="AF178" i="8"/>
  <c r="AI177" i="8"/>
  <c r="AH177" i="8"/>
  <c r="AG177" i="8"/>
  <c r="AF177" i="8"/>
  <c r="AI176" i="8"/>
  <c r="AH176" i="8"/>
  <c r="AG176" i="8"/>
  <c r="AF176" i="8"/>
  <c r="AI175" i="8"/>
  <c r="AH175" i="8"/>
  <c r="AG175" i="8"/>
  <c r="AF175" i="8"/>
  <c r="AI174" i="8"/>
  <c r="AH174" i="8"/>
  <c r="AG174" i="8"/>
  <c r="AF174" i="8"/>
  <c r="AI173" i="8"/>
  <c r="AH173" i="8"/>
  <c r="AG173" i="8"/>
  <c r="AF173" i="8"/>
  <c r="AI172" i="8"/>
  <c r="AH172" i="8"/>
  <c r="AG172" i="8"/>
  <c r="AF172" i="8"/>
  <c r="AI171" i="8"/>
  <c r="AH171" i="8"/>
  <c r="AG171" i="8"/>
  <c r="AF171" i="8"/>
  <c r="AI170" i="8"/>
  <c r="AH170" i="8"/>
  <c r="AG170" i="8"/>
  <c r="AF170" i="8"/>
  <c r="AI169" i="8"/>
  <c r="AH169" i="8"/>
  <c r="AG169" i="8"/>
  <c r="AF169" i="8"/>
  <c r="AI168" i="8"/>
  <c r="AH168" i="8"/>
  <c r="AG168" i="8"/>
  <c r="AF168" i="8"/>
  <c r="AI167" i="8"/>
  <c r="AH167" i="8"/>
  <c r="AG167" i="8"/>
  <c r="AF167" i="8"/>
  <c r="AI166" i="8"/>
  <c r="AH166" i="8"/>
  <c r="AG166" i="8"/>
  <c r="AF166" i="8"/>
  <c r="AI165" i="8"/>
  <c r="AH165" i="8"/>
  <c r="AG165" i="8"/>
  <c r="AF165" i="8"/>
  <c r="AI164" i="8"/>
  <c r="AH164" i="8"/>
  <c r="AG164" i="8"/>
  <c r="AF164" i="8"/>
  <c r="AI163" i="8"/>
  <c r="AH163" i="8"/>
  <c r="AG163" i="8"/>
  <c r="AF163" i="8"/>
  <c r="AI162" i="8"/>
  <c r="AH162" i="8"/>
  <c r="AG162" i="8"/>
  <c r="AF162" i="8"/>
  <c r="AI161" i="8"/>
  <c r="AH161" i="8"/>
  <c r="AG161" i="8"/>
  <c r="AF161" i="8"/>
  <c r="AI160" i="8"/>
  <c r="AH160" i="8"/>
  <c r="AG160" i="8"/>
  <c r="AF160" i="8"/>
  <c r="AI159" i="8"/>
  <c r="AH159" i="8"/>
  <c r="AG159" i="8"/>
  <c r="AF159" i="8"/>
  <c r="AI158" i="8"/>
  <c r="AH158" i="8"/>
  <c r="AG158" i="8"/>
  <c r="AF158" i="8"/>
  <c r="AI157" i="8"/>
  <c r="AH157" i="8"/>
  <c r="AG157" i="8"/>
  <c r="AF157" i="8"/>
  <c r="AI156" i="8"/>
  <c r="AH156" i="8"/>
  <c r="AG156" i="8"/>
  <c r="AF156" i="8"/>
  <c r="AI155" i="8"/>
  <c r="AH155" i="8"/>
  <c r="AG155" i="8"/>
  <c r="AF155" i="8"/>
  <c r="AI154" i="8"/>
  <c r="AH154" i="8"/>
  <c r="AG154" i="8"/>
  <c r="AF154" i="8"/>
  <c r="AI153" i="8"/>
  <c r="AH153" i="8"/>
  <c r="AG153" i="8"/>
  <c r="AF153" i="8"/>
  <c r="AI152" i="8"/>
  <c r="AH152" i="8"/>
  <c r="AG152" i="8"/>
  <c r="AF152" i="8"/>
  <c r="AI151" i="8"/>
  <c r="AH151" i="8"/>
  <c r="AG151" i="8"/>
  <c r="AF151" i="8"/>
  <c r="AI144" i="8"/>
  <c r="AH144" i="8"/>
  <c r="AG144" i="8"/>
  <c r="AF144" i="8"/>
  <c r="AI143" i="8"/>
  <c r="AH143" i="8"/>
  <c r="AG143" i="8"/>
  <c r="AF143" i="8"/>
  <c r="AI142" i="8"/>
  <c r="AH142" i="8"/>
  <c r="AG142" i="8"/>
  <c r="AF142" i="8"/>
  <c r="AI141" i="8"/>
  <c r="AH141" i="8"/>
  <c r="AG141" i="8"/>
  <c r="AF141" i="8"/>
  <c r="AI140" i="8"/>
  <c r="AH140" i="8"/>
  <c r="AG140" i="8"/>
  <c r="AF140" i="8"/>
  <c r="AI139" i="8"/>
  <c r="AH139" i="8"/>
  <c r="AG139" i="8"/>
  <c r="AF139" i="8"/>
  <c r="AI138" i="8"/>
  <c r="AH138" i="8"/>
  <c r="AG138" i="8"/>
  <c r="AF138" i="8"/>
  <c r="AI137" i="8"/>
  <c r="AH137" i="8"/>
  <c r="AG137" i="8"/>
  <c r="AF137" i="8"/>
  <c r="AI136" i="8"/>
  <c r="AH136" i="8"/>
  <c r="AG136" i="8"/>
  <c r="AF136" i="8"/>
  <c r="AI135" i="8"/>
  <c r="AH135" i="8"/>
  <c r="AG135" i="8"/>
  <c r="AF135" i="8"/>
  <c r="AI134" i="8"/>
  <c r="AH134" i="8"/>
  <c r="AG134" i="8"/>
  <c r="AF134" i="8"/>
  <c r="AI133" i="8"/>
  <c r="AH133" i="8"/>
  <c r="AG133" i="8"/>
  <c r="AF133" i="8"/>
  <c r="AI132" i="8"/>
  <c r="AH132" i="8"/>
  <c r="AG132" i="8"/>
  <c r="AF132" i="8"/>
  <c r="AI131" i="8"/>
  <c r="AH131" i="8"/>
  <c r="AG131" i="8"/>
  <c r="AF131" i="8"/>
  <c r="AI130" i="8"/>
  <c r="AH130" i="8"/>
  <c r="AG130" i="8"/>
  <c r="AF130" i="8"/>
  <c r="AI129" i="8"/>
  <c r="AH129" i="8"/>
  <c r="AG129" i="8"/>
  <c r="AF129" i="8"/>
  <c r="AI128" i="8"/>
  <c r="AH128" i="8"/>
  <c r="AG128" i="8"/>
  <c r="AF128" i="8"/>
  <c r="AI127" i="8"/>
  <c r="AH127" i="8"/>
  <c r="AG127" i="8"/>
  <c r="AF127" i="8"/>
  <c r="AI126" i="8"/>
  <c r="AH126" i="8"/>
  <c r="AG126" i="8"/>
  <c r="AF126" i="8"/>
  <c r="AI125" i="8"/>
  <c r="AH125" i="8"/>
  <c r="AG125" i="8"/>
  <c r="AF125" i="8"/>
  <c r="AI124" i="8"/>
  <c r="AH124" i="8"/>
  <c r="AG124" i="8"/>
  <c r="AF124" i="8"/>
  <c r="AI123" i="8"/>
  <c r="AH123" i="8"/>
  <c r="AG123" i="8"/>
  <c r="AF123" i="8"/>
  <c r="AI122" i="8"/>
  <c r="AH122" i="8"/>
  <c r="AG122" i="8"/>
  <c r="AF122" i="8"/>
  <c r="AI121" i="8"/>
  <c r="AH121" i="8"/>
  <c r="AG121" i="8"/>
  <c r="AF121" i="8"/>
  <c r="AI120" i="8"/>
  <c r="AH120" i="8"/>
  <c r="AG120" i="8"/>
  <c r="AF120" i="8"/>
  <c r="AI119" i="8"/>
  <c r="AH119" i="8"/>
  <c r="AG119" i="8"/>
  <c r="AF119" i="8"/>
  <c r="AI118" i="8"/>
  <c r="AH118" i="8"/>
  <c r="AG118" i="8"/>
  <c r="AF118" i="8"/>
  <c r="AI117" i="8"/>
  <c r="AH117" i="8"/>
  <c r="AG117" i="8"/>
  <c r="AF117" i="8"/>
  <c r="AI116" i="8"/>
  <c r="AH116" i="8"/>
  <c r="AG116" i="8"/>
  <c r="AF116" i="8"/>
  <c r="AI115" i="8"/>
  <c r="AH115" i="8"/>
  <c r="AG115" i="8"/>
  <c r="AF115" i="8"/>
  <c r="AI108" i="8"/>
  <c r="AH108" i="8"/>
  <c r="AG108" i="8"/>
  <c r="AF108" i="8"/>
  <c r="AI107" i="8"/>
  <c r="AH107" i="8"/>
  <c r="AG107" i="8"/>
  <c r="AF107" i="8"/>
  <c r="AI106" i="8"/>
  <c r="AH106" i="8"/>
  <c r="AG106" i="8"/>
  <c r="AF106" i="8"/>
  <c r="AI105" i="8"/>
  <c r="AH105" i="8"/>
  <c r="AG105" i="8"/>
  <c r="AF105" i="8"/>
  <c r="AI104" i="8"/>
  <c r="AH104" i="8"/>
  <c r="AG104" i="8"/>
  <c r="AF104" i="8"/>
  <c r="AI103" i="8"/>
  <c r="AH103" i="8"/>
  <c r="AG103" i="8"/>
  <c r="AF103" i="8"/>
  <c r="AI102" i="8"/>
  <c r="AH102" i="8"/>
  <c r="AG102" i="8"/>
  <c r="AF102" i="8"/>
  <c r="AI101" i="8"/>
  <c r="AH101" i="8"/>
  <c r="AG101" i="8"/>
  <c r="AF101" i="8"/>
  <c r="AI100" i="8"/>
  <c r="AH100" i="8"/>
  <c r="AG100" i="8"/>
  <c r="AF100" i="8"/>
  <c r="AI99" i="8"/>
  <c r="AH99" i="8"/>
  <c r="AG99" i="8"/>
  <c r="AF99" i="8"/>
  <c r="AI98" i="8"/>
  <c r="AH98" i="8"/>
  <c r="AG98" i="8"/>
  <c r="AF98" i="8"/>
  <c r="AI97" i="8"/>
  <c r="AH97" i="8"/>
  <c r="AG97" i="8"/>
  <c r="AF97" i="8"/>
  <c r="AI96" i="8"/>
  <c r="AH96" i="8"/>
  <c r="AG96" i="8"/>
  <c r="AF96" i="8"/>
  <c r="AI95" i="8"/>
  <c r="AH95" i="8"/>
  <c r="AG95" i="8"/>
  <c r="AF95" i="8"/>
  <c r="AI94" i="8"/>
  <c r="AH94" i="8"/>
  <c r="AG94" i="8"/>
  <c r="AF94" i="8"/>
  <c r="AI93" i="8"/>
  <c r="AH93" i="8"/>
  <c r="AG93" i="8"/>
  <c r="AF93" i="8"/>
  <c r="AI92" i="8"/>
  <c r="AH92" i="8"/>
  <c r="AG92" i="8"/>
  <c r="AF92" i="8"/>
  <c r="AI91" i="8"/>
  <c r="AH91" i="8"/>
  <c r="AG91" i="8"/>
  <c r="AF91" i="8"/>
  <c r="AI90" i="8"/>
  <c r="AH90" i="8"/>
  <c r="AG90" i="8"/>
  <c r="AF90" i="8"/>
  <c r="AI89" i="8"/>
  <c r="AH89" i="8"/>
  <c r="AG89" i="8"/>
  <c r="AF89" i="8"/>
  <c r="AI88" i="8"/>
  <c r="AH88" i="8"/>
  <c r="AG88" i="8"/>
  <c r="AF88" i="8"/>
  <c r="AI87" i="8"/>
  <c r="AH87" i="8"/>
  <c r="AG87" i="8"/>
  <c r="AF87" i="8"/>
  <c r="AI86" i="8"/>
  <c r="AH86" i="8"/>
  <c r="AG86" i="8"/>
  <c r="AF86" i="8"/>
  <c r="AI85" i="8"/>
  <c r="AH85" i="8"/>
  <c r="AG85" i="8"/>
  <c r="AF85" i="8"/>
  <c r="AI84" i="8"/>
  <c r="AH84" i="8"/>
  <c r="AG84" i="8"/>
  <c r="AF84" i="8"/>
  <c r="AI83" i="8"/>
  <c r="AH83" i="8"/>
  <c r="AG83" i="8"/>
  <c r="AF83" i="8"/>
  <c r="AI82" i="8"/>
  <c r="AH82" i="8"/>
  <c r="AG82" i="8"/>
  <c r="AF82" i="8"/>
  <c r="AI81" i="8"/>
  <c r="AH81" i="8"/>
  <c r="AG81" i="8"/>
  <c r="AF81" i="8"/>
  <c r="AI80" i="8"/>
  <c r="AH80" i="8"/>
  <c r="AG80" i="8"/>
  <c r="AF80" i="8"/>
  <c r="AI79" i="8"/>
  <c r="AH79" i="8"/>
  <c r="AG79" i="8"/>
  <c r="AF79" i="8"/>
  <c r="AI72" i="8"/>
  <c r="AH72" i="8"/>
  <c r="AG72" i="8"/>
  <c r="AF72" i="8"/>
  <c r="AI71" i="8"/>
  <c r="AH71" i="8"/>
  <c r="AG71" i="8"/>
  <c r="AF71" i="8"/>
  <c r="AI70" i="8"/>
  <c r="AH70" i="8"/>
  <c r="AG70" i="8"/>
  <c r="AF70" i="8"/>
  <c r="AI69" i="8"/>
  <c r="AH69" i="8"/>
  <c r="AG69" i="8"/>
  <c r="AF69" i="8"/>
  <c r="AI68" i="8"/>
  <c r="AH68" i="8"/>
  <c r="AG68" i="8"/>
  <c r="AF68" i="8"/>
  <c r="AI67" i="8"/>
  <c r="AH67" i="8"/>
  <c r="AG67" i="8"/>
  <c r="AF67" i="8"/>
  <c r="AI66" i="8"/>
  <c r="AH66" i="8"/>
  <c r="AG66" i="8"/>
  <c r="AF66" i="8"/>
  <c r="AI65" i="8"/>
  <c r="AH65" i="8"/>
  <c r="AG65" i="8"/>
  <c r="AF65" i="8"/>
  <c r="AI64" i="8"/>
  <c r="AH64" i="8"/>
  <c r="AG64" i="8"/>
  <c r="AF64" i="8"/>
  <c r="AI63" i="8"/>
  <c r="AH63" i="8"/>
  <c r="AG63" i="8"/>
  <c r="AF63" i="8"/>
  <c r="AI62" i="8"/>
  <c r="AH62" i="8"/>
  <c r="AG62" i="8"/>
  <c r="AF62" i="8"/>
  <c r="AI61" i="8"/>
  <c r="AH61" i="8"/>
  <c r="AG61" i="8"/>
  <c r="AF61" i="8"/>
  <c r="AI60" i="8"/>
  <c r="AH60" i="8"/>
  <c r="AG60" i="8"/>
  <c r="AF60" i="8"/>
  <c r="AI59" i="8"/>
  <c r="AH59" i="8"/>
  <c r="AG59" i="8"/>
  <c r="AF59" i="8"/>
  <c r="AI58" i="8"/>
  <c r="AH58" i="8"/>
  <c r="AG58" i="8"/>
  <c r="AF58" i="8"/>
  <c r="AI57" i="8"/>
  <c r="AH57" i="8"/>
  <c r="AG57" i="8"/>
  <c r="AF57" i="8"/>
  <c r="AI56" i="8"/>
  <c r="AH56" i="8"/>
  <c r="AG56" i="8"/>
  <c r="AF56" i="8"/>
  <c r="AI55" i="8"/>
  <c r="AH55" i="8"/>
  <c r="AG55" i="8"/>
  <c r="AF55" i="8"/>
  <c r="AI54" i="8"/>
  <c r="AH54" i="8"/>
  <c r="AG54" i="8"/>
  <c r="AF54" i="8"/>
  <c r="AI53" i="8"/>
  <c r="AH53" i="8"/>
  <c r="AG53" i="8"/>
  <c r="AF53" i="8"/>
  <c r="AI52" i="8"/>
  <c r="AH52" i="8"/>
  <c r="AG52" i="8"/>
  <c r="AF52" i="8"/>
  <c r="AI51" i="8"/>
  <c r="AH51" i="8"/>
  <c r="AG51" i="8"/>
  <c r="AF51" i="8"/>
  <c r="AI50" i="8"/>
  <c r="AH50" i="8"/>
  <c r="AG50" i="8"/>
  <c r="AF50" i="8"/>
  <c r="AI49" i="8"/>
  <c r="AH49" i="8"/>
  <c r="AG49" i="8"/>
  <c r="AF49" i="8"/>
  <c r="AI48" i="8"/>
  <c r="AH48" i="8"/>
  <c r="AG48" i="8"/>
  <c r="AF48" i="8"/>
  <c r="AI47" i="8"/>
  <c r="AH47" i="8"/>
  <c r="AG47" i="8"/>
  <c r="AF47" i="8"/>
  <c r="AI46" i="8"/>
  <c r="AH46" i="8"/>
  <c r="AG46" i="8"/>
  <c r="AF46" i="8"/>
  <c r="AI45" i="8"/>
  <c r="AH45" i="8"/>
  <c r="AG45" i="8"/>
  <c r="AF45" i="8"/>
  <c r="AI44" i="8"/>
  <c r="AH44" i="8"/>
  <c r="AG44" i="8"/>
  <c r="AF44" i="8"/>
  <c r="AI43" i="8"/>
  <c r="AH43" i="8"/>
  <c r="AG43" i="8"/>
  <c r="AF43" i="8"/>
  <c r="AI181" i="8"/>
  <c r="AH181" i="8"/>
  <c r="AG181" i="8"/>
  <c r="AF181" i="8"/>
  <c r="AI145" i="8"/>
  <c r="AH145" i="8"/>
  <c r="AG145" i="8" s="1"/>
  <c r="AF145" i="8"/>
  <c r="AI109" i="8"/>
  <c r="AH109" i="8"/>
  <c r="AG109" i="8"/>
  <c r="AF109" i="8"/>
  <c r="AI73" i="8"/>
  <c r="AH73" i="8"/>
  <c r="AG73" i="8" s="1"/>
  <c r="AF73" i="8"/>
  <c r="AI37" i="8"/>
  <c r="AH37" i="8"/>
  <c r="AG37" i="8" s="1"/>
  <c r="AF37" i="8"/>
  <c r="AG36" i="8"/>
  <c r="AG35" i="8"/>
  <c r="AG34" i="8"/>
  <c r="AG33" i="8"/>
  <c r="AG32" i="8"/>
  <c r="AG31" i="8"/>
  <c r="AG30" i="8"/>
  <c r="AG29" i="8"/>
  <c r="AG28" i="8"/>
  <c r="AG27" i="8"/>
  <c r="AG26" i="8"/>
  <c r="AE185" i="6"/>
  <c r="Y185" i="6"/>
  <c r="V185" i="6"/>
  <c r="S185" i="6"/>
  <c r="P185" i="6"/>
  <c r="M185" i="6"/>
  <c r="J185" i="6"/>
  <c r="G185" i="6"/>
  <c r="D185" i="6"/>
  <c r="AE149" i="6"/>
  <c r="Y149" i="6"/>
  <c r="V149" i="6"/>
  <c r="S149" i="6"/>
  <c r="P149" i="6"/>
  <c r="M149" i="6"/>
  <c r="J149" i="6"/>
  <c r="G149" i="6"/>
  <c r="D149" i="6"/>
  <c r="AE113" i="6"/>
  <c r="Y113" i="6"/>
  <c r="V113" i="6"/>
  <c r="S113" i="6"/>
  <c r="P113" i="6"/>
  <c r="M113" i="6"/>
  <c r="J113" i="6"/>
  <c r="G113" i="6"/>
  <c r="D113" i="6"/>
  <c r="AE77" i="6"/>
  <c r="Y77" i="6"/>
  <c r="V77" i="6"/>
  <c r="S77" i="6"/>
  <c r="P77" i="6"/>
  <c r="M77" i="6"/>
  <c r="J77" i="6"/>
  <c r="G77" i="6"/>
  <c r="D77" i="6"/>
  <c r="B2" i="3"/>
  <c r="AE5" i="3" s="1"/>
  <c r="Z216" i="8"/>
  <c r="Y216" i="8"/>
  <c r="X216" i="8"/>
  <c r="W216" i="8"/>
  <c r="V216" i="8"/>
  <c r="U216" i="8"/>
  <c r="T216" i="8"/>
  <c r="S216" i="8"/>
  <c r="R216" i="8"/>
  <c r="Q216" i="8"/>
  <c r="Z215" i="8"/>
  <c r="Y215" i="8"/>
  <c r="X215" i="8"/>
  <c r="W215" i="8"/>
  <c r="V215" i="8"/>
  <c r="U215" i="8"/>
  <c r="T215" i="8"/>
  <c r="S215" i="8"/>
  <c r="R215" i="8"/>
  <c r="Q215" i="8"/>
  <c r="Z214" i="8"/>
  <c r="Y214" i="8"/>
  <c r="X214" i="8"/>
  <c r="W214" i="8"/>
  <c r="V214" i="8"/>
  <c r="U214" i="8"/>
  <c r="T214" i="8"/>
  <c r="S214" i="8"/>
  <c r="R214" i="8"/>
  <c r="Q214" i="8"/>
  <c r="Z213" i="8"/>
  <c r="Y213" i="8"/>
  <c r="X213" i="8"/>
  <c r="W213" i="8"/>
  <c r="V213" i="8"/>
  <c r="U213" i="8"/>
  <c r="T213" i="8"/>
  <c r="S213" i="8"/>
  <c r="R213" i="8"/>
  <c r="Q213" i="8"/>
  <c r="Z212" i="8"/>
  <c r="Y212" i="8"/>
  <c r="X212" i="8"/>
  <c r="W212" i="8"/>
  <c r="V212" i="8"/>
  <c r="U212" i="8"/>
  <c r="T212" i="8"/>
  <c r="S212" i="8"/>
  <c r="R212" i="8"/>
  <c r="Q212" i="8"/>
  <c r="Z211" i="8"/>
  <c r="Y211" i="8"/>
  <c r="X211" i="8"/>
  <c r="W211" i="8"/>
  <c r="V211" i="8"/>
  <c r="U211" i="8"/>
  <c r="T211" i="8"/>
  <c r="S211" i="8"/>
  <c r="R211" i="8"/>
  <c r="Q211" i="8"/>
  <c r="Z210" i="8"/>
  <c r="Y210" i="8"/>
  <c r="X210" i="8"/>
  <c r="W210" i="8"/>
  <c r="V210" i="8"/>
  <c r="U210" i="8"/>
  <c r="T210" i="8"/>
  <c r="S210" i="8"/>
  <c r="R210" i="8"/>
  <c r="Q210" i="8"/>
  <c r="Z209" i="8"/>
  <c r="Y209" i="8"/>
  <c r="X209" i="8"/>
  <c r="W209" i="8"/>
  <c r="V209" i="8"/>
  <c r="U209" i="8"/>
  <c r="T209" i="8"/>
  <c r="S209" i="8"/>
  <c r="R209" i="8"/>
  <c r="Q209" i="8"/>
  <c r="Z208" i="8"/>
  <c r="Y208" i="8"/>
  <c r="X208" i="8"/>
  <c r="W208" i="8"/>
  <c r="V208" i="8"/>
  <c r="U208" i="8"/>
  <c r="T208" i="8"/>
  <c r="S208" i="8"/>
  <c r="R208" i="8"/>
  <c r="Q208" i="8"/>
  <c r="Z207" i="8"/>
  <c r="Y207" i="8"/>
  <c r="X207" i="8"/>
  <c r="W207" i="8"/>
  <c r="V207" i="8"/>
  <c r="U207" i="8"/>
  <c r="T207" i="8"/>
  <c r="S207" i="8"/>
  <c r="R207" i="8"/>
  <c r="Q207" i="8"/>
  <c r="Z206" i="8"/>
  <c r="Y206" i="8"/>
  <c r="X206" i="8"/>
  <c r="W206" i="8"/>
  <c r="V206" i="8"/>
  <c r="U206" i="8"/>
  <c r="T206" i="8"/>
  <c r="S206" i="8"/>
  <c r="R206" i="8"/>
  <c r="Q206" i="8"/>
  <c r="Z205" i="8"/>
  <c r="Y205" i="8"/>
  <c r="X205" i="8"/>
  <c r="W205" i="8"/>
  <c r="V205" i="8"/>
  <c r="U205" i="8"/>
  <c r="T205" i="8"/>
  <c r="S205" i="8"/>
  <c r="R205" i="8"/>
  <c r="Q205" i="8"/>
  <c r="Z204" i="8"/>
  <c r="Y204" i="8"/>
  <c r="X204" i="8"/>
  <c r="W204" i="8"/>
  <c r="V204" i="8"/>
  <c r="U204" i="8"/>
  <c r="T204" i="8"/>
  <c r="S204" i="8"/>
  <c r="R204" i="8"/>
  <c r="Q204" i="8"/>
  <c r="Z203" i="8"/>
  <c r="Y203" i="8"/>
  <c r="X203" i="8"/>
  <c r="W203" i="8"/>
  <c r="V203" i="8"/>
  <c r="U203" i="8"/>
  <c r="T203" i="8"/>
  <c r="S203" i="8"/>
  <c r="R203" i="8"/>
  <c r="Q203" i="8"/>
  <c r="Z202" i="8"/>
  <c r="Y202" i="8"/>
  <c r="X202" i="8"/>
  <c r="W202" i="8"/>
  <c r="V202" i="8"/>
  <c r="U202" i="8"/>
  <c r="T202" i="8"/>
  <c r="S202" i="8"/>
  <c r="R202" i="8"/>
  <c r="Q202" i="8"/>
  <c r="Z201" i="8"/>
  <c r="Y201" i="8"/>
  <c r="X201" i="8"/>
  <c r="W201" i="8"/>
  <c r="V201" i="8"/>
  <c r="U201" i="8"/>
  <c r="T201" i="8"/>
  <c r="S201" i="8"/>
  <c r="R201" i="8"/>
  <c r="Q201" i="8"/>
  <c r="Z200" i="8"/>
  <c r="Y200" i="8"/>
  <c r="X200" i="8"/>
  <c r="W200" i="8"/>
  <c r="V200" i="8"/>
  <c r="U200" i="8"/>
  <c r="T200" i="8"/>
  <c r="S200" i="8"/>
  <c r="R200" i="8"/>
  <c r="Q200" i="8"/>
  <c r="Z199" i="8"/>
  <c r="Y199" i="8"/>
  <c r="X199" i="8"/>
  <c r="W199" i="8"/>
  <c r="V199" i="8"/>
  <c r="U199" i="8"/>
  <c r="T199" i="8"/>
  <c r="S199" i="8"/>
  <c r="R199" i="8"/>
  <c r="Q199" i="8"/>
  <c r="Z198" i="8"/>
  <c r="Y198" i="8"/>
  <c r="X198" i="8"/>
  <c r="W198" i="8"/>
  <c r="V198" i="8"/>
  <c r="U198" i="8"/>
  <c r="T198" i="8"/>
  <c r="S198" i="8"/>
  <c r="R198" i="8"/>
  <c r="Q198" i="8"/>
  <c r="Z197" i="8"/>
  <c r="Y197" i="8"/>
  <c r="X197" i="8"/>
  <c r="W197" i="8"/>
  <c r="V197" i="8"/>
  <c r="U197" i="8"/>
  <c r="T197" i="8"/>
  <c r="S197" i="8"/>
  <c r="R197" i="8"/>
  <c r="Q197" i="8"/>
  <c r="Z196" i="8"/>
  <c r="Y196" i="8"/>
  <c r="X196" i="8"/>
  <c r="W196" i="8"/>
  <c r="V196" i="8"/>
  <c r="U196" i="8"/>
  <c r="T196" i="8"/>
  <c r="S196" i="8"/>
  <c r="R196" i="8"/>
  <c r="Q196" i="8"/>
  <c r="Z195" i="8"/>
  <c r="Y195" i="8"/>
  <c r="X195" i="8"/>
  <c r="W195" i="8"/>
  <c r="V195" i="8"/>
  <c r="U195" i="8"/>
  <c r="T195" i="8"/>
  <c r="S195" i="8"/>
  <c r="R195" i="8"/>
  <c r="Q195" i="8"/>
  <c r="Z194" i="8"/>
  <c r="Y194" i="8"/>
  <c r="X194" i="8"/>
  <c r="W194" i="8"/>
  <c r="V194" i="8"/>
  <c r="U194" i="8"/>
  <c r="T194" i="8"/>
  <c r="S194" i="8"/>
  <c r="R194" i="8"/>
  <c r="Q194" i="8"/>
  <c r="Z193" i="8"/>
  <c r="Y193" i="8"/>
  <c r="X193" i="8"/>
  <c r="W193" i="8"/>
  <c r="V193" i="8"/>
  <c r="U193" i="8"/>
  <c r="T193" i="8"/>
  <c r="S193" i="8"/>
  <c r="R193" i="8"/>
  <c r="Q193" i="8"/>
  <c r="Z192" i="8"/>
  <c r="Y192" i="8"/>
  <c r="X192" i="8"/>
  <c r="W192" i="8"/>
  <c r="V192" i="8"/>
  <c r="U192" i="8"/>
  <c r="T192" i="8"/>
  <c r="S192" i="8"/>
  <c r="R192" i="8"/>
  <c r="Q192" i="8"/>
  <c r="Z191" i="8"/>
  <c r="Y191" i="8"/>
  <c r="X191" i="8"/>
  <c r="W191" i="8"/>
  <c r="V191" i="8"/>
  <c r="U191" i="8"/>
  <c r="T191" i="8"/>
  <c r="S191" i="8"/>
  <c r="R191" i="8"/>
  <c r="Q191" i="8"/>
  <c r="Z190" i="8"/>
  <c r="Y190" i="8"/>
  <c r="X190" i="8"/>
  <c r="W190" i="8"/>
  <c r="V190" i="8"/>
  <c r="U190" i="8"/>
  <c r="T190" i="8"/>
  <c r="S190" i="8"/>
  <c r="R190" i="8"/>
  <c r="Q190" i="8"/>
  <c r="Z189" i="8"/>
  <c r="Y189" i="8"/>
  <c r="X189" i="8"/>
  <c r="W189" i="8"/>
  <c r="V189" i="8"/>
  <c r="U189" i="8"/>
  <c r="T189" i="8"/>
  <c r="S189" i="8"/>
  <c r="R189" i="8"/>
  <c r="Q189" i="8"/>
  <c r="Z188" i="8"/>
  <c r="Y188" i="8"/>
  <c r="X188" i="8"/>
  <c r="W188" i="8"/>
  <c r="V188" i="8"/>
  <c r="U188" i="8"/>
  <c r="T188" i="8"/>
  <c r="S188" i="8"/>
  <c r="R188" i="8"/>
  <c r="Q188" i="8"/>
  <c r="Z187" i="8"/>
  <c r="Y187" i="8"/>
  <c r="X187" i="8"/>
  <c r="W187" i="8"/>
  <c r="V187" i="8"/>
  <c r="U187" i="8"/>
  <c r="T187" i="8"/>
  <c r="S187" i="8"/>
  <c r="R187" i="8"/>
  <c r="Q187" i="8"/>
  <c r="Z180" i="8"/>
  <c r="Y180" i="8"/>
  <c r="X180" i="8"/>
  <c r="W180" i="8"/>
  <c r="V180" i="8"/>
  <c r="U180" i="8"/>
  <c r="T180" i="8"/>
  <c r="S180" i="8"/>
  <c r="R180" i="8"/>
  <c r="Q180" i="8"/>
  <c r="Z179" i="8"/>
  <c r="Y179" i="8"/>
  <c r="X179" i="8"/>
  <c r="W179" i="8"/>
  <c r="V179" i="8"/>
  <c r="U179" i="8"/>
  <c r="T179" i="8"/>
  <c r="S179" i="8"/>
  <c r="R179" i="8"/>
  <c r="Q179" i="8"/>
  <c r="Z178" i="8"/>
  <c r="Y178" i="8"/>
  <c r="X178" i="8"/>
  <c r="W178" i="8"/>
  <c r="V178" i="8"/>
  <c r="U178" i="8"/>
  <c r="T178" i="8"/>
  <c r="S178" i="8"/>
  <c r="R178" i="8"/>
  <c r="Q178" i="8"/>
  <c r="Z177" i="8"/>
  <c r="Y177" i="8"/>
  <c r="X177" i="8"/>
  <c r="W177" i="8"/>
  <c r="V177" i="8"/>
  <c r="U177" i="8"/>
  <c r="T177" i="8"/>
  <c r="S177" i="8"/>
  <c r="R177" i="8"/>
  <c r="Q177" i="8"/>
  <c r="Z176" i="8"/>
  <c r="Y176" i="8"/>
  <c r="X176" i="8"/>
  <c r="W176" i="8"/>
  <c r="V176" i="8"/>
  <c r="U176" i="8"/>
  <c r="T176" i="8"/>
  <c r="S176" i="8"/>
  <c r="R176" i="8"/>
  <c r="Q176" i="8"/>
  <c r="Z175" i="8"/>
  <c r="Y175" i="8"/>
  <c r="X175" i="8"/>
  <c r="W175" i="8"/>
  <c r="V175" i="8"/>
  <c r="U175" i="8"/>
  <c r="T175" i="8"/>
  <c r="S175" i="8"/>
  <c r="R175" i="8"/>
  <c r="Q175" i="8"/>
  <c r="Z174" i="8"/>
  <c r="Y174" i="8"/>
  <c r="X174" i="8"/>
  <c r="W174" i="8"/>
  <c r="V174" i="8"/>
  <c r="U174" i="8"/>
  <c r="T174" i="8"/>
  <c r="S174" i="8"/>
  <c r="R174" i="8"/>
  <c r="Q174" i="8"/>
  <c r="Z173" i="8"/>
  <c r="Y173" i="8"/>
  <c r="X173" i="8"/>
  <c r="W173" i="8"/>
  <c r="V173" i="8"/>
  <c r="U173" i="8"/>
  <c r="T173" i="8"/>
  <c r="S173" i="8"/>
  <c r="R173" i="8"/>
  <c r="Q173" i="8"/>
  <c r="Z172" i="8"/>
  <c r="Y172" i="8"/>
  <c r="X172" i="8"/>
  <c r="W172" i="8"/>
  <c r="V172" i="8"/>
  <c r="U172" i="8"/>
  <c r="T172" i="8"/>
  <c r="S172" i="8"/>
  <c r="R172" i="8"/>
  <c r="Q172" i="8"/>
  <c r="Z171" i="8"/>
  <c r="Y171" i="8"/>
  <c r="X171" i="8"/>
  <c r="W171" i="8"/>
  <c r="V171" i="8"/>
  <c r="U171" i="8"/>
  <c r="T171" i="8"/>
  <c r="S171" i="8"/>
  <c r="R171" i="8"/>
  <c r="Q171" i="8"/>
  <c r="Z170" i="8"/>
  <c r="Y170" i="8"/>
  <c r="X170" i="8"/>
  <c r="W170" i="8"/>
  <c r="V170" i="8"/>
  <c r="U170" i="8"/>
  <c r="T170" i="8"/>
  <c r="S170" i="8"/>
  <c r="R170" i="8"/>
  <c r="Q170" i="8"/>
  <c r="Z169" i="8"/>
  <c r="Y169" i="8"/>
  <c r="X169" i="8"/>
  <c r="W169" i="8"/>
  <c r="V169" i="8"/>
  <c r="U169" i="8"/>
  <c r="T169" i="8"/>
  <c r="S169" i="8"/>
  <c r="R169" i="8"/>
  <c r="Q169" i="8"/>
  <c r="Z168" i="8"/>
  <c r="Y168" i="8"/>
  <c r="X168" i="8"/>
  <c r="W168" i="8"/>
  <c r="V168" i="8"/>
  <c r="U168" i="8"/>
  <c r="T168" i="8"/>
  <c r="S168" i="8"/>
  <c r="R168" i="8"/>
  <c r="Q168" i="8"/>
  <c r="Z167" i="8"/>
  <c r="Y167" i="8"/>
  <c r="X167" i="8"/>
  <c r="W167" i="8"/>
  <c r="V167" i="8"/>
  <c r="U167" i="8"/>
  <c r="T167" i="8"/>
  <c r="S167" i="8"/>
  <c r="R167" i="8"/>
  <c r="Q167" i="8"/>
  <c r="Z166" i="8"/>
  <c r="Y166" i="8"/>
  <c r="X166" i="8"/>
  <c r="W166" i="8"/>
  <c r="V166" i="8"/>
  <c r="U166" i="8"/>
  <c r="T166" i="8"/>
  <c r="S166" i="8"/>
  <c r="R166" i="8"/>
  <c r="Q166" i="8"/>
  <c r="Z165" i="8"/>
  <c r="Y165" i="8"/>
  <c r="X165" i="8"/>
  <c r="W165" i="8"/>
  <c r="V165" i="8"/>
  <c r="U165" i="8"/>
  <c r="T165" i="8"/>
  <c r="S165" i="8"/>
  <c r="R165" i="8"/>
  <c r="Q165" i="8"/>
  <c r="Z164" i="8"/>
  <c r="Y164" i="8"/>
  <c r="X164" i="8"/>
  <c r="W164" i="8"/>
  <c r="V164" i="8"/>
  <c r="U164" i="8"/>
  <c r="T164" i="8"/>
  <c r="S164" i="8"/>
  <c r="R164" i="8"/>
  <c r="Q164" i="8"/>
  <c r="Z163" i="8"/>
  <c r="Y163" i="8"/>
  <c r="X163" i="8"/>
  <c r="W163" i="8"/>
  <c r="V163" i="8"/>
  <c r="U163" i="8"/>
  <c r="T163" i="8"/>
  <c r="S163" i="8"/>
  <c r="R163" i="8"/>
  <c r="Q163" i="8"/>
  <c r="Z162" i="8"/>
  <c r="Y162" i="8"/>
  <c r="X162" i="8"/>
  <c r="W162" i="8"/>
  <c r="V162" i="8"/>
  <c r="U162" i="8"/>
  <c r="T162" i="8"/>
  <c r="S162" i="8"/>
  <c r="R162" i="8"/>
  <c r="Q162" i="8"/>
  <c r="Z161" i="8"/>
  <c r="Y161" i="8"/>
  <c r="X161" i="8"/>
  <c r="W161" i="8"/>
  <c r="V161" i="8"/>
  <c r="U161" i="8"/>
  <c r="T161" i="8"/>
  <c r="S161" i="8"/>
  <c r="R161" i="8"/>
  <c r="Q161" i="8"/>
  <c r="Z160" i="8"/>
  <c r="Y160" i="8"/>
  <c r="X160" i="8"/>
  <c r="W160" i="8"/>
  <c r="V160" i="8"/>
  <c r="U160" i="8"/>
  <c r="T160" i="8"/>
  <c r="S160" i="8"/>
  <c r="R160" i="8"/>
  <c r="Q160" i="8"/>
  <c r="Z159" i="8"/>
  <c r="Y159" i="8"/>
  <c r="X159" i="8"/>
  <c r="W159" i="8"/>
  <c r="V159" i="8"/>
  <c r="U159" i="8"/>
  <c r="T159" i="8"/>
  <c r="S159" i="8"/>
  <c r="R159" i="8"/>
  <c r="Q159" i="8"/>
  <c r="Z158" i="8"/>
  <c r="Y158" i="8"/>
  <c r="X158" i="8"/>
  <c r="W158" i="8"/>
  <c r="V158" i="8"/>
  <c r="U158" i="8"/>
  <c r="T158" i="8"/>
  <c r="S158" i="8"/>
  <c r="R158" i="8"/>
  <c r="Q158" i="8"/>
  <c r="Z157" i="8"/>
  <c r="Y157" i="8"/>
  <c r="X157" i="8"/>
  <c r="W157" i="8"/>
  <c r="V157" i="8"/>
  <c r="U157" i="8"/>
  <c r="T157" i="8"/>
  <c r="S157" i="8"/>
  <c r="R157" i="8"/>
  <c r="Q157" i="8"/>
  <c r="Z156" i="8"/>
  <c r="Y156" i="8"/>
  <c r="X156" i="8"/>
  <c r="W156" i="8"/>
  <c r="V156" i="8"/>
  <c r="U156" i="8"/>
  <c r="T156" i="8"/>
  <c r="S156" i="8"/>
  <c r="R156" i="8"/>
  <c r="Q156" i="8"/>
  <c r="Z155" i="8"/>
  <c r="Y155" i="8"/>
  <c r="X155" i="8"/>
  <c r="W155" i="8"/>
  <c r="V155" i="8"/>
  <c r="U155" i="8"/>
  <c r="T155" i="8"/>
  <c r="S155" i="8"/>
  <c r="R155" i="8"/>
  <c r="Q155" i="8"/>
  <c r="Z154" i="8"/>
  <c r="Y154" i="8"/>
  <c r="X154" i="8"/>
  <c r="W154" i="8"/>
  <c r="V154" i="8"/>
  <c r="U154" i="8"/>
  <c r="T154" i="8"/>
  <c r="S154" i="8"/>
  <c r="R154" i="8"/>
  <c r="Q154" i="8"/>
  <c r="Z153" i="8"/>
  <c r="Y153" i="8"/>
  <c r="X153" i="8"/>
  <c r="W153" i="8"/>
  <c r="V153" i="8"/>
  <c r="U153" i="8"/>
  <c r="T153" i="8"/>
  <c r="S153" i="8"/>
  <c r="R153" i="8"/>
  <c r="Q153" i="8"/>
  <c r="Z152" i="8"/>
  <c r="Y152" i="8"/>
  <c r="X152" i="8"/>
  <c r="W152" i="8"/>
  <c r="V152" i="8"/>
  <c r="U152" i="8"/>
  <c r="T152" i="8"/>
  <c r="S152" i="8"/>
  <c r="R152" i="8"/>
  <c r="Q152" i="8"/>
  <c r="Z151" i="8"/>
  <c r="Y151" i="8"/>
  <c r="X151" i="8"/>
  <c r="W151" i="8"/>
  <c r="V151" i="8"/>
  <c r="U151" i="8"/>
  <c r="T151" i="8"/>
  <c r="S151" i="8"/>
  <c r="R151" i="8"/>
  <c r="Q151" i="8"/>
  <c r="Z144" i="8"/>
  <c r="Y144" i="8"/>
  <c r="X144" i="8"/>
  <c r="W144" i="8"/>
  <c r="V144" i="8"/>
  <c r="U144" i="8"/>
  <c r="T144" i="8"/>
  <c r="S144" i="8"/>
  <c r="R144" i="8"/>
  <c r="Q144" i="8"/>
  <c r="Z143" i="8"/>
  <c r="Y143" i="8"/>
  <c r="X143" i="8"/>
  <c r="W143" i="8"/>
  <c r="V143" i="8"/>
  <c r="U143" i="8"/>
  <c r="T143" i="8"/>
  <c r="S143" i="8"/>
  <c r="R143" i="8"/>
  <c r="Q143" i="8"/>
  <c r="Z142" i="8"/>
  <c r="Y142" i="8"/>
  <c r="X142" i="8"/>
  <c r="W142" i="8"/>
  <c r="V142" i="8"/>
  <c r="U142" i="8"/>
  <c r="T142" i="8"/>
  <c r="S142" i="8"/>
  <c r="R142" i="8"/>
  <c r="Q142" i="8"/>
  <c r="Z141" i="8"/>
  <c r="Y141" i="8"/>
  <c r="X141" i="8"/>
  <c r="W141" i="8"/>
  <c r="V141" i="8"/>
  <c r="U141" i="8"/>
  <c r="T141" i="8"/>
  <c r="S141" i="8"/>
  <c r="R141" i="8"/>
  <c r="Q141" i="8"/>
  <c r="Z140" i="8"/>
  <c r="Y140" i="8"/>
  <c r="X140" i="8"/>
  <c r="W140" i="8"/>
  <c r="V140" i="8"/>
  <c r="U140" i="8"/>
  <c r="T140" i="8"/>
  <c r="S140" i="8"/>
  <c r="R140" i="8"/>
  <c r="Q140" i="8"/>
  <c r="Z139" i="8"/>
  <c r="Y139" i="8"/>
  <c r="X139" i="8"/>
  <c r="W139" i="8"/>
  <c r="V139" i="8"/>
  <c r="U139" i="8"/>
  <c r="T139" i="8"/>
  <c r="S139" i="8"/>
  <c r="R139" i="8"/>
  <c r="Q139" i="8"/>
  <c r="Z138" i="8"/>
  <c r="Y138" i="8"/>
  <c r="X138" i="8"/>
  <c r="W138" i="8"/>
  <c r="V138" i="8"/>
  <c r="U138" i="8"/>
  <c r="T138" i="8"/>
  <c r="S138" i="8"/>
  <c r="R138" i="8"/>
  <c r="Q138" i="8"/>
  <c r="Z137" i="8"/>
  <c r="Y137" i="8"/>
  <c r="X137" i="8"/>
  <c r="W137" i="8"/>
  <c r="V137" i="8"/>
  <c r="U137" i="8"/>
  <c r="T137" i="8"/>
  <c r="S137" i="8"/>
  <c r="R137" i="8"/>
  <c r="Q137" i="8"/>
  <c r="Z136" i="8"/>
  <c r="Y136" i="8"/>
  <c r="X136" i="8"/>
  <c r="W136" i="8"/>
  <c r="V136" i="8"/>
  <c r="U136" i="8"/>
  <c r="T136" i="8"/>
  <c r="S136" i="8"/>
  <c r="R136" i="8"/>
  <c r="Q136" i="8"/>
  <c r="Z135" i="8"/>
  <c r="Y135" i="8"/>
  <c r="X135" i="8"/>
  <c r="W135" i="8"/>
  <c r="V135" i="8"/>
  <c r="U135" i="8"/>
  <c r="T135" i="8"/>
  <c r="S135" i="8"/>
  <c r="R135" i="8"/>
  <c r="Q135" i="8"/>
  <c r="Z134" i="8"/>
  <c r="Y134" i="8"/>
  <c r="X134" i="8"/>
  <c r="W134" i="8"/>
  <c r="V134" i="8"/>
  <c r="U134" i="8"/>
  <c r="T134" i="8"/>
  <c r="S134" i="8"/>
  <c r="R134" i="8"/>
  <c r="Q134" i="8"/>
  <c r="Z133" i="8"/>
  <c r="Y133" i="8"/>
  <c r="X133" i="8"/>
  <c r="W133" i="8"/>
  <c r="V133" i="8"/>
  <c r="U133" i="8"/>
  <c r="T133" i="8"/>
  <c r="S133" i="8"/>
  <c r="R133" i="8"/>
  <c r="Q133" i="8"/>
  <c r="Z132" i="8"/>
  <c r="Y132" i="8"/>
  <c r="X132" i="8"/>
  <c r="W132" i="8"/>
  <c r="V132" i="8"/>
  <c r="U132" i="8"/>
  <c r="T132" i="8"/>
  <c r="S132" i="8"/>
  <c r="R132" i="8"/>
  <c r="Q132" i="8"/>
  <c r="Z131" i="8"/>
  <c r="Y131" i="8"/>
  <c r="X131" i="8"/>
  <c r="W131" i="8"/>
  <c r="V131" i="8"/>
  <c r="U131" i="8"/>
  <c r="T131" i="8"/>
  <c r="S131" i="8"/>
  <c r="R131" i="8"/>
  <c r="Q131" i="8"/>
  <c r="Z130" i="8"/>
  <c r="Y130" i="8"/>
  <c r="X130" i="8"/>
  <c r="W130" i="8"/>
  <c r="V130" i="8"/>
  <c r="U130" i="8"/>
  <c r="T130" i="8"/>
  <c r="S130" i="8"/>
  <c r="R130" i="8"/>
  <c r="Q130" i="8"/>
  <c r="Z129" i="8"/>
  <c r="Y129" i="8"/>
  <c r="X129" i="8"/>
  <c r="W129" i="8"/>
  <c r="V129" i="8"/>
  <c r="U129" i="8"/>
  <c r="T129" i="8"/>
  <c r="S129" i="8"/>
  <c r="R129" i="8"/>
  <c r="Q129" i="8"/>
  <c r="Z128" i="8"/>
  <c r="Y128" i="8"/>
  <c r="X128" i="8"/>
  <c r="W128" i="8"/>
  <c r="V128" i="8"/>
  <c r="U128" i="8"/>
  <c r="T128" i="8"/>
  <c r="S128" i="8"/>
  <c r="R128" i="8"/>
  <c r="Q128" i="8"/>
  <c r="Z127" i="8"/>
  <c r="Y127" i="8"/>
  <c r="X127" i="8"/>
  <c r="W127" i="8"/>
  <c r="V127" i="8"/>
  <c r="U127" i="8"/>
  <c r="T127" i="8"/>
  <c r="S127" i="8"/>
  <c r="R127" i="8"/>
  <c r="Q127" i="8"/>
  <c r="Z126" i="8"/>
  <c r="Y126" i="8"/>
  <c r="X126" i="8"/>
  <c r="W126" i="8"/>
  <c r="V126" i="8"/>
  <c r="U126" i="8"/>
  <c r="T126" i="8"/>
  <c r="S126" i="8"/>
  <c r="R126" i="8"/>
  <c r="Q126" i="8"/>
  <c r="Z125" i="8"/>
  <c r="Y125" i="8"/>
  <c r="X125" i="8"/>
  <c r="W125" i="8"/>
  <c r="V125" i="8"/>
  <c r="U125" i="8"/>
  <c r="T125" i="8"/>
  <c r="S125" i="8"/>
  <c r="R125" i="8"/>
  <c r="Q125" i="8"/>
  <c r="Z124" i="8"/>
  <c r="Y124" i="8"/>
  <c r="X124" i="8"/>
  <c r="W124" i="8"/>
  <c r="V124" i="8"/>
  <c r="U124" i="8"/>
  <c r="T124" i="8"/>
  <c r="S124" i="8"/>
  <c r="R124" i="8"/>
  <c r="Q124" i="8"/>
  <c r="Z123" i="8"/>
  <c r="Y123" i="8"/>
  <c r="X123" i="8"/>
  <c r="W123" i="8"/>
  <c r="V123" i="8"/>
  <c r="U123" i="8"/>
  <c r="T123" i="8"/>
  <c r="S123" i="8"/>
  <c r="R123" i="8"/>
  <c r="Q123" i="8"/>
  <c r="Z122" i="8"/>
  <c r="Y122" i="8"/>
  <c r="X122" i="8"/>
  <c r="W122" i="8"/>
  <c r="V122" i="8"/>
  <c r="U122" i="8"/>
  <c r="T122" i="8"/>
  <c r="S122" i="8"/>
  <c r="R122" i="8"/>
  <c r="Q122" i="8"/>
  <c r="Z121" i="8"/>
  <c r="Y121" i="8"/>
  <c r="X121" i="8"/>
  <c r="W121" i="8"/>
  <c r="V121" i="8"/>
  <c r="U121" i="8"/>
  <c r="T121" i="8"/>
  <c r="S121" i="8"/>
  <c r="R121" i="8"/>
  <c r="Q121" i="8"/>
  <c r="Z120" i="8"/>
  <c r="Y120" i="8"/>
  <c r="X120" i="8"/>
  <c r="W120" i="8"/>
  <c r="V120" i="8"/>
  <c r="U120" i="8"/>
  <c r="T120" i="8"/>
  <c r="S120" i="8"/>
  <c r="R120" i="8"/>
  <c r="Q120" i="8"/>
  <c r="Z119" i="8"/>
  <c r="Y119" i="8"/>
  <c r="X119" i="8"/>
  <c r="W119" i="8"/>
  <c r="V119" i="8"/>
  <c r="U119" i="8"/>
  <c r="T119" i="8"/>
  <c r="S119" i="8"/>
  <c r="R119" i="8"/>
  <c r="Q119" i="8"/>
  <c r="Z118" i="8"/>
  <c r="Y118" i="8"/>
  <c r="X118" i="8"/>
  <c r="W118" i="8"/>
  <c r="V118" i="8"/>
  <c r="U118" i="8"/>
  <c r="T118" i="8"/>
  <c r="S118" i="8"/>
  <c r="R118" i="8"/>
  <c r="Q118" i="8"/>
  <c r="Z117" i="8"/>
  <c r="Y117" i="8"/>
  <c r="X117" i="8"/>
  <c r="W117" i="8"/>
  <c r="V117" i="8"/>
  <c r="U117" i="8"/>
  <c r="T117" i="8"/>
  <c r="S117" i="8"/>
  <c r="R117" i="8"/>
  <c r="Q117" i="8"/>
  <c r="Z116" i="8"/>
  <c r="Y116" i="8"/>
  <c r="X116" i="8"/>
  <c r="W116" i="8"/>
  <c r="V116" i="8"/>
  <c r="U116" i="8"/>
  <c r="T116" i="8"/>
  <c r="S116" i="8"/>
  <c r="R116" i="8"/>
  <c r="Q116" i="8"/>
  <c r="Z115" i="8"/>
  <c r="Y115" i="8"/>
  <c r="X115" i="8"/>
  <c r="W115" i="8"/>
  <c r="V115" i="8"/>
  <c r="U115" i="8"/>
  <c r="T115" i="8"/>
  <c r="S115" i="8"/>
  <c r="R115" i="8"/>
  <c r="Q115" i="8"/>
  <c r="Z108" i="8"/>
  <c r="Y108" i="8"/>
  <c r="X108" i="8"/>
  <c r="W108" i="8"/>
  <c r="V108" i="8"/>
  <c r="U108" i="8"/>
  <c r="T108" i="8"/>
  <c r="S108" i="8"/>
  <c r="R108" i="8"/>
  <c r="Q108" i="8"/>
  <c r="Z107" i="8"/>
  <c r="Y107" i="8"/>
  <c r="X107" i="8"/>
  <c r="W107" i="8"/>
  <c r="V107" i="8"/>
  <c r="U107" i="8"/>
  <c r="T107" i="8"/>
  <c r="S107" i="8"/>
  <c r="R107" i="8"/>
  <c r="Q107" i="8"/>
  <c r="Z106" i="8"/>
  <c r="Y106" i="8"/>
  <c r="X106" i="8"/>
  <c r="W106" i="8"/>
  <c r="V106" i="8"/>
  <c r="U106" i="8"/>
  <c r="T106" i="8"/>
  <c r="S106" i="8"/>
  <c r="R106" i="8"/>
  <c r="Q106" i="8"/>
  <c r="Z105" i="8"/>
  <c r="Y105" i="8"/>
  <c r="X105" i="8"/>
  <c r="W105" i="8"/>
  <c r="V105" i="8"/>
  <c r="U105" i="8"/>
  <c r="T105" i="8"/>
  <c r="S105" i="8"/>
  <c r="R105" i="8"/>
  <c r="Q105" i="8"/>
  <c r="Z104" i="8"/>
  <c r="Y104" i="8"/>
  <c r="X104" i="8"/>
  <c r="W104" i="8"/>
  <c r="V104" i="8"/>
  <c r="U104" i="8"/>
  <c r="T104" i="8"/>
  <c r="S104" i="8"/>
  <c r="R104" i="8"/>
  <c r="Q104" i="8"/>
  <c r="Z103" i="8"/>
  <c r="Y103" i="8"/>
  <c r="X103" i="8"/>
  <c r="W103" i="8"/>
  <c r="V103" i="8"/>
  <c r="U103" i="8"/>
  <c r="T103" i="8"/>
  <c r="S103" i="8"/>
  <c r="R103" i="8"/>
  <c r="Q103" i="8"/>
  <c r="Z102" i="8"/>
  <c r="Y102" i="8"/>
  <c r="X102" i="8"/>
  <c r="W102" i="8"/>
  <c r="V102" i="8"/>
  <c r="U102" i="8"/>
  <c r="T102" i="8"/>
  <c r="S102" i="8"/>
  <c r="R102" i="8"/>
  <c r="Q102" i="8"/>
  <c r="Z101" i="8"/>
  <c r="Y101" i="8"/>
  <c r="X101" i="8"/>
  <c r="W101" i="8"/>
  <c r="V101" i="8"/>
  <c r="U101" i="8"/>
  <c r="T101" i="8"/>
  <c r="S101" i="8"/>
  <c r="R101" i="8"/>
  <c r="Q101" i="8"/>
  <c r="Z100" i="8"/>
  <c r="Y100" i="8"/>
  <c r="X100" i="8"/>
  <c r="W100" i="8"/>
  <c r="V100" i="8"/>
  <c r="U100" i="8"/>
  <c r="T100" i="8"/>
  <c r="S100" i="8"/>
  <c r="R100" i="8"/>
  <c r="Q100" i="8"/>
  <c r="Z99" i="8"/>
  <c r="Y99" i="8"/>
  <c r="X99" i="8"/>
  <c r="W99" i="8"/>
  <c r="V99" i="8"/>
  <c r="U99" i="8"/>
  <c r="T99" i="8"/>
  <c r="S99" i="8"/>
  <c r="R99" i="8"/>
  <c r="Q99" i="8"/>
  <c r="Z98" i="8"/>
  <c r="Y98" i="8"/>
  <c r="X98" i="8"/>
  <c r="W98" i="8"/>
  <c r="V98" i="8"/>
  <c r="U98" i="8"/>
  <c r="T98" i="8"/>
  <c r="S98" i="8"/>
  <c r="R98" i="8"/>
  <c r="Q98" i="8"/>
  <c r="Z97" i="8"/>
  <c r="Y97" i="8"/>
  <c r="X97" i="8"/>
  <c r="W97" i="8"/>
  <c r="V97" i="8"/>
  <c r="U97" i="8"/>
  <c r="T97" i="8"/>
  <c r="S97" i="8"/>
  <c r="R97" i="8"/>
  <c r="Q97" i="8"/>
  <c r="Z96" i="8"/>
  <c r="Y96" i="8"/>
  <c r="X96" i="8"/>
  <c r="W96" i="8"/>
  <c r="V96" i="8"/>
  <c r="U96" i="8"/>
  <c r="T96" i="8"/>
  <c r="S96" i="8"/>
  <c r="R96" i="8"/>
  <c r="Q96" i="8"/>
  <c r="Z95" i="8"/>
  <c r="Y95" i="8"/>
  <c r="X95" i="8"/>
  <c r="W95" i="8"/>
  <c r="V95" i="8"/>
  <c r="U95" i="8"/>
  <c r="T95" i="8"/>
  <c r="S95" i="8"/>
  <c r="R95" i="8"/>
  <c r="Q95" i="8"/>
  <c r="Z94" i="8"/>
  <c r="Y94" i="8"/>
  <c r="X94" i="8"/>
  <c r="W94" i="8"/>
  <c r="V94" i="8"/>
  <c r="U94" i="8"/>
  <c r="T94" i="8"/>
  <c r="S94" i="8"/>
  <c r="R94" i="8"/>
  <c r="Q94" i="8"/>
  <c r="Z93" i="8"/>
  <c r="Y93" i="8"/>
  <c r="X93" i="8"/>
  <c r="W93" i="8"/>
  <c r="V93" i="8"/>
  <c r="U93" i="8"/>
  <c r="T93" i="8"/>
  <c r="S93" i="8"/>
  <c r="R93" i="8"/>
  <c r="Q93" i="8"/>
  <c r="Z92" i="8"/>
  <c r="Y92" i="8"/>
  <c r="X92" i="8"/>
  <c r="W92" i="8"/>
  <c r="V92" i="8"/>
  <c r="U92" i="8"/>
  <c r="T92" i="8"/>
  <c r="S92" i="8"/>
  <c r="R92" i="8"/>
  <c r="Q92" i="8"/>
  <c r="Z91" i="8"/>
  <c r="Y91" i="8"/>
  <c r="X91" i="8"/>
  <c r="W91" i="8"/>
  <c r="V91" i="8"/>
  <c r="U91" i="8"/>
  <c r="T91" i="8"/>
  <c r="S91" i="8"/>
  <c r="R91" i="8"/>
  <c r="Q91" i="8"/>
  <c r="Z90" i="8"/>
  <c r="Y90" i="8"/>
  <c r="X90" i="8"/>
  <c r="W90" i="8"/>
  <c r="V90" i="8"/>
  <c r="U90" i="8"/>
  <c r="T90" i="8"/>
  <c r="S90" i="8"/>
  <c r="R90" i="8"/>
  <c r="Q90" i="8"/>
  <c r="Z89" i="8"/>
  <c r="Y89" i="8"/>
  <c r="X89" i="8"/>
  <c r="W89" i="8"/>
  <c r="V89" i="8"/>
  <c r="U89" i="8"/>
  <c r="T89" i="8"/>
  <c r="S89" i="8"/>
  <c r="R89" i="8"/>
  <c r="Q89" i="8"/>
  <c r="Z88" i="8"/>
  <c r="Y88" i="8"/>
  <c r="X88" i="8"/>
  <c r="W88" i="8"/>
  <c r="V88" i="8"/>
  <c r="U88" i="8"/>
  <c r="T88" i="8"/>
  <c r="S88" i="8"/>
  <c r="R88" i="8"/>
  <c r="Q88" i="8"/>
  <c r="Z87" i="8"/>
  <c r="Y87" i="8"/>
  <c r="X87" i="8"/>
  <c r="W87" i="8"/>
  <c r="V87" i="8"/>
  <c r="U87" i="8"/>
  <c r="T87" i="8"/>
  <c r="S87" i="8"/>
  <c r="R87" i="8"/>
  <c r="Q87" i="8"/>
  <c r="Z86" i="8"/>
  <c r="Y86" i="8"/>
  <c r="X86" i="8"/>
  <c r="W86" i="8"/>
  <c r="V86" i="8"/>
  <c r="U86" i="8"/>
  <c r="T86" i="8"/>
  <c r="S86" i="8"/>
  <c r="R86" i="8"/>
  <c r="Q86" i="8"/>
  <c r="Z85" i="8"/>
  <c r="Y85" i="8"/>
  <c r="X85" i="8"/>
  <c r="W85" i="8"/>
  <c r="V85" i="8"/>
  <c r="U85" i="8"/>
  <c r="T85" i="8"/>
  <c r="S85" i="8"/>
  <c r="R85" i="8"/>
  <c r="Q85" i="8"/>
  <c r="Z84" i="8"/>
  <c r="Y84" i="8"/>
  <c r="X84" i="8"/>
  <c r="W84" i="8"/>
  <c r="V84" i="8"/>
  <c r="U84" i="8"/>
  <c r="T84" i="8"/>
  <c r="S84" i="8"/>
  <c r="R84" i="8"/>
  <c r="Q84" i="8"/>
  <c r="Z83" i="8"/>
  <c r="Y83" i="8"/>
  <c r="X83" i="8"/>
  <c r="W83" i="8"/>
  <c r="V83" i="8"/>
  <c r="U83" i="8"/>
  <c r="T83" i="8"/>
  <c r="S83" i="8"/>
  <c r="R83" i="8"/>
  <c r="Q83" i="8"/>
  <c r="Z82" i="8"/>
  <c r="Y82" i="8"/>
  <c r="X82" i="8"/>
  <c r="W82" i="8"/>
  <c r="V82" i="8"/>
  <c r="U82" i="8"/>
  <c r="T82" i="8"/>
  <c r="S82" i="8"/>
  <c r="R82" i="8"/>
  <c r="Q82" i="8"/>
  <c r="Z81" i="8"/>
  <c r="Y81" i="8"/>
  <c r="X81" i="8"/>
  <c r="W81" i="8"/>
  <c r="V81" i="8"/>
  <c r="U81" i="8"/>
  <c r="T81" i="8"/>
  <c r="S81" i="8"/>
  <c r="R81" i="8"/>
  <c r="Q81" i="8"/>
  <c r="Z80" i="8"/>
  <c r="Y80" i="8"/>
  <c r="X80" i="8"/>
  <c r="W80" i="8"/>
  <c r="V80" i="8"/>
  <c r="U80" i="8"/>
  <c r="T80" i="8"/>
  <c r="S80" i="8"/>
  <c r="R80" i="8"/>
  <c r="Q80" i="8"/>
  <c r="Z79" i="8"/>
  <c r="Y79" i="8"/>
  <c r="X79" i="8"/>
  <c r="W79" i="8"/>
  <c r="V79" i="8"/>
  <c r="U79" i="8"/>
  <c r="T79" i="8"/>
  <c r="S79" i="8"/>
  <c r="R79" i="8"/>
  <c r="Q79" i="8"/>
  <c r="Z72" i="8"/>
  <c r="Y72" i="8"/>
  <c r="X72" i="8"/>
  <c r="W72" i="8"/>
  <c r="V72" i="8"/>
  <c r="U72" i="8"/>
  <c r="T72" i="8"/>
  <c r="S72" i="8"/>
  <c r="R72" i="8"/>
  <c r="Q72" i="8"/>
  <c r="Z71" i="8"/>
  <c r="Y71" i="8"/>
  <c r="X71" i="8"/>
  <c r="W71" i="8"/>
  <c r="V71" i="8"/>
  <c r="U71" i="8"/>
  <c r="T71" i="8"/>
  <c r="S71" i="8"/>
  <c r="R71" i="8"/>
  <c r="Q71" i="8"/>
  <c r="Z70" i="8"/>
  <c r="Y70" i="8"/>
  <c r="X70" i="8"/>
  <c r="W70" i="8"/>
  <c r="V70" i="8"/>
  <c r="U70" i="8"/>
  <c r="T70" i="8"/>
  <c r="S70" i="8"/>
  <c r="R70" i="8"/>
  <c r="Q70" i="8"/>
  <c r="Z69" i="8"/>
  <c r="Y69" i="8"/>
  <c r="X69" i="8"/>
  <c r="W69" i="8"/>
  <c r="V69" i="8"/>
  <c r="U69" i="8"/>
  <c r="T69" i="8"/>
  <c r="S69" i="8"/>
  <c r="R69" i="8"/>
  <c r="Q69" i="8"/>
  <c r="Z68" i="8"/>
  <c r="Y68" i="8"/>
  <c r="X68" i="8"/>
  <c r="W68" i="8"/>
  <c r="V68" i="8"/>
  <c r="U68" i="8"/>
  <c r="T68" i="8"/>
  <c r="S68" i="8"/>
  <c r="R68" i="8"/>
  <c r="Q68" i="8"/>
  <c r="Z67" i="8"/>
  <c r="Y67" i="8"/>
  <c r="X67" i="8"/>
  <c r="W67" i="8"/>
  <c r="V67" i="8"/>
  <c r="U67" i="8"/>
  <c r="T67" i="8"/>
  <c r="S67" i="8"/>
  <c r="R67" i="8"/>
  <c r="Q67" i="8"/>
  <c r="Z66" i="8"/>
  <c r="Y66" i="8"/>
  <c r="X66" i="8"/>
  <c r="W66" i="8"/>
  <c r="V66" i="8"/>
  <c r="U66" i="8"/>
  <c r="T66" i="8"/>
  <c r="S66" i="8"/>
  <c r="R66" i="8"/>
  <c r="Q66" i="8"/>
  <c r="Z65" i="8"/>
  <c r="Y65" i="8"/>
  <c r="X65" i="8"/>
  <c r="W65" i="8"/>
  <c r="V65" i="8"/>
  <c r="U65" i="8"/>
  <c r="T65" i="8"/>
  <c r="S65" i="8"/>
  <c r="R65" i="8"/>
  <c r="Q65" i="8"/>
  <c r="Z64" i="8"/>
  <c r="Y64" i="8"/>
  <c r="X64" i="8"/>
  <c r="W64" i="8"/>
  <c r="V64" i="8"/>
  <c r="U64" i="8"/>
  <c r="T64" i="8"/>
  <c r="S64" i="8"/>
  <c r="R64" i="8"/>
  <c r="Q64" i="8"/>
  <c r="Z63" i="8"/>
  <c r="Y63" i="8"/>
  <c r="X63" i="8"/>
  <c r="W63" i="8"/>
  <c r="V63" i="8"/>
  <c r="U63" i="8"/>
  <c r="T63" i="8"/>
  <c r="S63" i="8"/>
  <c r="R63" i="8"/>
  <c r="Q63" i="8"/>
  <c r="Z62" i="8"/>
  <c r="Y62" i="8"/>
  <c r="X62" i="8"/>
  <c r="W62" i="8"/>
  <c r="V62" i="8"/>
  <c r="U62" i="8"/>
  <c r="T62" i="8"/>
  <c r="S62" i="8"/>
  <c r="R62" i="8"/>
  <c r="Q62" i="8"/>
  <c r="Z61" i="8"/>
  <c r="Y61" i="8"/>
  <c r="X61" i="8"/>
  <c r="W61" i="8"/>
  <c r="V61" i="8"/>
  <c r="U61" i="8"/>
  <c r="T61" i="8"/>
  <c r="S61" i="8"/>
  <c r="R61" i="8"/>
  <c r="Q61" i="8"/>
  <c r="Z60" i="8"/>
  <c r="Y60" i="8"/>
  <c r="X60" i="8"/>
  <c r="W60" i="8"/>
  <c r="V60" i="8"/>
  <c r="U60" i="8"/>
  <c r="T60" i="8"/>
  <c r="S60" i="8"/>
  <c r="R60" i="8"/>
  <c r="Q60" i="8"/>
  <c r="Z59" i="8"/>
  <c r="Y59" i="8"/>
  <c r="X59" i="8"/>
  <c r="W59" i="8"/>
  <c r="V59" i="8"/>
  <c r="U59" i="8"/>
  <c r="T59" i="8"/>
  <c r="S59" i="8"/>
  <c r="R59" i="8"/>
  <c r="Q59" i="8"/>
  <c r="Z58" i="8"/>
  <c r="Y58" i="8"/>
  <c r="X58" i="8"/>
  <c r="W58" i="8"/>
  <c r="V58" i="8"/>
  <c r="U58" i="8"/>
  <c r="T58" i="8"/>
  <c r="S58" i="8"/>
  <c r="R58" i="8"/>
  <c r="Q58" i="8"/>
  <c r="Z57" i="8"/>
  <c r="Y57" i="8"/>
  <c r="X57" i="8"/>
  <c r="W57" i="8"/>
  <c r="V57" i="8"/>
  <c r="U57" i="8"/>
  <c r="T57" i="8"/>
  <c r="S57" i="8"/>
  <c r="R57" i="8"/>
  <c r="Q57" i="8"/>
  <c r="Z56" i="8"/>
  <c r="Y56" i="8"/>
  <c r="X56" i="8"/>
  <c r="W56" i="8"/>
  <c r="V56" i="8"/>
  <c r="U56" i="8"/>
  <c r="T56" i="8"/>
  <c r="S56" i="8"/>
  <c r="R56" i="8"/>
  <c r="Q56" i="8"/>
  <c r="Z55" i="8"/>
  <c r="Y55" i="8"/>
  <c r="X55" i="8"/>
  <c r="W55" i="8"/>
  <c r="V55" i="8"/>
  <c r="U55" i="8"/>
  <c r="T55" i="8"/>
  <c r="S55" i="8"/>
  <c r="R55" i="8"/>
  <c r="Q55" i="8"/>
  <c r="Z54" i="8"/>
  <c r="Y54" i="8"/>
  <c r="X54" i="8"/>
  <c r="W54" i="8"/>
  <c r="V54" i="8"/>
  <c r="U54" i="8"/>
  <c r="T54" i="8"/>
  <c r="S54" i="8"/>
  <c r="R54" i="8"/>
  <c r="Q54" i="8"/>
  <c r="Z53" i="8"/>
  <c r="Y53" i="8"/>
  <c r="X53" i="8"/>
  <c r="W53" i="8"/>
  <c r="V53" i="8"/>
  <c r="U53" i="8"/>
  <c r="T53" i="8"/>
  <c r="S53" i="8"/>
  <c r="R53" i="8"/>
  <c r="Q53" i="8"/>
  <c r="Z52" i="8"/>
  <c r="Y52" i="8"/>
  <c r="X52" i="8"/>
  <c r="W52" i="8"/>
  <c r="V52" i="8"/>
  <c r="U52" i="8"/>
  <c r="T52" i="8"/>
  <c r="S52" i="8"/>
  <c r="R52" i="8"/>
  <c r="Q52" i="8"/>
  <c r="Z51" i="8"/>
  <c r="Y51" i="8"/>
  <c r="X51" i="8"/>
  <c r="W51" i="8"/>
  <c r="V51" i="8"/>
  <c r="U51" i="8"/>
  <c r="T51" i="8"/>
  <c r="S51" i="8"/>
  <c r="R51" i="8"/>
  <c r="Q51" i="8"/>
  <c r="Z50" i="8"/>
  <c r="Y50" i="8"/>
  <c r="X50" i="8"/>
  <c r="W50" i="8"/>
  <c r="V50" i="8"/>
  <c r="U50" i="8"/>
  <c r="T50" i="8"/>
  <c r="S50" i="8"/>
  <c r="R50" i="8"/>
  <c r="Q50" i="8"/>
  <c r="Z49" i="8"/>
  <c r="Y49" i="8"/>
  <c r="X49" i="8"/>
  <c r="W49" i="8"/>
  <c r="V49" i="8"/>
  <c r="U49" i="8"/>
  <c r="T49" i="8"/>
  <c r="S49" i="8"/>
  <c r="R49" i="8"/>
  <c r="Q49" i="8"/>
  <c r="Z48" i="8"/>
  <c r="Y48" i="8"/>
  <c r="X48" i="8"/>
  <c r="W48" i="8"/>
  <c r="V48" i="8"/>
  <c r="U48" i="8"/>
  <c r="T48" i="8"/>
  <c r="S48" i="8"/>
  <c r="R48" i="8"/>
  <c r="Q48" i="8"/>
  <c r="Z47" i="8"/>
  <c r="Y47" i="8"/>
  <c r="X47" i="8"/>
  <c r="W47" i="8"/>
  <c r="V47" i="8"/>
  <c r="U47" i="8"/>
  <c r="T47" i="8"/>
  <c r="S47" i="8"/>
  <c r="R47" i="8"/>
  <c r="Q47" i="8"/>
  <c r="Z46" i="8"/>
  <c r="Y46" i="8"/>
  <c r="X46" i="8"/>
  <c r="W46" i="8"/>
  <c r="V46" i="8"/>
  <c r="U46" i="8"/>
  <c r="T46" i="8"/>
  <c r="S46" i="8"/>
  <c r="R46" i="8"/>
  <c r="Q46" i="8"/>
  <c r="Z45" i="8"/>
  <c r="Y45" i="8"/>
  <c r="X45" i="8"/>
  <c r="W45" i="8"/>
  <c r="V45" i="8"/>
  <c r="U45" i="8"/>
  <c r="T45" i="8"/>
  <c r="S45" i="8"/>
  <c r="R45" i="8"/>
  <c r="Q45" i="8"/>
  <c r="Z44" i="8"/>
  <c r="Y44" i="8"/>
  <c r="X44" i="8"/>
  <c r="W44" i="8"/>
  <c r="V44" i="8"/>
  <c r="U44" i="8"/>
  <c r="T44" i="8"/>
  <c r="S44" i="8"/>
  <c r="R44" i="8"/>
  <c r="Q44" i="8"/>
  <c r="Z43" i="8"/>
  <c r="Y43" i="8"/>
  <c r="X43" i="8"/>
  <c r="W43" i="8"/>
  <c r="V43" i="8"/>
  <c r="U43" i="8"/>
  <c r="T43" i="8"/>
  <c r="S43" i="8"/>
  <c r="R43" i="8"/>
  <c r="Q43" i="8"/>
  <c r="N216" i="5"/>
  <c r="N216" i="8" s="1"/>
  <c r="M216" i="5"/>
  <c r="M216" i="8" s="1"/>
  <c r="L216" i="5"/>
  <c r="L216" i="8" s="1"/>
  <c r="K216" i="5"/>
  <c r="K216" i="8" s="1"/>
  <c r="J216" i="5"/>
  <c r="J216" i="8" s="1"/>
  <c r="I216" i="5"/>
  <c r="I216" i="8" s="1"/>
  <c r="H216" i="5"/>
  <c r="H216" i="8" s="1"/>
  <c r="G216" i="5"/>
  <c r="G216" i="8" s="1"/>
  <c r="F216" i="5"/>
  <c r="F216" i="8" s="1"/>
  <c r="E216" i="5"/>
  <c r="E216" i="8" s="1"/>
  <c r="D216" i="5"/>
  <c r="D216" i="8" s="1"/>
  <c r="N215" i="5"/>
  <c r="N215" i="8" s="1"/>
  <c r="M215" i="5"/>
  <c r="M215" i="8" s="1"/>
  <c r="L215" i="5"/>
  <c r="L215" i="8" s="1"/>
  <c r="K215" i="5"/>
  <c r="K215" i="8" s="1"/>
  <c r="J215" i="5"/>
  <c r="J215" i="8" s="1"/>
  <c r="I215" i="5"/>
  <c r="I215" i="8" s="1"/>
  <c r="H215" i="5"/>
  <c r="H215" i="8" s="1"/>
  <c r="G215" i="5"/>
  <c r="G215" i="8" s="1"/>
  <c r="F215" i="5"/>
  <c r="F215" i="8" s="1"/>
  <c r="E215" i="5"/>
  <c r="E215" i="8" s="1"/>
  <c r="N214" i="5"/>
  <c r="N214" i="8" s="1"/>
  <c r="M214" i="5"/>
  <c r="M214" i="8" s="1"/>
  <c r="L214" i="5"/>
  <c r="L214" i="8" s="1"/>
  <c r="K214" i="5"/>
  <c r="K214" i="8" s="1"/>
  <c r="J214" i="5"/>
  <c r="J214" i="8" s="1"/>
  <c r="I214" i="5"/>
  <c r="I214" i="8" s="1"/>
  <c r="H214" i="5"/>
  <c r="H214" i="8" s="1"/>
  <c r="G214" i="5"/>
  <c r="G214" i="8" s="1"/>
  <c r="F214" i="5"/>
  <c r="F214" i="8" s="1"/>
  <c r="E214" i="5"/>
  <c r="E214" i="8" s="1"/>
  <c r="N213" i="5"/>
  <c r="N213" i="8" s="1"/>
  <c r="M213" i="5"/>
  <c r="M213" i="8" s="1"/>
  <c r="L213" i="5"/>
  <c r="L213" i="8" s="1"/>
  <c r="K213" i="5"/>
  <c r="K213" i="8" s="1"/>
  <c r="J213" i="5"/>
  <c r="J213" i="8" s="1"/>
  <c r="I213" i="5"/>
  <c r="I213" i="8" s="1"/>
  <c r="H213" i="5"/>
  <c r="H213" i="8" s="1"/>
  <c r="G213" i="5"/>
  <c r="G213" i="8" s="1"/>
  <c r="F213" i="5"/>
  <c r="F213" i="8" s="1"/>
  <c r="E213" i="5"/>
  <c r="E213" i="8" s="1"/>
  <c r="N212" i="5"/>
  <c r="N212" i="8" s="1"/>
  <c r="M212" i="5"/>
  <c r="M212" i="8" s="1"/>
  <c r="L212" i="5"/>
  <c r="L212" i="8" s="1"/>
  <c r="K212" i="5"/>
  <c r="K212" i="8" s="1"/>
  <c r="J212" i="5"/>
  <c r="J212" i="8" s="1"/>
  <c r="I212" i="5"/>
  <c r="I212" i="8" s="1"/>
  <c r="H212" i="5"/>
  <c r="H212" i="8" s="1"/>
  <c r="G212" i="5"/>
  <c r="G212" i="8" s="1"/>
  <c r="F212" i="5"/>
  <c r="F212" i="8" s="1"/>
  <c r="E212" i="5"/>
  <c r="E212" i="8" s="1"/>
  <c r="N211" i="5"/>
  <c r="N211" i="8" s="1"/>
  <c r="M211" i="5"/>
  <c r="M211" i="8" s="1"/>
  <c r="L211" i="5"/>
  <c r="L211" i="8" s="1"/>
  <c r="K211" i="5"/>
  <c r="K211" i="8" s="1"/>
  <c r="J211" i="5"/>
  <c r="J211" i="8" s="1"/>
  <c r="I211" i="5"/>
  <c r="I211" i="8" s="1"/>
  <c r="H211" i="5"/>
  <c r="H211" i="8" s="1"/>
  <c r="G211" i="5"/>
  <c r="G211" i="8" s="1"/>
  <c r="F211" i="5"/>
  <c r="F211" i="8" s="1"/>
  <c r="E211" i="5"/>
  <c r="E211" i="8" s="1"/>
  <c r="D211" i="5"/>
  <c r="D211" i="8" s="1"/>
  <c r="N210" i="5"/>
  <c r="N210" i="8" s="1"/>
  <c r="M210" i="5"/>
  <c r="M210" i="8" s="1"/>
  <c r="L210" i="5"/>
  <c r="L210" i="8" s="1"/>
  <c r="K210" i="5"/>
  <c r="K210" i="8" s="1"/>
  <c r="J210" i="5"/>
  <c r="J210" i="8" s="1"/>
  <c r="I210" i="5"/>
  <c r="I210" i="8" s="1"/>
  <c r="H210" i="5"/>
  <c r="H210" i="8" s="1"/>
  <c r="G210" i="5"/>
  <c r="G210" i="8" s="1"/>
  <c r="F210" i="5"/>
  <c r="F210" i="8" s="1"/>
  <c r="E210" i="5"/>
  <c r="E210" i="8" s="1"/>
  <c r="N209" i="5"/>
  <c r="N209" i="8" s="1"/>
  <c r="M209" i="5"/>
  <c r="M209" i="8" s="1"/>
  <c r="L209" i="5"/>
  <c r="L209" i="8" s="1"/>
  <c r="K209" i="5"/>
  <c r="K209" i="8" s="1"/>
  <c r="J209" i="5"/>
  <c r="J209" i="8" s="1"/>
  <c r="I209" i="5"/>
  <c r="I209" i="8" s="1"/>
  <c r="H209" i="5"/>
  <c r="H209" i="8" s="1"/>
  <c r="G209" i="5"/>
  <c r="G209" i="8" s="1"/>
  <c r="F209" i="5"/>
  <c r="F209" i="8" s="1"/>
  <c r="E209" i="5"/>
  <c r="E209" i="8" s="1"/>
  <c r="N208" i="5"/>
  <c r="N208" i="8" s="1"/>
  <c r="M208" i="5"/>
  <c r="M208" i="8" s="1"/>
  <c r="L208" i="5"/>
  <c r="L208" i="8" s="1"/>
  <c r="K208" i="5"/>
  <c r="K208" i="8" s="1"/>
  <c r="J208" i="5"/>
  <c r="J208" i="8" s="1"/>
  <c r="I208" i="5"/>
  <c r="I208" i="8" s="1"/>
  <c r="H208" i="5"/>
  <c r="H208" i="8" s="1"/>
  <c r="G208" i="5"/>
  <c r="G208" i="8" s="1"/>
  <c r="F208" i="5"/>
  <c r="F208" i="8" s="1"/>
  <c r="E208" i="5"/>
  <c r="E208" i="8" s="1"/>
  <c r="D208" i="5"/>
  <c r="D208" i="8" s="1"/>
  <c r="N207" i="5"/>
  <c r="N207" i="8" s="1"/>
  <c r="M207" i="5"/>
  <c r="M207" i="8" s="1"/>
  <c r="L207" i="5"/>
  <c r="L207" i="8" s="1"/>
  <c r="K207" i="5"/>
  <c r="K207" i="8" s="1"/>
  <c r="J207" i="5"/>
  <c r="J207" i="8" s="1"/>
  <c r="I207" i="5"/>
  <c r="I207" i="8" s="1"/>
  <c r="H207" i="5"/>
  <c r="H207" i="8" s="1"/>
  <c r="G207" i="5"/>
  <c r="G207" i="8" s="1"/>
  <c r="F207" i="5"/>
  <c r="F207" i="8" s="1"/>
  <c r="E207" i="5"/>
  <c r="E207" i="8" s="1"/>
  <c r="N206" i="5"/>
  <c r="N206" i="8" s="1"/>
  <c r="M206" i="5"/>
  <c r="M206" i="8" s="1"/>
  <c r="L206" i="5"/>
  <c r="L206" i="8" s="1"/>
  <c r="K206" i="5"/>
  <c r="K206" i="8" s="1"/>
  <c r="J206" i="5"/>
  <c r="J206" i="8" s="1"/>
  <c r="I206" i="5"/>
  <c r="I206" i="8" s="1"/>
  <c r="H206" i="5"/>
  <c r="H206" i="8" s="1"/>
  <c r="G206" i="5"/>
  <c r="G206" i="8" s="1"/>
  <c r="F206" i="5"/>
  <c r="F206" i="8" s="1"/>
  <c r="E206" i="5"/>
  <c r="E206" i="8" s="1"/>
  <c r="N205" i="5"/>
  <c r="N205" i="8" s="1"/>
  <c r="M205" i="5"/>
  <c r="M205" i="8" s="1"/>
  <c r="L205" i="5"/>
  <c r="L205" i="8" s="1"/>
  <c r="K205" i="5"/>
  <c r="K205" i="8" s="1"/>
  <c r="J205" i="5"/>
  <c r="J205" i="8" s="1"/>
  <c r="I205" i="5"/>
  <c r="I205" i="8" s="1"/>
  <c r="H205" i="5"/>
  <c r="H205" i="8" s="1"/>
  <c r="G205" i="5"/>
  <c r="G205" i="8" s="1"/>
  <c r="F205" i="5"/>
  <c r="F205" i="8" s="1"/>
  <c r="E205" i="5"/>
  <c r="E205" i="8" s="1"/>
  <c r="N204" i="5"/>
  <c r="N204" i="8" s="1"/>
  <c r="M204" i="5"/>
  <c r="M204" i="8" s="1"/>
  <c r="L204" i="5"/>
  <c r="L204" i="8" s="1"/>
  <c r="K204" i="5"/>
  <c r="K204" i="8" s="1"/>
  <c r="J204" i="5"/>
  <c r="J204" i="8" s="1"/>
  <c r="I204" i="5"/>
  <c r="I204" i="8" s="1"/>
  <c r="H204" i="5"/>
  <c r="H204" i="8" s="1"/>
  <c r="G204" i="5"/>
  <c r="G204" i="8" s="1"/>
  <c r="F204" i="5"/>
  <c r="F204" i="8" s="1"/>
  <c r="E204" i="5"/>
  <c r="E204" i="8" s="1"/>
  <c r="N203" i="5"/>
  <c r="N203" i="8" s="1"/>
  <c r="M203" i="5"/>
  <c r="M203" i="8" s="1"/>
  <c r="L203" i="5"/>
  <c r="L203" i="8" s="1"/>
  <c r="K203" i="5"/>
  <c r="K203" i="8" s="1"/>
  <c r="J203" i="5"/>
  <c r="J203" i="8" s="1"/>
  <c r="I203" i="5"/>
  <c r="I203" i="8" s="1"/>
  <c r="H203" i="5"/>
  <c r="H203" i="8" s="1"/>
  <c r="G203" i="5"/>
  <c r="G203" i="8" s="1"/>
  <c r="F203" i="5"/>
  <c r="F203" i="8" s="1"/>
  <c r="E203" i="5"/>
  <c r="E203" i="8" s="1"/>
  <c r="D203" i="5"/>
  <c r="D203" i="8" s="1"/>
  <c r="N202" i="5"/>
  <c r="N202" i="8" s="1"/>
  <c r="M202" i="5"/>
  <c r="M202" i="8" s="1"/>
  <c r="L202" i="5"/>
  <c r="L202" i="8" s="1"/>
  <c r="K202" i="5"/>
  <c r="K202" i="8" s="1"/>
  <c r="J202" i="5"/>
  <c r="J202" i="8" s="1"/>
  <c r="I202" i="5"/>
  <c r="I202" i="8" s="1"/>
  <c r="H202" i="5"/>
  <c r="H202" i="8" s="1"/>
  <c r="G202" i="5"/>
  <c r="G202" i="8" s="1"/>
  <c r="F202" i="5"/>
  <c r="F202" i="8" s="1"/>
  <c r="E202" i="5"/>
  <c r="E202" i="8" s="1"/>
  <c r="N201" i="5"/>
  <c r="N201" i="8" s="1"/>
  <c r="M201" i="5"/>
  <c r="M201" i="8" s="1"/>
  <c r="L201" i="5"/>
  <c r="L201" i="8" s="1"/>
  <c r="K201" i="5"/>
  <c r="K201" i="8" s="1"/>
  <c r="J201" i="5"/>
  <c r="J201" i="8" s="1"/>
  <c r="I201" i="5"/>
  <c r="I201" i="8" s="1"/>
  <c r="H201" i="5"/>
  <c r="H201" i="8" s="1"/>
  <c r="G201" i="5"/>
  <c r="G201" i="8" s="1"/>
  <c r="F201" i="5"/>
  <c r="F201" i="8" s="1"/>
  <c r="E201" i="5"/>
  <c r="E201" i="8" s="1"/>
  <c r="N200" i="5"/>
  <c r="N200" i="8" s="1"/>
  <c r="M200" i="5"/>
  <c r="M200" i="8" s="1"/>
  <c r="L200" i="5"/>
  <c r="L200" i="8" s="1"/>
  <c r="K200" i="5"/>
  <c r="K200" i="8" s="1"/>
  <c r="J200" i="5"/>
  <c r="J200" i="8" s="1"/>
  <c r="I200" i="5"/>
  <c r="I200" i="8" s="1"/>
  <c r="H200" i="5"/>
  <c r="H200" i="8" s="1"/>
  <c r="G200" i="5"/>
  <c r="G200" i="8" s="1"/>
  <c r="F200" i="5"/>
  <c r="F200" i="8" s="1"/>
  <c r="E200" i="5"/>
  <c r="E200" i="8" s="1"/>
  <c r="D200" i="5"/>
  <c r="D200" i="8" s="1"/>
  <c r="N199" i="5"/>
  <c r="N199" i="8" s="1"/>
  <c r="M199" i="5"/>
  <c r="M199" i="8" s="1"/>
  <c r="L199" i="5"/>
  <c r="L199" i="8" s="1"/>
  <c r="K199" i="5"/>
  <c r="K199" i="8" s="1"/>
  <c r="J199" i="5"/>
  <c r="J199" i="8" s="1"/>
  <c r="I199" i="5"/>
  <c r="I199" i="8" s="1"/>
  <c r="H199" i="5"/>
  <c r="H199" i="8" s="1"/>
  <c r="G199" i="5"/>
  <c r="G199" i="8" s="1"/>
  <c r="F199" i="5"/>
  <c r="F199" i="8" s="1"/>
  <c r="E199" i="5"/>
  <c r="E199" i="8" s="1"/>
  <c r="N198" i="5"/>
  <c r="N198" i="8" s="1"/>
  <c r="M198" i="5"/>
  <c r="M198" i="8" s="1"/>
  <c r="L198" i="5"/>
  <c r="L198" i="8" s="1"/>
  <c r="K198" i="5"/>
  <c r="K198" i="8" s="1"/>
  <c r="J198" i="5"/>
  <c r="J198" i="8" s="1"/>
  <c r="I198" i="5"/>
  <c r="I198" i="8" s="1"/>
  <c r="H198" i="5"/>
  <c r="H198" i="8" s="1"/>
  <c r="G198" i="5"/>
  <c r="G198" i="8" s="1"/>
  <c r="F198" i="5"/>
  <c r="F198" i="8" s="1"/>
  <c r="E198" i="5"/>
  <c r="E198" i="8" s="1"/>
  <c r="N197" i="5"/>
  <c r="N197" i="8" s="1"/>
  <c r="M197" i="5"/>
  <c r="M197" i="8" s="1"/>
  <c r="L197" i="5"/>
  <c r="L197" i="8" s="1"/>
  <c r="K197" i="5"/>
  <c r="K197" i="8" s="1"/>
  <c r="J197" i="5"/>
  <c r="J197" i="8" s="1"/>
  <c r="I197" i="5"/>
  <c r="I197" i="8" s="1"/>
  <c r="H197" i="5"/>
  <c r="H197" i="8" s="1"/>
  <c r="G197" i="5"/>
  <c r="G197" i="8" s="1"/>
  <c r="F197" i="5"/>
  <c r="F197" i="8" s="1"/>
  <c r="E197" i="5"/>
  <c r="E197" i="8" s="1"/>
  <c r="N196" i="5"/>
  <c r="N196" i="8" s="1"/>
  <c r="M196" i="5"/>
  <c r="M196" i="8" s="1"/>
  <c r="L196" i="5"/>
  <c r="L196" i="8" s="1"/>
  <c r="K196" i="5"/>
  <c r="K196" i="8" s="1"/>
  <c r="J196" i="5"/>
  <c r="J196" i="8" s="1"/>
  <c r="I196" i="5"/>
  <c r="I196" i="8" s="1"/>
  <c r="H196" i="5"/>
  <c r="H196" i="8" s="1"/>
  <c r="G196" i="5"/>
  <c r="G196" i="8" s="1"/>
  <c r="F196" i="5"/>
  <c r="F196" i="8" s="1"/>
  <c r="E196" i="5"/>
  <c r="E196" i="8" s="1"/>
  <c r="N195" i="5"/>
  <c r="N195" i="8" s="1"/>
  <c r="M195" i="5"/>
  <c r="M195" i="8" s="1"/>
  <c r="L195" i="5"/>
  <c r="L195" i="8" s="1"/>
  <c r="K195" i="5"/>
  <c r="K195" i="8" s="1"/>
  <c r="J195" i="5"/>
  <c r="J195" i="8" s="1"/>
  <c r="I195" i="5"/>
  <c r="I195" i="8" s="1"/>
  <c r="H195" i="5"/>
  <c r="H195" i="8" s="1"/>
  <c r="G195" i="5"/>
  <c r="G195" i="8" s="1"/>
  <c r="F195" i="5"/>
  <c r="F195" i="8" s="1"/>
  <c r="E195" i="5"/>
  <c r="E195" i="8" s="1"/>
  <c r="D195" i="5"/>
  <c r="D195" i="8" s="1"/>
  <c r="N194" i="5"/>
  <c r="N194" i="8" s="1"/>
  <c r="M194" i="5"/>
  <c r="M194" i="8" s="1"/>
  <c r="L194" i="5"/>
  <c r="L194" i="8" s="1"/>
  <c r="K194" i="5"/>
  <c r="K194" i="8" s="1"/>
  <c r="J194" i="5"/>
  <c r="J194" i="8" s="1"/>
  <c r="I194" i="5"/>
  <c r="I194" i="8" s="1"/>
  <c r="H194" i="5"/>
  <c r="H194" i="8" s="1"/>
  <c r="G194" i="5"/>
  <c r="G194" i="8" s="1"/>
  <c r="F194" i="5"/>
  <c r="F194" i="8" s="1"/>
  <c r="E194" i="5"/>
  <c r="E194" i="8" s="1"/>
  <c r="N193" i="5"/>
  <c r="N193" i="8" s="1"/>
  <c r="M193" i="5"/>
  <c r="M193" i="8" s="1"/>
  <c r="L193" i="5"/>
  <c r="L193" i="8" s="1"/>
  <c r="K193" i="5"/>
  <c r="K193" i="8" s="1"/>
  <c r="J193" i="5"/>
  <c r="J193" i="8" s="1"/>
  <c r="I193" i="5"/>
  <c r="I193" i="8" s="1"/>
  <c r="H193" i="5"/>
  <c r="H193" i="8" s="1"/>
  <c r="G193" i="5"/>
  <c r="G193" i="8" s="1"/>
  <c r="F193" i="5"/>
  <c r="F193" i="8" s="1"/>
  <c r="E193" i="5"/>
  <c r="E193" i="8" s="1"/>
  <c r="N192" i="5"/>
  <c r="N192" i="8" s="1"/>
  <c r="M192" i="5"/>
  <c r="M192" i="8" s="1"/>
  <c r="L192" i="5"/>
  <c r="L192" i="8" s="1"/>
  <c r="K192" i="5"/>
  <c r="K192" i="8" s="1"/>
  <c r="J192" i="5"/>
  <c r="J192" i="8" s="1"/>
  <c r="I192" i="5"/>
  <c r="I192" i="8" s="1"/>
  <c r="H192" i="5"/>
  <c r="H192" i="8" s="1"/>
  <c r="G192" i="5"/>
  <c r="G192" i="8" s="1"/>
  <c r="F192" i="5"/>
  <c r="F192" i="8" s="1"/>
  <c r="E192" i="5"/>
  <c r="E192" i="8" s="1"/>
  <c r="D192" i="5"/>
  <c r="D192" i="8" s="1"/>
  <c r="N191" i="5"/>
  <c r="N191" i="8" s="1"/>
  <c r="M191" i="5"/>
  <c r="M191" i="8" s="1"/>
  <c r="L191" i="5"/>
  <c r="L191" i="8" s="1"/>
  <c r="K191" i="5"/>
  <c r="K191" i="8" s="1"/>
  <c r="J191" i="5"/>
  <c r="J191" i="8" s="1"/>
  <c r="I191" i="5"/>
  <c r="I191" i="8" s="1"/>
  <c r="H191" i="5"/>
  <c r="H191" i="8" s="1"/>
  <c r="G191" i="5"/>
  <c r="G191" i="8" s="1"/>
  <c r="F191" i="5"/>
  <c r="F191" i="8" s="1"/>
  <c r="E191" i="5"/>
  <c r="E191" i="8" s="1"/>
  <c r="N190" i="5"/>
  <c r="N190" i="8" s="1"/>
  <c r="M190" i="5"/>
  <c r="M190" i="8" s="1"/>
  <c r="L190" i="5"/>
  <c r="L190" i="8" s="1"/>
  <c r="K190" i="5"/>
  <c r="K190" i="8" s="1"/>
  <c r="J190" i="5"/>
  <c r="J190" i="8" s="1"/>
  <c r="I190" i="5"/>
  <c r="I190" i="8" s="1"/>
  <c r="H190" i="5"/>
  <c r="H190" i="8" s="1"/>
  <c r="G190" i="5"/>
  <c r="G190" i="8" s="1"/>
  <c r="F190" i="5"/>
  <c r="F190" i="8" s="1"/>
  <c r="E190" i="5"/>
  <c r="E190" i="8" s="1"/>
  <c r="N189" i="5"/>
  <c r="N189" i="8" s="1"/>
  <c r="M189" i="5"/>
  <c r="M189" i="8" s="1"/>
  <c r="L189" i="5"/>
  <c r="L189" i="8" s="1"/>
  <c r="K189" i="5"/>
  <c r="K189" i="8" s="1"/>
  <c r="J189" i="5"/>
  <c r="J189" i="8" s="1"/>
  <c r="I189" i="5"/>
  <c r="I189" i="8" s="1"/>
  <c r="H189" i="5"/>
  <c r="H189" i="8" s="1"/>
  <c r="G189" i="5"/>
  <c r="G189" i="8" s="1"/>
  <c r="F189" i="5"/>
  <c r="F189" i="8" s="1"/>
  <c r="E189" i="5"/>
  <c r="E189" i="8" s="1"/>
  <c r="N188" i="5"/>
  <c r="N188" i="8" s="1"/>
  <c r="M188" i="5"/>
  <c r="M188" i="8" s="1"/>
  <c r="L188" i="5"/>
  <c r="L188" i="8" s="1"/>
  <c r="K188" i="5"/>
  <c r="K188" i="8" s="1"/>
  <c r="J188" i="5"/>
  <c r="J188" i="8" s="1"/>
  <c r="I188" i="5"/>
  <c r="I188" i="8" s="1"/>
  <c r="H188" i="5"/>
  <c r="H188" i="8" s="1"/>
  <c r="G188" i="5"/>
  <c r="G188" i="8" s="1"/>
  <c r="F188" i="5"/>
  <c r="F188" i="8" s="1"/>
  <c r="E188" i="5"/>
  <c r="E188" i="8" s="1"/>
  <c r="N187" i="5"/>
  <c r="N187" i="8" s="1"/>
  <c r="M187" i="5"/>
  <c r="M187" i="8" s="1"/>
  <c r="L187" i="5"/>
  <c r="L187" i="8" s="1"/>
  <c r="K187" i="5"/>
  <c r="K187" i="8" s="1"/>
  <c r="J187" i="5"/>
  <c r="J187" i="8" s="1"/>
  <c r="I187" i="5"/>
  <c r="I187" i="8" s="1"/>
  <c r="H187" i="5"/>
  <c r="H187" i="8" s="1"/>
  <c r="G187" i="5"/>
  <c r="G187" i="8" s="1"/>
  <c r="F187" i="5"/>
  <c r="F187" i="8" s="1"/>
  <c r="E187" i="5"/>
  <c r="E187" i="8" s="1"/>
  <c r="D187" i="5"/>
  <c r="D187" i="8" s="1"/>
  <c r="N180" i="5"/>
  <c r="N180" i="8" s="1"/>
  <c r="M180" i="5"/>
  <c r="M180" i="8" s="1"/>
  <c r="L180" i="5"/>
  <c r="L180" i="8" s="1"/>
  <c r="K180" i="5"/>
  <c r="K180" i="8" s="1"/>
  <c r="J180" i="5"/>
  <c r="J180" i="8" s="1"/>
  <c r="I180" i="5"/>
  <c r="I180" i="8" s="1"/>
  <c r="H180" i="5"/>
  <c r="H180" i="8" s="1"/>
  <c r="G180" i="5"/>
  <c r="G180" i="8" s="1"/>
  <c r="F180" i="5"/>
  <c r="F180" i="8" s="1"/>
  <c r="E180" i="5"/>
  <c r="E180" i="8" s="1"/>
  <c r="N179" i="5"/>
  <c r="N179" i="8" s="1"/>
  <c r="M179" i="5"/>
  <c r="M179" i="8" s="1"/>
  <c r="L179" i="5"/>
  <c r="L179" i="8" s="1"/>
  <c r="K179" i="5"/>
  <c r="K179" i="8" s="1"/>
  <c r="J179" i="5"/>
  <c r="J179" i="8" s="1"/>
  <c r="I179" i="5"/>
  <c r="I179" i="8" s="1"/>
  <c r="H179" i="5"/>
  <c r="H179" i="8" s="1"/>
  <c r="G179" i="5"/>
  <c r="G179" i="8" s="1"/>
  <c r="F179" i="5"/>
  <c r="F179" i="8" s="1"/>
  <c r="E179" i="5"/>
  <c r="E179" i="8" s="1"/>
  <c r="N178" i="5"/>
  <c r="N178" i="8" s="1"/>
  <c r="M178" i="5"/>
  <c r="M178" i="8" s="1"/>
  <c r="L178" i="5"/>
  <c r="L178" i="8" s="1"/>
  <c r="K178" i="5"/>
  <c r="K178" i="8" s="1"/>
  <c r="J178" i="5"/>
  <c r="J178" i="8" s="1"/>
  <c r="I178" i="5"/>
  <c r="I178" i="8" s="1"/>
  <c r="H178" i="5"/>
  <c r="H178" i="8" s="1"/>
  <c r="G178" i="5"/>
  <c r="G178" i="8" s="1"/>
  <c r="F178" i="5"/>
  <c r="F178" i="8" s="1"/>
  <c r="E178" i="5"/>
  <c r="E178" i="8" s="1"/>
  <c r="D178" i="5"/>
  <c r="D178" i="8" s="1"/>
  <c r="N177" i="5"/>
  <c r="N177" i="8" s="1"/>
  <c r="M177" i="5"/>
  <c r="M177" i="8" s="1"/>
  <c r="L177" i="5"/>
  <c r="L177" i="8" s="1"/>
  <c r="K177" i="5"/>
  <c r="K177" i="8" s="1"/>
  <c r="J177" i="5"/>
  <c r="J177" i="8" s="1"/>
  <c r="I177" i="5"/>
  <c r="I177" i="8" s="1"/>
  <c r="H177" i="5"/>
  <c r="H177" i="8" s="1"/>
  <c r="G177" i="5"/>
  <c r="G177" i="8" s="1"/>
  <c r="F177" i="5"/>
  <c r="F177" i="8" s="1"/>
  <c r="E177" i="5"/>
  <c r="E177" i="8" s="1"/>
  <c r="N176" i="5"/>
  <c r="N176" i="8" s="1"/>
  <c r="M176" i="5"/>
  <c r="M176" i="8" s="1"/>
  <c r="L176" i="5"/>
  <c r="L176" i="8" s="1"/>
  <c r="K176" i="5"/>
  <c r="K176" i="8" s="1"/>
  <c r="J176" i="5"/>
  <c r="J176" i="8" s="1"/>
  <c r="I176" i="5"/>
  <c r="I176" i="8" s="1"/>
  <c r="H176" i="5"/>
  <c r="H176" i="8" s="1"/>
  <c r="G176" i="5"/>
  <c r="G176" i="8" s="1"/>
  <c r="F176" i="5"/>
  <c r="F176" i="8" s="1"/>
  <c r="E176" i="5"/>
  <c r="E176" i="8" s="1"/>
  <c r="N175" i="5"/>
  <c r="N175" i="8" s="1"/>
  <c r="M175" i="5"/>
  <c r="M175" i="8" s="1"/>
  <c r="L175" i="5"/>
  <c r="L175" i="8" s="1"/>
  <c r="K175" i="5"/>
  <c r="K175" i="8" s="1"/>
  <c r="J175" i="5"/>
  <c r="J175" i="8" s="1"/>
  <c r="I175" i="5"/>
  <c r="I175" i="8" s="1"/>
  <c r="H175" i="5"/>
  <c r="H175" i="8" s="1"/>
  <c r="G175" i="5"/>
  <c r="G175" i="8" s="1"/>
  <c r="F175" i="5"/>
  <c r="F175" i="8" s="1"/>
  <c r="E175" i="5"/>
  <c r="E175" i="8" s="1"/>
  <c r="N174" i="5"/>
  <c r="N174" i="8" s="1"/>
  <c r="M174" i="5"/>
  <c r="M174" i="8" s="1"/>
  <c r="L174" i="5"/>
  <c r="L174" i="8" s="1"/>
  <c r="K174" i="5"/>
  <c r="K174" i="8" s="1"/>
  <c r="J174" i="5"/>
  <c r="J174" i="8" s="1"/>
  <c r="I174" i="5"/>
  <c r="I174" i="8" s="1"/>
  <c r="H174" i="5"/>
  <c r="H174" i="8" s="1"/>
  <c r="G174" i="5"/>
  <c r="G174" i="8" s="1"/>
  <c r="F174" i="5"/>
  <c r="F174" i="8" s="1"/>
  <c r="E174" i="5"/>
  <c r="E174" i="8" s="1"/>
  <c r="N173" i="5"/>
  <c r="N173" i="8" s="1"/>
  <c r="M173" i="5"/>
  <c r="M173" i="8" s="1"/>
  <c r="L173" i="5"/>
  <c r="L173" i="8" s="1"/>
  <c r="K173" i="5"/>
  <c r="K173" i="8" s="1"/>
  <c r="J173" i="5"/>
  <c r="J173" i="8" s="1"/>
  <c r="I173" i="5"/>
  <c r="I173" i="8" s="1"/>
  <c r="H173" i="5"/>
  <c r="H173" i="8" s="1"/>
  <c r="G173" i="5"/>
  <c r="G173" i="8" s="1"/>
  <c r="F173" i="5"/>
  <c r="F173" i="8" s="1"/>
  <c r="E173" i="5"/>
  <c r="E173" i="8" s="1"/>
  <c r="D173" i="5"/>
  <c r="D173" i="8" s="1"/>
  <c r="N172" i="5"/>
  <c r="N172" i="8" s="1"/>
  <c r="M172" i="5"/>
  <c r="M172" i="8" s="1"/>
  <c r="L172" i="5"/>
  <c r="L172" i="8" s="1"/>
  <c r="K172" i="5"/>
  <c r="K172" i="8" s="1"/>
  <c r="J172" i="5"/>
  <c r="J172" i="8" s="1"/>
  <c r="I172" i="5"/>
  <c r="I172" i="8" s="1"/>
  <c r="H172" i="5"/>
  <c r="H172" i="8" s="1"/>
  <c r="G172" i="5"/>
  <c r="G172" i="8" s="1"/>
  <c r="F172" i="5"/>
  <c r="F172" i="8" s="1"/>
  <c r="E172" i="5"/>
  <c r="E172" i="8" s="1"/>
  <c r="N171" i="5"/>
  <c r="N171" i="8" s="1"/>
  <c r="M171" i="5"/>
  <c r="M171" i="8" s="1"/>
  <c r="L171" i="5"/>
  <c r="L171" i="8" s="1"/>
  <c r="K171" i="5"/>
  <c r="K171" i="8" s="1"/>
  <c r="J171" i="5"/>
  <c r="J171" i="8" s="1"/>
  <c r="I171" i="5"/>
  <c r="I171" i="8" s="1"/>
  <c r="H171" i="5"/>
  <c r="H171" i="8" s="1"/>
  <c r="G171" i="5"/>
  <c r="G171" i="8" s="1"/>
  <c r="F171" i="5"/>
  <c r="F171" i="8" s="1"/>
  <c r="E171" i="5"/>
  <c r="E171" i="8" s="1"/>
  <c r="N170" i="5"/>
  <c r="N170" i="8" s="1"/>
  <c r="M170" i="5"/>
  <c r="M170" i="8" s="1"/>
  <c r="L170" i="5"/>
  <c r="L170" i="8" s="1"/>
  <c r="K170" i="5"/>
  <c r="K170" i="8" s="1"/>
  <c r="J170" i="5"/>
  <c r="J170" i="8" s="1"/>
  <c r="I170" i="5"/>
  <c r="I170" i="8" s="1"/>
  <c r="H170" i="5"/>
  <c r="H170" i="8" s="1"/>
  <c r="G170" i="5"/>
  <c r="G170" i="8" s="1"/>
  <c r="F170" i="5"/>
  <c r="F170" i="8" s="1"/>
  <c r="E170" i="5"/>
  <c r="E170" i="8" s="1"/>
  <c r="D170" i="5"/>
  <c r="D170" i="8" s="1"/>
  <c r="N169" i="5"/>
  <c r="N169" i="8" s="1"/>
  <c r="M169" i="5"/>
  <c r="M169" i="8" s="1"/>
  <c r="L169" i="5"/>
  <c r="L169" i="8" s="1"/>
  <c r="K169" i="5"/>
  <c r="K169" i="8" s="1"/>
  <c r="J169" i="5"/>
  <c r="J169" i="8" s="1"/>
  <c r="I169" i="5"/>
  <c r="I169" i="8" s="1"/>
  <c r="H169" i="5"/>
  <c r="H169" i="8" s="1"/>
  <c r="G169" i="5"/>
  <c r="G169" i="8" s="1"/>
  <c r="F169" i="5"/>
  <c r="F169" i="8" s="1"/>
  <c r="E169" i="5"/>
  <c r="E169" i="8" s="1"/>
  <c r="N168" i="5"/>
  <c r="N168" i="8" s="1"/>
  <c r="M168" i="5"/>
  <c r="M168" i="8" s="1"/>
  <c r="L168" i="5"/>
  <c r="L168" i="8" s="1"/>
  <c r="K168" i="5"/>
  <c r="K168" i="8" s="1"/>
  <c r="J168" i="5"/>
  <c r="J168" i="8" s="1"/>
  <c r="I168" i="5"/>
  <c r="I168" i="8" s="1"/>
  <c r="H168" i="5"/>
  <c r="H168" i="8" s="1"/>
  <c r="G168" i="5"/>
  <c r="G168" i="8" s="1"/>
  <c r="F168" i="5"/>
  <c r="F168" i="8" s="1"/>
  <c r="E168" i="5"/>
  <c r="E168" i="8" s="1"/>
  <c r="N167" i="5"/>
  <c r="N167" i="8" s="1"/>
  <c r="M167" i="5"/>
  <c r="M167" i="8" s="1"/>
  <c r="L167" i="5"/>
  <c r="L167" i="8" s="1"/>
  <c r="K167" i="5"/>
  <c r="K167" i="8" s="1"/>
  <c r="J167" i="5"/>
  <c r="J167" i="8" s="1"/>
  <c r="I167" i="5"/>
  <c r="I167" i="8" s="1"/>
  <c r="H167" i="5"/>
  <c r="H167" i="8" s="1"/>
  <c r="G167" i="5"/>
  <c r="G167" i="8" s="1"/>
  <c r="F167" i="5"/>
  <c r="F167" i="8" s="1"/>
  <c r="E167" i="5"/>
  <c r="E167" i="8" s="1"/>
  <c r="N166" i="5"/>
  <c r="N166" i="8" s="1"/>
  <c r="M166" i="5"/>
  <c r="M166" i="8" s="1"/>
  <c r="L166" i="5"/>
  <c r="L166" i="8" s="1"/>
  <c r="K166" i="5"/>
  <c r="K166" i="8" s="1"/>
  <c r="J166" i="5"/>
  <c r="J166" i="8" s="1"/>
  <c r="I166" i="5"/>
  <c r="I166" i="8" s="1"/>
  <c r="H166" i="5"/>
  <c r="H166" i="8" s="1"/>
  <c r="G166" i="5"/>
  <c r="G166" i="8" s="1"/>
  <c r="F166" i="5"/>
  <c r="F166" i="8" s="1"/>
  <c r="E166" i="5"/>
  <c r="E166" i="8" s="1"/>
  <c r="N165" i="5"/>
  <c r="N165" i="8" s="1"/>
  <c r="M165" i="5"/>
  <c r="M165" i="8" s="1"/>
  <c r="L165" i="5"/>
  <c r="L165" i="8" s="1"/>
  <c r="K165" i="5"/>
  <c r="K165" i="8" s="1"/>
  <c r="J165" i="5"/>
  <c r="J165" i="8" s="1"/>
  <c r="I165" i="5"/>
  <c r="I165" i="8" s="1"/>
  <c r="H165" i="5"/>
  <c r="H165" i="8" s="1"/>
  <c r="G165" i="5"/>
  <c r="G165" i="8" s="1"/>
  <c r="F165" i="5"/>
  <c r="F165" i="8" s="1"/>
  <c r="E165" i="5"/>
  <c r="E165" i="8" s="1"/>
  <c r="D165" i="5"/>
  <c r="D165" i="8" s="1"/>
  <c r="N164" i="5"/>
  <c r="N164" i="8" s="1"/>
  <c r="M164" i="5"/>
  <c r="M164" i="8" s="1"/>
  <c r="L164" i="5"/>
  <c r="L164" i="8" s="1"/>
  <c r="K164" i="5"/>
  <c r="K164" i="8" s="1"/>
  <c r="J164" i="5"/>
  <c r="J164" i="8" s="1"/>
  <c r="I164" i="5"/>
  <c r="I164" i="8" s="1"/>
  <c r="H164" i="5"/>
  <c r="H164" i="8" s="1"/>
  <c r="G164" i="5"/>
  <c r="G164" i="8" s="1"/>
  <c r="F164" i="5"/>
  <c r="F164" i="8" s="1"/>
  <c r="E164" i="5"/>
  <c r="E164" i="8" s="1"/>
  <c r="N163" i="5"/>
  <c r="N163" i="8" s="1"/>
  <c r="M163" i="5"/>
  <c r="M163" i="8" s="1"/>
  <c r="L163" i="5"/>
  <c r="L163" i="8" s="1"/>
  <c r="K163" i="5"/>
  <c r="K163" i="8" s="1"/>
  <c r="J163" i="5"/>
  <c r="J163" i="8" s="1"/>
  <c r="I163" i="5"/>
  <c r="I163" i="8" s="1"/>
  <c r="H163" i="5"/>
  <c r="H163" i="8" s="1"/>
  <c r="G163" i="5"/>
  <c r="G163" i="8" s="1"/>
  <c r="F163" i="5"/>
  <c r="F163" i="8" s="1"/>
  <c r="E163" i="5"/>
  <c r="E163" i="8" s="1"/>
  <c r="N162" i="5"/>
  <c r="N162" i="8" s="1"/>
  <c r="M162" i="5"/>
  <c r="M162" i="8" s="1"/>
  <c r="L162" i="5"/>
  <c r="L162" i="8" s="1"/>
  <c r="K162" i="5"/>
  <c r="K162" i="8" s="1"/>
  <c r="J162" i="5"/>
  <c r="J162" i="8" s="1"/>
  <c r="I162" i="5"/>
  <c r="I162" i="8" s="1"/>
  <c r="H162" i="5"/>
  <c r="H162" i="8" s="1"/>
  <c r="G162" i="5"/>
  <c r="G162" i="8" s="1"/>
  <c r="F162" i="5"/>
  <c r="F162" i="8" s="1"/>
  <c r="E162" i="5"/>
  <c r="E162" i="8" s="1"/>
  <c r="D162" i="5"/>
  <c r="D162" i="8" s="1"/>
  <c r="N161" i="5"/>
  <c r="N161" i="8" s="1"/>
  <c r="M161" i="5"/>
  <c r="M161" i="8" s="1"/>
  <c r="L161" i="5"/>
  <c r="L161" i="8" s="1"/>
  <c r="K161" i="5"/>
  <c r="K161" i="8" s="1"/>
  <c r="J161" i="5"/>
  <c r="J161" i="8" s="1"/>
  <c r="I161" i="5"/>
  <c r="I161" i="8" s="1"/>
  <c r="H161" i="5"/>
  <c r="H161" i="8" s="1"/>
  <c r="G161" i="5"/>
  <c r="G161" i="8" s="1"/>
  <c r="F161" i="5"/>
  <c r="F161" i="8" s="1"/>
  <c r="E161" i="5"/>
  <c r="E161" i="8" s="1"/>
  <c r="N160" i="5"/>
  <c r="N160" i="8" s="1"/>
  <c r="M160" i="5"/>
  <c r="M160" i="8" s="1"/>
  <c r="L160" i="5"/>
  <c r="L160" i="8" s="1"/>
  <c r="K160" i="5"/>
  <c r="K160" i="8" s="1"/>
  <c r="J160" i="5"/>
  <c r="J160" i="8" s="1"/>
  <c r="I160" i="5"/>
  <c r="I160" i="8" s="1"/>
  <c r="H160" i="5"/>
  <c r="H160" i="8" s="1"/>
  <c r="G160" i="5"/>
  <c r="G160" i="8" s="1"/>
  <c r="F160" i="5"/>
  <c r="F160" i="8" s="1"/>
  <c r="E160" i="5"/>
  <c r="E160" i="8" s="1"/>
  <c r="N159" i="5"/>
  <c r="N159" i="8" s="1"/>
  <c r="M159" i="5"/>
  <c r="M159" i="8" s="1"/>
  <c r="L159" i="5"/>
  <c r="L159" i="8" s="1"/>
  <c r="K159" i="5"/>
  <c r="K159" i="8" s="1"/>
  <c r="J159" i="5"/>
  <c r="J159" i="8" s="1"/>
  <c r="I159" i="5"/>
  <c r="I159" i="8" s="1"/>
  <c r="H159" i="5"/>
  <c r="H159" i="8" s="1"/>
  <c r="G159" i="5"/>
  <c r="G159" i="8" s="1"/>
  <c r="F159" i="5"/>
  <c r="F159" i="8" s="1"/>
  <c r="E159" i="5"/>
  <c r="E159" i="8" s="1"/>
  <c r="N158" i="5"/>
  <c r="N158" i="8" s="1"/>
  <c r="M158" i="5"/>
  <c r="M158" i="8" s="1"/>
  <c r="L158" i="5"/>
  <c r="L158" i="8" s="1"/>
  <c r="K158" i="5"/>
  <c r="K158" i="8" s="1"/>
  <c r="J158" i="5"/>
  <c r="J158" i="8" s="1"/>
  <c r="I158" i="5"/>
  <c r="I158" i="8" s="1"/>
  <c r="H158" i="5"/>
  <c r="H158" i="8" s="1"/>
  <c r="G158" i="5"/>
  <c r="G158" i="8" s="1"/>
  <c r="F158" i="5"/>
  <c r="F158" i="8" s="1"/>
  <c r="E158" i="5"/>
  <c r="E158" i="8" s="1"/>
  <c r="N157" i="5"/>
  <c r="N157" i="8" s="1"/>
  <c r="M157" i="5"/>
  <c r="M157" i="8" s="1"/>
  <c r="L157" i="5"/>
  <c r="L157" i="8" s="1"/>
  <c r="K157" i="5"/>
  <c r="K157" i="8" s="1"/>
  <c r="J157" i="5"/>
  <c r="J157" i="8" s="1"/>
  <c r="I157" i="5"/>
  <c r="I157" i="8" s="1"/>
  <c r="H157" i="5"/>
  <c r="H157" i="8" s="1"/>
  <c r="G157" i="5"/>
  <c r="G157" i="8" s="1"/>
  <c r="F157" i="5"/>
  <c r="F157" i="8" s="1"/>
  <c r="E157" i="5"/>
  <c r="E157" i="8" s="1"/>
  <c r="D157" i="5"/>
  <c r="D157" i="8" s="1"/>
  <c r="N156" i="5"/>
  <c r="N156" i="8" s="1"/>
  <c r="M156" i="5"/>
  <c r="M156" i="8" s="1"/>
  <c r="L156" i="5"/>
  <c r="L156" i="8" s="1"/>
  <c r="K156" i="5"/>
  <c r="K156" i="8" s="1"/>
  <c r="J156" i="5"/>
  <c r="J156" i="8" s="1"/>
  <c r="I156" i="5"/>
  <c r="I156" i="8" s="1"/>
  <c r="H156" i="5"/>
  <c r="H156" i="8" s="1"/>
  <c r="G156" i="5"/>
  <c r="G156" i="8" s="1"/>
  <c r="F156" i="5"/>
  <c r="F156" i="8" s="1"/>
  <c r="E156" i="5"/>
  <c r="E156" i="8" s="1"/>
  <c r="N155" i="5"/>
  <c r="N155" i="8" s="1"/>
  <c r="M155" i="5"/>
  <c r="M155" i="8" s="1"/>
  <c r="L155" i="5"/>
  <c r="L155" i="8" s="1"/>
  <c r="K155" i="5"/>
  <c r="K155" i="8" s="1"/>
  <c r="J155" i="5"/>
  <c r="J155" i="8" s="1"/>
  <c r="I155" i="5"/>
  <c r="I155" i="8" s="1"/>
  <c r="H155" i="5"/>
  <c r="H155" i="8" s="1"/>
  <c r="G155" i="5"/>
  <c r="G155" i="8" s="1"/>
  <c r="F155" i="5"/>
  <c r="F155" i="8" s="1"/>
  <c r="E155" i="5"/>
  <c r="E155" i="8" s="1"/>
  <c r="N154" i="5"/>
  <c r="N154" i="8" s="1"/>
  <c r="M154" i="5"/>
  <c r="M154" i="8" s="1"/>
  <c r="L154" i="5"/>
  <c r="L154" i="8" s="1"/>
  <c r="K154" i="5"/>
  <c r="K154" i="8" s="1"/>
  <c r="J154" i="5"/>
  <c r="J154" i="8" s="1"/>
  <c r="I154" i="5"/>
  <c r="I154" i="8" s="1"/>
  <c r="H154" i="5"/>
  <c r="H154" i="8" s="1"/>
  <c r="G154" i="5"/>
  <c r="G154" i="8" s="1"/>
  <c r="F154" i="5"/>
  <c r="F154" i="8" s="1"/>
  <c r="E154" i="5"/>
  <c r="E154" i="8" s="1"/>
  <c r="D154" i="5"/>
  <c r="D154" i="8" s="1"/>
  <c r="N153" i="5"/>
  <c r="N153" i="8" s="1"/>
  <c r="M153" i="5"/>
  <c r="M153" i="8" s="1"/>
  <c r="L153" i="5"/>
  <c r="L153" i="8" s="1"/>
  <c r="K153" i="5"/>
  <c r="K153" i="8" s="1"/>
  <c r="J153" i="5"/>
  <c r="J153" i="8" s="1"/>
  <c r="I153" i="5"/>
  <c r="I153" i="8" s="1"/>
  <c r="H153" i="5"/>
  <c r="H153" i="8" s="1"/>
  <c r="G153" i="5"/>
  <c r="G153" i="8" s="1"/>
  <c r="F153" i="5"/>
  <c r="F153" i="8" s="1"/>
  <c r="E153" i="5"/>
  <c r="E153" i="8" s="1"/>
  <c r="N152" i="5"/>
  <c r="N152" i="8" s="1"/>
  <c r="M152" i="5"/>
  <c r="M152" i="8" s="1"/>
  <c r="L152" i="5"/>
  <c r="L152" i="8" s="1"/>
  <c r="K152" i="5"/>
  <c r="K152" i="8" s="1"/>
  <c r="J152" i="5"/>
  <c r="J152" i="8" s="1"/>
  <c r="I152" i="5"/>
  <c r="I152" i="8" s="1"/>
  <c r="H152" i="5"/>
  <c r="H152" i="8" s="1"/>
  <c r="G152" i="5"/>
  <c r="G152" i="8" s="1"/>
  <c r="F152" i="5"/>
  <c r="F152" i="8" s="1"/>
  <c r="E152" i="5"/>
  <c r="E152" i="8" s="1"/>
  <c r="N151" i="5"/>
  <c r="N151" i="8" s="1"/>
  <c r="M151" i="5"/>
  <c r="M151" i="8" s="1"/>
  <c r="L151" i="5"/>
  <c r="L151" i="8" s="1"/>
  <c r="K151" i="5"/>
  <c r="K151" i="8" s="1"/>
  <c r="J151" i="5"/>
  <c r="J151" i="8" s="1"/>
  <c r="I151" i="5"/>
  <c r="I151" i="8" s="1"/>
  <c r="H151" i="5"/>
  <c r="H151" i="8" s="1"/>
  <c r="G151" i="5"/>
  <c r="G151" i="8" s="1"/>
  <c r="F151" i="5"/>
  <c r="F151" i="8" s="1"/>
  <c r="E151" i="5"/>
  <c r="E151" i="8" s="1"/>
  <c r="N144" i="5"/>
  <c r="N144" i="8" s="1"/>
  <c r="M144" i="5"/>
  <c r="M144" i="8" s="1"/>
  <c r="L144" i="5"/>
  <c r="L144" i="8" s="1"/>
  <c r="K144" i="5"/>
  <c r="K144" i="8" s="1"/>
  <c r="J144" i="5"/>
  <c r="J144" i="8" s="1"/>
  <c r="I144" i="5"/>
  <c r="I144" i="8" s="1"/>
  <c r="H144" i="5"/>
  <c r="H144" i="8" s="1"/>
  <c r="G144" i="5"/>
  <c r="G144" i="8" s="1"/>
  <c r="F144" i="5"/>
  <c r="F144" i="8" s="1"/>
  <c r="E144" i="5"/>
  <c r="E144" i="8" s="1"/>
  <c r="N143" i="5"/>
  <c r="N143" i="8" s="1"/>
  <c r="M143" i="5"/>
  <c r="M143" i="8" s="1"/>
  <c r="L143" i="5"/>
  <c r="L143" i="8" s="1"/>
  <c r="K143" i="5"/>
  <c r="K143" i="8" s="1"/>
  <c r="J143" i="5"/>
  <c r="J143" i="8" s="1"/>
  <c r="I143" i="5"/>
  <c r="I143" i="8" s="1"/>
  <c r="H143" i="5"/>
  <c r="H143" i="8" s="1"/>
  <c r="G143" i="5"/>
  <c r="G143" i="8" s="1"/>
  <c r="F143" i="5"/>
  <c r="F143" i="8" s="1"/>
  <c r="E143" i="5"/>
  <c r="E143" i="8" s="1"/>
  <c r="D143" i="5"/>
  <c r="D143" i="8" s="1"/>
  <c r="N142" i="5"/>
  <c r="N142" i="8" s="1"/>
  <c r="M142" i="5"/>
  <c r="M142" i="8" s="1"/>
  <c r="L142" i="5"/>
  <c r="L142" i="8" s="1"/>
  <c r="K142" i="5"/>
  <c r="K142" i="8" s="1"/>
  <c r="J142" i="5"/>
  <c r="J142" i="8" s="1"/>
  <c r="I142" i="5"/>
  <c r="I142" i="8" s="1"/>
  <c r="H142" i="5"/>
  <c r="H142" i="8" s="1"/>
  <c r="G142" i="5"/>
  <c r="G142" i="8" s="1"/>
  <c r="F142" i="5"/>
  <c r="F142" i="8" s="1"/>
  <c r="E142" i="5"/>
  <c r="E142" i="8" s="1"/>
  <c r="N141" i="5"/>
  <c r="N141" i="8" s="1"/>
  <c r="M141" i="5"/>
  <c r="M141" i="8" s="1"/>
  <c r="L141" i="5"/>
  <c r="L141" i="8" s="1"/>
  <c r="K141" i="5"/>
  <c r="K141" i="8" s="1"/>
  <c r="J141" i="5"/>
  <c r="J141" i="8" s="1"/>
  <c r="I141" i="5"/>
  <c r="I141" i="8" s="1"/>
  <c r="H141" i="5"/>
  <c r="H141" i="8" s="1"/>
  <c r="G141" i="5"/>
  <c r="G141" i="8" s="1"/>
  <c r="F141" i="5"/>
  <c r="F141" i="8" s="1"/>
  <c r="E141" i="5"/>
  <c r="E141" i="8" s="1"/>
  <c r="N140" i="5"/>
  <c r="N140" i="8" s="1"/>
  <c r="M140" i="5"/>
  <c r="M140" i="8" s="1"/>
  <c r="L140" i="5"/>
  <c r="L140" i="8" s="1"/>
  <c r="K140" i="5"/>
  <c r="K140" i="8" s="1"/>
  <c r="J140" i="5"/>
  <c r="J140" i="8" s="1"/>
  <c r="I140" i="5"/>
  <c r="I140" i="8" s="1"/>
  <c r="H140" i="5"/>
  <c r="H140" i="8" s="1"/>
  <c r="G140" i="5"/>
  <c r="G140" i="8" s="1"/>
  <c r="F140" i="5"/>
  <c r="F140" i="8" s="1"/>
  <c r="E140" i="5"/>
  <c r="E140" i="8" s="1"/>
  <c r="D140" i="5"/>
  <c r="D140" i="8" s="1"/>
  <c r="N139" i="5"/>
  <c r="N139" i="8" s="1"/>
  <c r="M139" i="5"/>
  <c r="M139" i="8" s="1"/>
  <c r="L139" i="5"/>
  <c r="L139" i="8" s="1"/>
  <c r="K139" i="5"/>
  <c r="K139" i="8" s="1"/>
  <c r="J139" i="5"/>
  <c r="J139" i="8" s="1"/>
  <c r="I139" i="5"/>
  <c r="I139" i="8" s="1"/>
  <c r="H139" i="5"/>
  <c r="H139" i="8" s="1"/>
  <c r="G139" i="5"/>
  <c r="G139" i="8" s="1"/>
  <c r="F139" i="5"/>
  <c r="F139" i="8" s="1"/>
  <c r="E139" i="5"/>
  <c r="E139" i="8" s="1"/>
  <c r="N138" i="5"/>
  <c r="N138" i="8" s="1"/>
  <c r="M138" i="5"/>
  <c r="M138" i="8" s="1"/>
  <c r="L138" i="5"/>
  <c r="L138" i="8" s="1"/>
  <c r="K138" i="5"/>
  <c r="K138" i="8" s="1"/>
  <c r="J138" i="5"/>
  <c r="J138" i="8" s="1"/>
  <c r="I138" i="5"/>
  <c r="I138" i="8" s="1"/>
  <c r="H138" i="5"/>
  <c r="H138" i="8" s="1"/>
  <c r="G138" i="5"/>
  <c r="G138" i="8" s="1"/>
  <c r="F138" i="5"/>
  <c r="F138" i="8" s="1"/>
  <c r="E138" i="5"/>
  <c r="E138" i="8" s="1"/>
  <c r="N137" i="5"/>
  <c r="N137" i="8" s="1"/>
  <c r="M137" i="5"/>
  <c r="M137" i="8" s="1"/>
  <c r="L137" i="5"/>
  <c r="L137" i="8" s="1"/>
  <c r="K137" i="5"/>
  <c r="K137" i="8" s="1"/>
  <c r="J137" i="5"/>
  <c r="J137" i="8" s="1"/>
  <c r="I137" i="5"/>
  <c r="I137" i="8" s="1"/>
  <c r="H137" i="5"/>
  <c r="H137" i="8" s="1"/>
  <c r="G137" i="5"/>
  <c r="G137" i="8" s="1"/>
  <c r="F137" i="5"/>
  <c r="F137" i="8" s="1"/>
  <c r="E137" i="5"/>
  <c r="E137" i="8" s="1"/>
  <c r="N136" i="5"/>
  <c r="N136" i="8" s="1"/>
  <c r="M136" i="5"/>
  <c r="M136" i="8" s="1"/>
  <c r="L136" i="5"/>
  <c r="L136" i="8" s="1"/>
  <c r="K136" i="5"/>
  <c r="K136" i="8" s="1"/>
  <c r="J136" i="5"/>
  <c r="J136" i="8" s="1"/>
  <c r="I136" i="5"/>
  <c r="I136" i="8" s="1"/>
  <c r="H136" i="5"/>
  <c r="H136" i="8" s="1"/>
  <c r="G136" i="5"/>
  <c r="G136" i="8" s="1"/>
  <c r="F136" i="5"/>
  <c r="F136" i="8" s="1"/>
  <c r="E136" i="5"/>
  <c r="E136" i="8" s="1"/>
  <c r="N135" i="5"/>
  <c r="N135" i="8" s="1"/>
  <c r="M135" i="5"/>
  <c r="M135" i="8" s="1"/>
  <c r="L135" i="5"/>
  <c r="L135" i="8" s="1"/>
  <c r="K135" i="5"/>
  <c r="K135" i="8" s="1"/>
  <c r="J135" i="5"/>
  <c r="J135" i="8" s="1"/>
  <c r="I135" i="5"/>
  <c r="I135" i="8" s="1"/>
  <c r="H135" i="5"/>
  <c r="H135" i="8" s="1"/>
  <c r="G135" i="5"/>
  <c r="G135" i="8" s="1"/>
  <c r="F135" i="5"/>
  <c r="F135" i="8" s="1"/>
  <c r="E135" i="5"/>
  <c r="E135" i="8" s="1"/>
  <c r="D135" i="5"/>
  <c r="D135" i="8" s="1"/>
  <c r="N134" i="5"/>
  <c r="N134" i="8" s="1"/>
  <c r="M134" i="5"/>
  <c r="M134" i="8" s="1"/>
  <c r="L134" i="5"/>
  <c r="L134" i="8" s="1"/>
  <c r="K134" i="5"/>
  <c r="K134" i="8" s="1"/>
  <c r="J134" i="5"/>
  <c r="J134" i="8" s="1"/>
  <c r="I134" i="5"/>
  <c r="I134" i="8" s="1"/>
  <c r="H134" i="5"/>
  <c r="H134" i="8" s="1"/>
  <c r="G134" i="5"/>
  <c r="G134" i="8" s="1"/>
  <c r="F134" i="5"/>
  <c r="F134" i="8" s="1"/>
  <c r="E134" i="5"/>
  <c r="E134" i="8" s="1"/>
  <c r="N133" i="5"/>
  <c r="N133" i="8" s="1"/>
  <c r="M133" i="5"/>
  <c r="M133" i="8" s="1"/>
  <c r="L133" i="5"/>
  <c r="L133" i="8" s="1"/>
  <c r="K133" i="5"/>
  <c r="K133" i="8" s="1"/>
  <c r="J133" i="5"/>
  <c r="J133" i="8" s="1"/>
  <c r="I133" i="5"/>
  <c r="I133" i="8" s="1"/>
  <c r="H133" i="5"/>
  <c r="H133" i="8" s="1"/>
  <c r="G133" i="5"/>
  <c r="G133" i="8" s="1"/>
  <c r="F133" i="5"/>
  <c r="F133" i="8" s="1"/>
  <c r="E133" i="5"/>
  <c r="E133" i="8" s="1"/>
  <c r="N132" i="5"/>
  <c r="N132" i="8" s="1"/>
  <c r="M132" i="5"/>
  <c r="M132" i="8" s="1"/>
  <c r="L132" i="5"/>
  <c r="L132" i="8" s="1"/>
  <c r="K132" i="5"/>
  <c r="K132" i="8" s="1"/>
  <c r="J132" i="5"/>
  <c r="J132" i="8" s="1"/>
  <c r="I132" i="5"/>
  <c r="I132" i="8" s="1"/>
  <c r="H132" i="5"/>
  <c r="H132" i="8" s="1"/>
  <c r="G132" i="5"/>
  <c r="G132" i="8" s="1"/>
  <c r="F132" i="5"/>
  <c r="F132" i="8" s="1"/>
  <c r="E132" i="5"/>
  <c r="E132" i="8" s="1"/>
  <c r="D132" i="5"/>
  <c r="D132" i="8" s="1"/>
  <c r="N131" i="5"/>
  <c r="N131" i="8" s="1"/>
  <c r="M131" i="5"/>
  <c r="M131" i="8" s="1"/>
  <c r="L131" i="5"/>
  <c r="L131" i="8" s="1"/>
  <c r="K131" i="5"/>
  <c r="K131" i="8" s="1"/>
  <c r="J131" i="5"/>
  <c r="J131" i="8" s="1"/>
  <c r="I131" i="5"/>
  <c r="I131" i="8" s="1"/>
  <c r="H131" i="5"/>
  <c r="H131" i="8" s="1"/>
  <c r="G131" i="5"/>
  <c r="G131" i="8" s="1"/>
  <c r="F131" i="5"/>
  <c r="F131" i="8" s="1"/>
  <c r="E131" i="5"/>
  <c r="E131" i="8" s="1"/>
  <c r="N130" i="5"/>
  <c r="N130" i="8" s="1"/>
  <c r="M130" i="5"/>
  <c r="M130" i="8" s="1"/>
  <c r="L130" i="5"/>
  <c r="L130" i="8" s="1"/>
  <c r="K130" i="5"/>
  <c r="K130" i="8" s="1"/>
  <c r="J130" i="5"/>
  <c r="J130" i="8" s="1"/>
  <c r="I130" i="5"/>
  <c r="I130" i="8" s="1"/>
  <c r="H130" i="5"/>
  <c r="H130" i="8" s="1"/>
  <c r="G130" i="5"/>
  <c r="G130" i="8" s="1"/>
  <c r="F130" i="5"/>
  <c r="F130" i="8" s="1"/>
  <c r="E130" i="5"/>
  <c r="E130" i="8" s="1"/>
  <c r="N129" i="5"/>
  <c r="N129" i="8" s="1"/>
  <c r="M129" i="5"/>
  <c r="M129" i="8" s="1"/>
  <c r="L129" i="5"/>
  <c r="L129" i="8" s="1"/>
  <c r="K129" i="5"/>
  <c r="K129" i="8" s="1"/>
  <c r="J129" i="5"/>
  <c r="J129" i="8" s="1"/>
  <c r="I129" i="5"/>
  <c r="I129" i="8" s="1"/>
  <c r="H129" i="5"/>
  <c r="H129" i="8" s="1"/>
  <c r="G129" i="5"/>
  <c r="G129" i="8" s="1"/>
  <c r="F129" i="5"/>
  <c r="F129" i="8" s="1"/>
  <c r="E129" i="5"/>
  <c r="E129" i="8" s="1"/>
  <c r="N128" i="5"/>
  <c r="N128" i="8" s="1"/>
  <c r="M128" i="5"/>
  <c r="M128" i="8" s="1"/>
  <c r="L128" i="5"/>
  <c r="L128" i="8" s="1"/>
  <c r="K128" i="5"/>
  <c r="K128" i="8" s="1"/>
  <c r="J128" i="5"/>
  <c r="J128" i="8" s="1"/>
  <c r="I128" i="5"/>
  <c r="I128" i="8" s="1"/>
  <c r="H128" i="5"/>
  <c r="H128" i="8" s="1"/>
  <c r="G128" i="5"/>
  <c r="G128" i="8" s="1"/>
  <c r="F128" i="5"/>
  <c r="F128" i="8" s="1"/>
  <c r="E128" i="5"/>
  <c r="E128" i="8" s="1"/>
  <c r="N127" i="5"/>
  <c r="N127" i="8" s="1"/>
  <c r="M127" i="5"/>
  <c r="M127" i="8" s="1"/>
  <c r="L127" i="5"/>
  <c r="L127" i="8" s="1"/>
  <c r="K127" i="5"/>
  <c r="K127" i="8" s="1"/>
  <c r="J127" i="5"/>
  <c r="J127" i="8" s="1"/>
  <c r="I127" i="5"/>
  <c r="I127" i="8" s="1"/>
  <c r="H127" i="5"/>
  <c r="H127" i="8" s="1"/>
  <c r="G127" i="5"/>
  <c r="G127" i="8" s="1"/>
  <c r="F127" i="5"/>
  <c r="F127" i="8" s="1"/>
  <c r="E127" i="5"/>
  <c r="E127" i="8" s="1"/>
  <c r="D127" i="5"/>
  <c r="D127" i="8" s="1"/>
  <c r="N126" i="5"/>
  <c r="N126" i="8" s="1"/>
  <c r="M126" i="5"/>
  <c r="M126" i="8" s="1"/>
  <c r="L126" i="5"/>
  <c r="L126" i="8" s="1"/>
  <c r="K126" i="5"/>
  <c r="K126" i="8" s="1"/>
  <c r="J126" i="5"/>
  <c r="J126" i="8" s="1"/>
  <c r="I126" i="5"/>
  <c r="I126" i="8" s="1"/>
  <c r="H126" i="5"/>
  <c r="H126" i="8" s="1"/>
  <c r="G126" i="5"/>
  <c r="G126" i="8" s="1"/>
  <c r="F126" i="5"/>
  <c r="F126" i="8" s="1"/>
  <c r="E126" i="5"/>
  <c r="E126" i="8" s="1"/>
  <c r="N125" i="5"/>
  <c r="N125" i="8" s="1"/>
  <c r="M125" i="5"/>
  <c r="M125" i="8" s="1"/>
  <c r="L125" i="5"/>
  <c r="L125" i="8" s="1"/>
  <c r="K125" i="5"/>
  <c r="K125" i="8" s="1"/>
  <c r="J125" i="5"/>
  <c r="J125" i="8" s="1"/>
  <c r="I125" i="5"/>
  <c r="I125" i="8" s="1"/>
  <c r="H125" i="5"/>
  <c r="H125" i="8" s="1"/>
  <c r="G125" i="5"/>
  <c r="G125" i="8" s="1"/>
  <c r="F125" i="5"/>
  <c r="F125" i="8" s="1"/>
  <c r="E125" i="5"/>
  <c r="E125" i="8" s="1"/>
  <c r="N124" i="5"/>
  <c r="N124" i="8" s="1"/>
  <c r="M124" i="5"/>
  <c r="M124" i="8" s="1"/>
  <c r="L124" i="5"/>
  <c r="L124" i="8" s="1"/>
  <c r="K124" i="5"/>
  <c r="K124" i="8" s="1"/>
  <c r="J124" i="5"/>
  <c r="J124" i="8" s="1"/>
  <c r="I124" i="5"/>
  <c r="I124" i="8" s="1"/>
  <c r="H124" i="5"/>
  <c r="H124" i="8" s="1"/>
  <c r="G124" i="5"/>
  <c r="G124" i="8" s="1"/>
  <c r="F124" i="5"/>
  <c r="F124" i="8" s="1"/>
  <c r="E124" i="5"/>
  <c r="E124" i="8" s="1"/>
  <c r="D124" i="5"/>
  <c r="D124" i="8" s="1"/>
  <c r="N123" i="5"/>
  <c r="N123" i="8" s="1"/>
  <c r="M123" i="5"/>
  <c r="M123" i="8" s="1"/>
  <c r="L123" i="5"/>
  <c r="L123" i="8" s="1"/>
  <c r="K123" i="5"/>
  <c r="K123" i="8" s="1"/>
  <c r="J123" i="5"/>
  <c r="J123" i="8" s="1"/>
  <c r="I123" i="5"/>
  <c r="I123" i="8" s="1"/>
  <c r="H123" i="5"/>
  <c r="H123" i="8" s="1"/>
  <c r="G123" i="5"/>
  <c r="G123" i="8" s="1"/>
  <c r="F123" i="5"/>
  <c r="F123" i="8" s="1"/>
  <c r="E123" i="5"/>
  <c r="E123" i="8" s="1"/>
  <c r="N122" i="5"/>
  <c r="N122" i="8" s="1"/>
  <c r="M122" i="5"/>
  <c r="M122" i="8" s="1"/>
  <c r="L122" i="5"/>
  <c r="L122" i="8" s="1"/>
  <c r="K122" i="5"/>
  <c r="K122" i="8" s="1"/>
  <c r="J122" i="5"/>
  <c r="J122" i="8" s="1"/>
  <c r="I122" i="5"/>
  <c r="I122" i="8" s="1"/>
  <c r="H122" i="5"/>
  <c r="H122" i="8" s="1"/>
  <c r="G122" i="5"/>
  <c r="G122" i="8" s="1"/>
  <c r="F122" i="5"/>
  <c r="F122" i="8" s="1"/>
  <c r="E122" i="5"/>
  <c r="E122" i="8" s="1"/>
  <c r="N121" i="5"/>
  <c r="N121" i="8" s="1"/>
  <c r="M121" i="5"/>
  <c r="M121" i="8" s="1"/>
  <c r="L121" i="5"/>
  <c r="L121" i="8" s="1"/>
  <c r="K121" i="5"/>
  <c r="K121" i="8" s="1"/>
  <c r="J121" i="5"/>
  <c r="J121" i="8" s="1"/>
  <c r="I121" i="5"/>
  <c r="I121" i="8" s="1"/>
  <c r="H121" i="5"/>
  <c r="H121" i="8" s="1"/>
  <c r="G121" i="5"/>
  <c r="G121" i="8" s="1"/>
  <c r="F121" i="5"/>
  <c r="F121" i="8" s="1"/>
  <c r="E121" i="5"/>
  <c r="E121" i="8" s="1"/>
  <c r="N120" i="5"/>
  <c r="N120" i="8" s="1"/>
  <c r="M120" i="5"/>
  <c r="M120" i="8" s="1"/>
  <c r="L120" i="5"/>
  <c r="L120" i="8" s="1"/>
  <c r="K120" i="5"/>
  <c r="K120" i="8" s="1"/>
  <c r="J120" i="5"/>
  <c r="J120" i="8" s="1"/>
  <c r="I120" i="5"/>
  <c r="I120" i="8" s="1"/>
  <c r="H120" i="5"/>
  <c r="H120" i="8" s="1"/>
  <c r="G120" i="5"/>
  <c r="G120" i="8" s="1"/>
  <c r="F120" i="5"/>
  <c r="F120" i="8" s="1"/>
  <c r="E120" i="5"/>
  <c r="E120" i="8" s="1"/>
  <c r="N119" i="5"/>
  <c r="N119" i="8" s="1"/>
  <c r="M119" i="5"/>
  <c r="M119" i="8" s="1"/>
  <c r="L119" i="5"/>
  <c r="L119" i="8" s="1"/>
  <c r="K119" i="5"/>
  <c r="K119" i="8" s="1"/>
  <c r="J119" i="5"/>
  <c r="J119" i="8" s="1"/>
  <c r="I119" i="5"/>
  <c r="I119" i="8" s="1"/>
  <c r="H119" i="5"/>
  <c r="H119" i="8" s="1"/>
  <c r="G119" i="5"/>
  <c r="G119" i="8" s="1"/>
  <c r="F119" i="5"/>
  <c r="F119" i="8" s="1"/>
  <c r="E119" i="5"/>
  <c r="E119" i="8" s="1"/>
  <c r="D119" i="5"/>
  <c r="D119" i="8" s="1"/>
  <c r="N118" i="5"/>
  <c r="N118" i="8" s="1"/>
  <c r="M118" i="5"/>
  <c r="M118" i="8" s="1"/>
  <c r="L118" i="5"/>
  <c r="L118" i="8" s="1"/>
  <c r="K118" i="5"/>
  <c r="K118" i="8" s="1"/>
  <c r="J118" i="5"/>
  <c r="J118" i="8" s="1"/>
  <c r="I118" i="5"/>
  <c r="I118" i="8" s="1"/>
  <c r="H118" i="5"/>
  <c r="H118" i="8" s="1"/>
  <c r="G118" i="5"/>
  <c r="G118" i="8" s="1"/>
  <c r="F118" i="5"/>
  <c r="F118" i="8" s="1"/>
  <c r="E118" i="5"/>
  <c r="E118" i="8" s="1"/>
  <c r="N117" i="5"/>
  <c r="N117" i="8" s="1"/>
  <c r="M117" i="5"/>
  <c r="M117" i="8" s="1"/>
  <c r="L117" i="5"/>
  <c r="L117" i="8" s="1"/>
  <c r="K117" i="5"/>
  <c r="K117" i="8" s="1"/>
  <c r="J117" i="5"/>
  <c r="J117" i="8" s="1"/>
  <c r="I117" i="5"/>
  <c r="I117" i="8" s="1"/>
  <c r="H117" i="5"/>
  <c r="H117" i="8" s="1"/>
  <c r="G117" i="5"/>
  <c r="G117" i="8" s="1"/>
  <c r="F117" i="5"/>
  <c r="F117" i="8" s="1"/>
  <c r="E117" i="5"/>
  <c r="E117" i="8" s="1"/>
  <c r="N116" i="5"/>
  <c r="N116" i="8" s="1"/>
  <c r="M116" i="5"/>
  <c r="M116" i="8" s="1"/>
  <c r="L116" i="5"/>
  <c r="L116" i="8" s="1"/>
  <c r="K116" i="5"/>
  <c r="K116" i="8" s="1"/>
  <c r="J116" i="5"/>
  <c r="J116" i="8" s="1"/>
  <c r="I116" i="5"/>
  <c r="I116" i="8" s="1"/>
  <c r="H116" i="5"/>
  <c r="H116" i="8" s="1"/>
  <c r="G116" i="5"/>
  <c r="G116" i="8" s="1"/>
  <c r="F116" i="5"/>
  <c r="F116" i="8" s="1"/>
  <c r="E116" i="5"/>
  <c r="E116" i="8" s="1"/>
  <c r="D116" i="5"/>
  <c r="D116" i="8" s="1"/>
  <c r="N115" i="5"/>
  <c r="N115" i="8" s="1"/>
  <c r="M115" i="5"/>
  <c r="M115" i="8" s="1"/>
  <c r="L115" i="5"/>
  <c r="L115" i="8" s="1"/>
  <c r="K115" i="5"/>
  <c r="K115" i="8" s="1"/>
  <c r="J115" i="5"/>
  <c r="J115" i="8" s="1"/>
  <c r="I115" i="5"/>
  <c r="I115" i="8" s="1"/>
  <c r="H115" i="5"/>
  <c r="H115" i="8" s="1"/>
  <c r="G115" i="5"/>
  <c r="G115" i="8" s="1"/>
  <c r="F115" i="5"/>
  <c r="F115" i="8" s="1"/>
  <c r="E115" i="5"/>
  <c r="E115" i="8" s="1"/>
  <c r="N108" i="5"/>
  <c r="N108" i="8" s="1"/>
  <c r="M108" i="5"/>
  <c r="M108" i="8" s="1"/>
  <c r="L108" i="5"/>
  <c r="L108" i="8" s="1"/>
  <c r="K108" i="5"/>
  <c r="K108" i="8" s="1"/>
  <c r="J108" i="5"/>
  <c r="J108" i="8" s="1"/>
  <c r="I108" i="5"/>
  <c r="I108" i="8" s="1"/>
  <c r="H108" i="5"/>
  <c r="H108" i="8" s="1"/>
  <c r="G108" i="5"/>
  <c r="G108" i="8" s="1"/>
  <c r="F108" i="5"/>
  <c r="F108" i="8" s="1"/>
  <c r="E108" i="5"/>
  <c r="E108" i="8" s="1"/>
  <c r="N107" i="5"/>
  <c r="N107" i="8" s="1"/>
  <c r="M107" i="5"/>
  <c r="M107" i="8" s="1"/>
  <c r="L107" i="5"/>
  <c r="L107" i="8" s="1"/>
  <c r="K107" i="5"/>
  <c r="K107" i="8" s="1"/>
  <c r="J107" i="5"/>
  <c r="J107" i="8" s="1"/>
  <c r="I107" i="5"/>
  <c r="I107" i="8" s="1"/>
  <c r="H107" i="5"/>
  <c r="H107" i="8" s="1"/>
  <c r="G107" i="5"/>
  <c r="G107" i="8" s="1"/>
  <c r="F107" i="5"/>
  <c r="F107" i="8" s="1"/>
  <c r="E107" i="5"/>
  <c r="E107" i="8" s="1"/>
  <c r="N106" i="5"/>
  <c r="N106" i="8" s="1"/>
  <c r="M106" i="5"/>
  <c r="M106" i="8" s="1"/>
  <c r="L106" i="5"/>
  <c r="L106" i="8" s="1"/>
  <c r="K106" i="5"/>
  <c r="K106" i="8" s="1"/>
  <c r="J106" i="5"/>
  <c r="J106" i="8" s="1"/>
  <c r="I106" i="5"/>
  <c r="I106" i="8" s="1"/>
  <c r="H106" i="5"/>
  <c r="H106" i="8" s="1"/>
  <c r="G106" i="5"/>
  <c r="G106" i="8" s="1"/>
  <c r="F106" i="5"/>
  <c r="F106" i="8" s="1"/>
  <c r="E106" i="5"/>
  <c r="E106" i="8" s="1"/>
  <c r="N105" i="5"/>
  <c r="N105" i="8" s="1"/>
  <c r="M105" i="5"/>
  <c r="M105" i="8" s="1"/>
  <c r="L105" i="5"/>
  <c r="L105" i="8" s="1"/>
  <c r="K105" i="5"/>
  <c r="K105" i="8" s="1"/>
  <c r="J105" i="5"/>
  <c r="J105" i="8" s="1"/>
  <c r="I105" i="5"/>
  <c r="I105" i="8" s="1"/>
  <c r="H105" i="5"/>
  <c r="H105" i="8" s="1"/>
  <c r="G105" i="5"/>
  <c r="G105" i="8" s="1"/>
  <c r="F105" i="5"/>
  <c r="F105" i="8" s="1"/>
  <c r="E105" i="5"/>
  <c r="E105" i="8" s="1"/>
  <c r="D105" i="5"/>
  <c r="D105" i="8" s="1"/>
  <c r="N104" i="5"/>
  <c r="N104" i="8" s="1"/>
  <c r="M104" i="5"/>
  <c r="M104" i="8" s="1"/>
  <c r="L104" i="5"/>
  <c r="L104" i="8" s="1"/>
  <c r="K104" i="5"/>
  <c r="K104" i="8" s="1"/>
  <c r="J104" i="5"/>
  <c r="J104" i="8" s="1"/>
  <c r="I104" i="5"/>
  <c r="I104" i="8" s="1"/>
  <c r="H104" i="5"/>
  <c r="H104" i="8" s="1"/>
  <c r="G104" i="5"/>
  <c r="G104" i="8" s="1"/>
  <c r="F104" i="5"/>
  <c r="F104" i="8" s="1"/>
  <c r="E104" i="5"/>
  <c r="E104" i="8" s="1"/>
  <c r="N103" i="5"/>
  <c r="N103" i="8" s="1"/>
  <c r="M103" i="5"/>
  <c r="M103" i="8" s="1"/>
  <c r="L103" i="5"/>
  <c r="L103" i="8" s="1"/>
  <c r="K103" i="5"/>
  <c r="K103" i="8" s="1"/>
  <c r="J103" i="5"/>
  <c r="J103" i="8" s="1"/>
  <c r="I103" i="5"/>
  <c r="I103" i="8" s="1"/>
  <c r="H103" i="5"/>
  <c r="H103" i="8" s="1"/>
  <c r="G103" i="5"/>
  <c r="G103" i="8" s="1"/>
  <c r="F103" i="5"/>
  <c r="F103" i="8" s="1"/>
  <c r="E103" i="5"/>
  <c r="E103" i="8" s="1"/>
  <c r="N102" i="5"/>
  <c r="N102" i="8" s="1"/>
  <c r="M102" i="5"/>
  <c r="M102" i="8" s="1"/>
  <c r="L102" i="5"/>
  <c r="L102" i="8" s="1"/>
  <c r="K102" i="5"/>
  <c r="K102" i="8" s="1"/>
  <c r="J102" i="5"/>
  <c r="J102" i="8" s="1"/>
  <c r="I102" i="5"/>
  <c r="I102" i="8" s="1"/>
  <c r="H102" i="5"/>
  <c r="H102" i="8" s="1"/>
  <c r="G102" i="5"/>
  <c r="G102" i="8" s="1"/>
  <c r="F102" i="5"/>
  <c r="F102" i="8" s="1"/>
  <c r="E102" i="5"/>
  <c r="E102" i="8" s="1"/>
  <c r="D102" i="5"/>
  <c r="D102" i="8" s="1"/>
  <c r="N101" i="5"/>
  <c r="N101" i="8" s="1"/>
  <c r="M101" i="5"/>
  <c r="M101" i="8" s="1"/>
  <c r="L101" i="5"/>
  <c r="L101" i="8" s="1"/>
  <c r="K101" i="5"/>
  <c r="K101" i="8" s="1"/>
  <c r="J101" i="5"/>
  <c r="J101" i="8" s="1"/>
  <c r="I101" i="5"/>
  <c r="I101" i="8" s="1"/>
  <c r="H101" i="5"/>
  <c r="H101" i="8" s="1"/>
  <c r="G101" i="5"/>
  <c r="G101" i="8" s="1"/>
  <c r="F101" i="5"/>
  <c r="F101" i="8" s="1"/>
  <c r="E101" i="5"/>
  <c r="E101" i="8" s="1"/>
  <c r="N100" i="5"/>
  <c r="N100" i="8" s="1"/>
  <c r="M100" i="5"/>
  <c r="M100" i="8" s="1"/>
  <c r="L100" i="5"/>
  <c r="L100" i="8" s="1"/>
  <c r="K100" i="5"/>
  <c r="K100" i="8" s="1"/>
  <c r="J100" i="5"/>
  <c r="J100" i="8" s="1"/>
  <c r="I100" i="5"/>
  <c r="I100" i="8" s="1"/>
  <c r="H100" i="5"/>
  <c r="H100" i="8" s="1"/>
  <c r="G100" i="5"/>
  <c r="G100" i="8" s="1"/>
  <c r="F100" i="5"/>
  <c r="F100" i="8" s="1"/>
  <c r="E100" i="5"/>
  <c r="E100" i="8" s="1"/>
  <c r="N99" i="5"/>
  <c r="N99" i="8" s="1"/>
  <c r="M99" i="5"/>
  <c r="M99" i="8" s="1"/>
  <c r="L99" i="5"/>
  <c r="L99" i="8" s="1"/>
  <c r="K99" i="5"/>
  <c r="K99" i="8" s="1"/>
  <c r="J99" i="5"/>
  <c r="J99" i="8" s="1"/>
  <c r="I99" i="5"/>
  <c r="I99" i="8" s="1"/>
  <c r="H99" i="5"/>
  <c r="H99" i="8" s="1"/>
  <c r="G99" i="5"/>
  <c r="G99" i="8" s="1"/>
  <c r="F99" i="5"/>
  <c r="F99" i="8" s="1"/>
  <c r="E99" i="5"/>
  <c r="E99" i="8" s="1"/>
  <c r="N98" i="5"/>
  <c r="N98" i="8" s="1"/>
  <c r="M98" i="5"/>
  <c r="M98" i="8" s="1"/>
  <c r="L98" i="5"/>
  <c r="L98" i="8" s="1"/>
  <c r="K98" i="5"/>
  <c r="K98" i="8" s="1"/>
  <c r="J98" i="5"/>
  <c r="J98" i="8" s="1"/>
  <c r="I98" i="5"/>
  <c r="I98" i="8" s="1"/>
  <c r="H98" i="5"/>
  <c r="H98" i="8" s="1"/>
  <c r="G98" i="5"/>
  <c r="G98" i="8" s="1"/>
  <c r="F98" i="5"/>
  <c r="F98" i="8" s="1"/>
  <c r="E98" i="5"/>
  <c r="E98" i="8" s="1"/>
  <c r="N97" i="5"/>
  <c r="N97" i="8" s="1"/>
  <c r="M97" i="5"/>
  <c r="M97" i="8" s="1"/>
  <c r="L97" i="5"/>
  <c r="L97" i="8" s="1"/>
  <c r="K97" i="5"/>
  <c r="K97" i="8" s="1"/>
  <c r="J97" i="5"/>
  <c r="J97" i="8" s="1"/>
  <c r="I97" i="5"/>
  <c r="I97" i="8" s="1"/>
  <c r="H97" i="5"/>
  <c r="H97" i="8" s="1"/>
  <c r="G97" i="5"/>
  <c r="G97" i="8" s="1"/>
  <c r="F97" i="5"/>
  <c r="F97" i="8" s="1"/>
  <c r="E97" i="5"/>
  <c r="E97" i="8" s="1"/>
  <c r="D97" i="5"/>
  <c r="D97" i="8" s="1"/>
  <c r="N96" i="5"/>
  <c r="N96" i="8" s="1"/>
  <c r="M96" i="5"/>
  <c r="M96" i="8" s="1"/>
  <c r="L96" i="5"/>
  <c r="L96" i="8" s="1"/>
  <c r="K96" i="5"/>
  <c r="K96" i="8" s="1"/>
  <c r="J96" i="5"/>
  <c r="J96" i="8" s="1"/>
  <c r="I96" i="5"/>
  <c r="I96" i="8" s="1"/>
  <c r="H96" i="5"/>
  <c r="H96" i="8" s="1"/>
  <c r="G96" i="5"/>
  <c r="G96" i="8" s="1"/>
  <c r="F96" i="5"/>
  <c r="F96" i="8" s="1"/>
  <c r="E96" i="5"/>
  <c r="E96" i="8" s="1"/>
  <c r="N95" i="5"/>
  <c r="N95" i="8" s="1"/>
  <c r="M95" i="5"/>
  <c r="M95" i="8" s="1"/>
  <c r="L95" i="5"/>
  <c r="L95" i="8" s="1"/>
  <c r="K95" i="5"/>
  <c r="K95" i="8" s="1"/>
  <c r="J95" i="5"/>
  <c r="J95" i="8" s="1"/>
  <c r="I95" i="5"/>
  <c r="I95" i="8" s="1"/>
  <c r="H95" i="5"/>
  <c r="H95" i="8" s="1"/>
  <c r="G95" i="5"/>
  <c r="G95" i="8" s="1"/>
  <c r="F95" i="5"/>
  <c r="F95" i="8" s="1"/>
  <c r="E95" i="5"/>
  <c r="E95" i="8" s="1"/>
  <c r="N94" i="5"/>
  <c r="N94" i="8" s="1"/>
  <c r="M94" i="5"/>
  <c r="M94" i="8" s="1"/>
  <c r="L94" i="5"/>
  <c r="L94" i="8" s="1"/>
  <c r="K94" i="5"/>
  <c r="K94" i="8" s="1"/>
  <c r="J94" i="5"/>
  <c r="J94" i="8" s="1"/>
  <c r="I94" i="5"/>
  <c r="I94" i="8" s="1"/>
  <c r="H94" i="5"/>
  <c r="H94" i="8" s="1"/>
  <c r="G94" i="5"/>
  <c r="G94" i="8" s="1"/>
  <c r="F94" i="5"/>
  <c r="F94" i="8" s="1"/>
  <c r="E94" i="5"/>
  <c r="E94" i="8" s="1"/>
  <c r="D94" i="5"/>
  <c r="D94" i="8" s="1"/>
  <c r="N93" i="5"/>
  <c r="N93" i="8" s="1"/>
  <c r="M93" i="5"/>
  <c r="M93" i="8" s="1"/>
  <c r="L93" i="5"/>
  <c r="L93" i="8" s="1"/>
  <c r="K93" i="5"/>
  <c r="K93" i="8" s="1"/>
  <c r="J93" i="5"/>
  <c r="J93" i="8" s="1"/>
  <c r="I93" i="5"/>
  <c r="I93" i="8" s="1"/>
  <c r="H93" i="5"/>
  <c r="H93" i="8" s="1"/>
  <c r="G93" i="5"/>
  <c r="G93" i="8" s="1"/>
  <c r="F93" i="5"/>
  <c r="F93" i="8" s="1"/>
  <c r="E93" i="5"/>
  <c r="E93" i="8" s="1"/>
  <c r="N92" i="5"/>
  <c r="N92" i="8" s="1"/>
  <c r="M92" i="5"/>
  <c r="M92" i="8" s="1"/>
  <c r="L92" i="5"/>
  <c r="L92" i="8" s="1"/>
  <c r="K92" i="5"/>
  <c r="K92" i="8" s="1"/>
  <c r="J92" i="5"/>
  <c r="J92" i="8" s="1"/>
  <c r="I92" i="5"/>
  <c r="I92" i="8" s="1"/>
  <c r="H92" i="5"/>
  <c r="H92" i="8" s="1"/>
  <c r="G92" i="5"/>
  <c r="G92" i="8" s="1"/>
  <c r="F92" i="5"/>
  <c r="F92" i="8" s="1"/>
  <c r="E92" i="5"/>
  <c r="E92" i="8" s="1"/>
  <c r="N91" i="5"/>
  <c r="N91" i="8" s="1"/>
  <c r="M91" i="5"/>
  <c r="M91" i="8" s="1"/>
  <c r="L91" i="5"/>
  <c r="L91" i="8" s="1"/>
  <c r="K91" i="5"/>
  <c r="K91" i="8" s="1"/>
  <c r="J91" i="5"/>
  <c r="J91" i="8" s="1"/>
  <c r="I91" i="5"/>
  <c r="I91" i="8" s="1"/>
  <c r="H91" i="5"/>
  <c r="H91" i="8" s="1"/>
  <c r="G91" i="5"/>
  <c r="G91" i="8" s="1"/>
  <c r="F91" i="5"/>
  <c r="F91" i="8" s="1"/>
  <c r="E91" i="5"/>
  <c r="E91" i="8" s="1"/>
  <c r="N90" i="5"/>
  <c r="N90" i="8" s="1"/>
  <c r="M90" i="5"/>
  <c r="M90" i="8" s="1"/>
  <c r="L90" i="5"/>
  <c r="L90" i="8" s="1"/>
  <c r="K90" i="5"/>
  <c r="K90" i="8" s="1"/>
  <c r="J90" i="5"/>
  <c r="J90" i="8" s="1"/>
  <c r="I90" i="5"/>
  <c r="I90" i="8" s="1"/>
  <c r="H90" i="5"/>
  <c r="H90" i="8" s="1"/>
  <c r="G90" i="5"/>
  <c r="G90" i="8" s="1"/>
  <c r="F90" i="5"/>
  <c r="F90" i="8" s="1"/>
  <c r="E90" i="5"/>
  <c r="E90" i="8" s="1"/>
  <c r="N89" i="5"/>
  <c r="N89" i="8" s="1"/>
  <c r="M89" i="5"/>
  <c r="M89" i="8" s="1"/>
  <c r="L89" i="5"/>
  <c r="L89" i="8" s="1"/>
  <c r="K89" i="5"/>
  <c r="K89" i="8" s="1"/>
  <c r="J89" i="5"/>
  <c r="J89" i="8" s="1"/>
  <c r="I89" i="5"/>
  <c r="I89" i="8" s="1"/>
  <c r="H89" i="5"/>
  <c r="H89" i="8" s="1"/>
  <c r="G89" i="5"/>
  <c r="G89" i="8" s="1"/>
  <c r="F89" i="5"/>
  <c r="F89" i="8" s="1"/>
  <c r="E89" i="5"/>
  <c r="E89" i="8" s="1"/>
  <c r="D89" i="5"/>
  <c r="D89" i="8" s="1"/>
  <c r="N88" i="5"/>
  <c r="N88" i="8" s="1"/>
  <c r="M88" i="5"/>
  <c r="M88" i="8" s="1"/>
  <c r="L88" i="5"/>
  <c r="L88" i="8" s="1"/>
  <c r="K88" i="5"/>
  <c r="K88" i="8" s="1"/>
  <c r="J88" i="5"/>
  <c r="J88" i="8" s="1"/>
  <c r="I88" i="5"/>
  <c r="I88" i="8" s="1"/>
  <c r="H88" i="5"/>
  <c r="H88" i="8" s="1"/>
  <c r="G88" i="5"/>
  <c r="G88" i="8" s="1"/>
  <c r="F88" i="5"/>
  <c r="F88" i="8" s="1"/>
  <c r="E88" i="5"/>
  <c r="E88" i="8" s="1"/>
  <c r="N87" i="5"/>
  <c r="N87" i="8" s="1"/>
  <c r="M87" i="5"/>
  <c r="M87" i="8" s="1"/>
  <c r="L87" i="5"/>
  <c r="L87" i="8" s="1"/>
  <c r="K87" i="5"/>
  <c r="K87" i="8" s="1"/>
  <c r="J87" i="5"/>
  <c r="J87" i="8" s="1"/>
  <c r="I87" i="5"/>
  <c r="I87" i="8" s="1"/>
  <c r="H87" i="5"/>
  <c r="H87" i="8" s="1"/>
  <c r="G87" i="5"/>
  <c r="G87" i="8" s="1"/>
  <c r="F87" i="5"/>
  <c r="F87" i="8" s="1"/>
  <c r="E87" i="5"/>
  <c r="E87" i="8" s="1"/>
  <c r="N86" i="5"/>
  <c r="N86" i="8" s="1"/>
  <c r="M86" i="5"/>
  <c r="M86" i="8" s="1"/>
  <c r="L86" i="5"/>
  <c r="L86" i="8" s="1"/>
  <c r="K86" i="5"/>
  <c r="K86" i="8" s="1"/>
  <c r="J86" i="5"/>
  <c r="J86" i="8" s="1"/>
  <c r="I86" i="5"/>
  <c r="I86" i="8" s="1"/>
  <c r="H86" i="5"/>
  <c r="H86" i="8" s="1"/>
  <c r="G86" i="5"/>
  <c r="G86" i="8" s="1"/>
  <c r="F86" i="5"/>
  <c r="F86" i="8" s="1"/>
  <c r="E86" i="5"/>
  <c r="E86" i="8" s="1"/>
  <c r="D86" i="5"/>
  <c r="D86" i="8" s="1"/>
  <c r="N85" i="5"/>
  <c r="N85" i="8" s="1"/>
  <c r="M85" i="5"/>
  <c r="M85" i="8" s="1"/>
  <c r="L85" i="5"/>
  <c r="L85" i="8" s="1"/>
  <c r="K85" i="5"/>
  <c r="K85" i="8" s="1"/>
  <c r="J85" i="5"/>
  <c r="J85" i="8" s="1"/>
  <c r="I85" i="5"/>
  <c r="I85" i="8" s="1"/>
  <c r="H85" i="5"/>
  <c r="H85" i="8" s="1"/>
  <c r="G85" i="5"/>
  <c r="G85" i="8" s="1"/>
  <c r="F85" i="5"/>
  <c r="F85" i="8" s="1"/>
  <c r="E85" i="5"/>
  <c r="E85" i="8" s="1"/>
  <c r="N84" i="5"/>
  <c r="N84" i="8" s="1"/>
  <c r="M84" i="5"/>
  <c r="M84" i="8" s="1"/>
  <c r="L84" i="5"/>
  <c r="L84" i="8" s="1"/>
  <c r="K84" i="5"/>
  <c r="K84" i="8" s="1"/>
  <c r="J84" i="5"/>
  <c r="J84" i="8" s="1"/>
  <c r="I84" i="5"/>
  <c r="I84" i="8" s="1"/>
  <c r="H84" i="5"/>
  <c r="H84" i="8" s="1"/>
  <c r="G84" i="5"/>
  <c r="G84" i="8" s="1"/>
  <c r="F84" i="5"/>
  <c r="F84" i="8" s="1"/>
  <c r="E84" i="5"/>
  <c r="E84" i="8" s="1"/>
  <c r="N83" i="5"/>
  <c r="N83" i="8" s="1"/>
  <c r="M83" i="5"/>
  <c r="M83" i="8" s="1"/>
  <c r="L83" i="5"/>
  <c r="L83" i="8" s="1"/>
  <c r="K83" i="5"/>
  <c r="K83" i="8" s="1"/>
  <c r="J83" i="5"/>
  <c r="J83" i="8" s="1"/>
  <c r="I83" i="5"/>
  <c r="I83" i="8" s="1"/>
  <c r="H83" i="5"/>
  <c r="H83" i="8" s="1"/>
  <c r="G83" i="5"/>
  <c r="G83" i="8" s="1"/>
  <c r="F83" i="5"/>
  <c r="F83" i="8" s="1"/>
  <c r="E83" i="5"/>
  <c r="E83" i="8" s="1"/>
  <c r="N82" i="5"/>
  <c r="N82" i="8" s="1"/>
  <c r="M82" i="5"/>
  <c r="M82" i="8" s="1"/>
  <c r="L82" i="5"/>
  <c r="L82" i="8" s="1"/>
  <c r="K82" i="5"/>
  <c r="K82" i="8" s="1"/>
  <c r="J82" i="5"/>
  <c r="J82" i="8" s="1"/>
  <c r="I82" i="5"/>
  <c r="I82" i="8" s="1"/>
  <c r="H82" i="5"/>
  <c r="H82" i="8" s="1"/>
  <c r="G82" i="5"/>
  <c r="G82" i="8" s="1"/>
  <c r="F82" i="5"/>
  <c r="F82" i="8" s="1"/>
  <c r="E82" i="5"/>
  <c r="E82" i="8" s="1"/>
  <c r="N81" i="5"/>
  <c r="N81" i="8" s="1"/>
  <c r="M81" i="5"/>
  <c r="M81" i="8" s="1"/>
  <c r="L81" i="5"/>
  <c r="L81" i="8" s="1"/>
  <c r="K81" i="5"/>
  <c r="K81" i="8" s="1"/>
  <c r="J81" i="5"/>
  <c r="J81" i="8" s="1"/>
  <c r="I81" i="5"/>
  <c r="I81" i="8" s="1"/>
  <c r="H81" i="5"/>
  <c r="H81" i="8" s="1"/>
  <c r="G81" i="5"/>
  <c r="G81" i="8" s="1"/>
  <c r="F81" i="5"/>
  <c r="F81" i="8" s="1"/>
  <c r="E81" i="5"/>
  <c r="E81" i="8" s="1"/>
  <c r="D81" i="5"/>
  <c r="D81" i="8" s="1"/>
  <c r="N80" i="5"/>
  <c r="N80" i="8" s="1"/>
  <c r="M80" i="5"/>
  <c r="M80" i="8" s="1"/>
  <c r="L80" i="5"/>
  <c r="L80" i="8" s="1"/>
  <c r="K80" i="5"/>
  <c r="K80" i="8" s="1"/>
  <c r="J80" i="5"/>
  <c r="J80" i="8" s="1"/>
  <c r="I80" i="5"/>
  <c r="I80" i="8" s="1"/>
  <c r="H80" i="5"/>
  <c r="H80" i="8" s="1"/>
  <c r="G80" i="5"/>
  <c r="G80" i="8" s="1"/>
  <c r="F80" i="5"/>
  <c r="F80" i="8" s="1"/>
  <c r="E80" i="5"/>
  <c r="E80" i="8" s="1"/>
  <c r="N79" i="5"/>
  <c r="N79" i="8" s="1"/>
  <c r="M79" i="5"/>
  <c r="M79" i="8" s="1"/>
  <c r="L79" i="5"/>
  <c r="L79" i="8" s="1"/>
  <c r="K79" i="5"/>
  <c r="K79" i="8" s="1"/>
  <c r="J79" i="5"/>
  <c r="J79" i="8" s="1"/>
  <c r="I79" i="5"/>
  <c r="I79" i="8" s="1"/>
  <c r="H79" i="5"/>
  <c r="H79" i="8" s="1"/>
  <c r="G79" i="5"/>
  <c r="G79" i="8" s="1"/>
  <c r="F79" i="5"/>
  <c r="F79" i="8" s="1"/>
  <c r="E79" i="5"/>
  <c r="E79" i="8" s="1"/>
  <c r="N72" i="5"/>
  <c r="N72" i="8" s="1"/>
  <c r="M72" i="5"/>
  <c r="M72" i="8" s="1"/>
  <c r="L72" i="5"/>
  <c r="L72" i="8" s="1"/>
  <c r="K72" i="5"/>
  <c r="K72" i="8" s="1"/>
  <c r="J72" i="5"/>
  <c r="J72" i="8" s="1"/>
  <c r="I72" i="5"/>
  <c r="I72" i="8" s="1"/>
  <c r="H72" i="5"/>
  <c r="H72" i="8" s="1"/>
  <c r="G72" i="5"/>
  <c r="G72" i="8" s="1"/>
  <c r="F72" i="5"/>
  <c r="F72" i="8" s="1"/>
  <c r="E72" i="5"/>
  <c r="E72" i="8" s="1"/>
  <c r="D72" i="5"/>
  <c r="D72" i="8" s="1"/>
  <c r="N71" i="5"/>
  <c r="N71" i="8" s="1"/>
  <c r="M71" i="5"/>
  <c r="M71" i="8" s="1"/>
  <c r="L71" i="5"/>
  <c r="L71" i="8" s="1"/>
  <c r="K71" i="5"/>
  <c r="K71" i="8" s="1"/>
  <c r="J71" i="5"/>
  <c r="J71" i="8" s="1"/>
  <c r="I71" i="5"/>
  <c r="I71" i="8" s="1"/>
  <c r="H71" i="5"/>
  <c r="H71" i="8" s="1"/>
  <c r="G71" i="5"/>
  <c r="G71" i="8" s="1"/>
  <c r="F71" i="5"/>
  <c r="F71" i="8" s="1"/>
  <c r="E71" i="5"/>
  <c r="E71" i="8" s="1"/>
  <c r="N70" i="5"/>
  <c r="N70" i="8" s="1"/>
  <c r="M70" i="5"/>
  <c r="M70" i="8" s="1"/>
  <c r="L70" i="5"/>
  <c r="L70" i="8" s="1"/>
  <c r="K70" i="5"/>
  <c r="K70" i="8" s="1"/>
  <c r="J70" i="5"/>
  <c r="J70" i="8" s="1"/>
  <c r="I70" i="5"/>
  <c r="I70" i="8" s="1"/>
  <c r="H70" i="5"/>
  <c r="H70" i="8" s="1"/>
  <c r="G70" i="5"/>
  <c r="G70" i="8" s="1"/>
  <c r="F70" i="5"/>
  <c r="F70" i="8" s="1"/>
  <c r="E70" i="5"/>
  <c r="E70" i="8" s="1"/>
  <c r="N69" i="5"/>
  <c r="N69" i="8" s="1"/>
  <c r="M69" i="5"/>
  <c r="M69" i="8" s="1"/>
  <c r="L69" i="5"/>
  <c r="L69" i="8" s="1"/>
  <c r="K69" i="5"/>
  <c r="K69" i="8" s="1"/>
  <c r="J69" i="5"/>
  <c r="J69" i="8" s="1"/>
  <c r="I69" i="5"/>
  <c r="I69" i="8" s="1"/>
  <c r="H69" i="5"/>
  <c r="H69" i="8" s="1"/>
  <c r="G69" i="5"/>
  <c r="G69" i="8" s="1"/>
  <c r="F69" i="5"/>
  <c r="F69" i="8" s="1"/>
  <c r="E69" i="5"/>
  <c r="E69" i="8" s="1"/>
  <c r="N68" i="5"/>
  <c r="N68" i="8" s="1"/>
  <c r="M68" i="5"/>
  <c r="M68" i="8" s="1"/>
  <c r="L68" i="5"/>
  <c r="L68" i="8" s="1"/>
  <c r="K68" i="5"/>
  <c r="K68" i="8" s="1"/>
  <c r="J68" i="5"/>
  <c r="J68" i="8" s="1"/>
  <c r="I68" i="5"/>
  <c r="I68" i="8" s="1"/>
  <c r="H68" i="5"/>
  <c r="H68" i="8" s="1"/>
  <c r="G68" i="5"/>
  <c r="G68" i="8" s="1"/>
  <c r="F68" i="5"/>
  <c r="F68" i="8" s="1"/>
  <c r="E68" i="5"/>
  <c r="E68" i="8" s="1"/>
  <c r="N67" i="5"/>
  <c r="N67" i="8" s="1"/>
  <c r="M67" i="5"/>
  <c r="M67" i="8" s="1"/>
  <c r="L67" i="5"/>
  <c r="L67" i="8" s="1"/>
  <c r="K67" i="5"/>
  <c r="K67" i="8" s="1"/>
  <c r="J67" i="5"/>
  <c r="J67" i="8" s="1"/>
  <c r="I67" i="5"/>
  <c r="I67" i="8" s="1"/>
  <c r="H67" i="5"/>
  <c r="H67" i="8" s="1"/>
  <c r="G67" i="5"/>
  <c r="G67" i="8" s="1"/>
  <c r="F67" i="5"/>
  <c r="F67" i="8" s="1"/>
  <c r="E67" i="5"/>
  <c r="E67" i="8" s="1"/>
  <c r="D67" i="5"/>
  <c r="D67" i="8" s="1"/>
  <c r="N66" i="5"/>
  <c r="N66" i="8" s="1"/>
  <c r="M66" i="5"/>
  <c r="M66" i="8" s="1"/>
  <c r="L66" i="5"/>
  <c r="L66" i="8" s="1"/>
  <c r="K66" i="5"/>
  <c r="K66" i="8" s="1"/>
  <c r="J66" i="5"/>
  <c r="J66" i="8" s="1"/>
  <c r="I66" i="5"/>
  <c r="I66" i="8" s="1"/>
  <c r="H66" i="5"/>
  <c r="H66" i="8" s="1"/>
  <c r="G66" i="5"/>
  <c r="G66" i="8" s="1"/>
  <c r="F66" i="5"/>
  <c r="F66" i="8" s="1"/>
  <c r="E66" i="5"/>
  <c r="E66" i="8" s="1"/>
  <c r="N65" i="5"/>
  <c r="N65" i="8" s="1"/>
  <c r="M65" i="5"/>
  <c r="M65" i="8" s="1"/>
  <c r="L65" i="5"/>
  <c r="L65" i="8" s="1"/>
  <c r="K65" i="5"/>
  <c r="K65" i="8" s="1"/>
  <c r="J65" i="5"/>
  <c r="J65" i="8" s="1"/>
  <c r="I65" i="5"/>
  <c r="I65" i="8" s="1"/>
  <c r="H65" i="5"/>
  <c r="H65" i="8" s="1"/>
  <c r="G65" i="5"/>
  <c r="G65" i="8" s="1"/>
  <c r="F65" i="5"/>
  <c r="F65" i="8" s="1"/>
  <c r="E65" i="5"/>
  <c r="E65" i="8" s="1"/>
  <c r="N64" i="5"/>
  <c r="N64" i="8" s="1"/>
  <c r="M64" i="5"/>
  <c r="M64" i="8" s="1"/>
  <c r="L64" i="5"/>
  <c r="L64" i="8" s="1"/>
  <c r="K64" i="5"/>
  <c r="K64" i="8" s="1"/>
  <c r="J64" i="5"/>
  <c r="J64" i="8" s="1"/>
  <c r="I64" i="5"/>
  <c r="I64" i="8" s="1"/>
  <c r="H64" i="5"/>
  <c r="H64" i="8" s="1"/>
  <c r="G64" i="5"/>
  <c r="G64" i="8" s="1"/>
  <c r="F64" i="5"/>
  <c r="F64" i="8" s="1"/>
  <c r="E64" i="5"/>
  <c r="E64" i="8" s="1"/>
  <c r="D64" i="5"/>
  <c r="D64" i="8" s="1"/>
  <c r="N63" i="5"/>
  <c r="N63" i="8" s="1"/>
  <c r="M63" i="5"/>
  <c r="M63" i="8" s="1"/>
  <c r="L63" i="5"/>
  <c r="L63" i="8" s="1"/>
  <c r="K63" i="5"/>
  <c r="K63" i="8" s="1"/>
  <c r="J63" i="5"/>
  <c r="J63" i="8" s="1"/>
  <c r="I63" i="5"/>
  <c r="I63" i="8" s="1"/>
  <c r="H63" i="5"/>
  <c r="H63" i="8" s="1"/>
  <c r="G63" i="5"/>
  <c r="G63" i="8" s="1"/>
  <c r="F63" i="5"/>
  <c r="F63" i="8" s="1"/>
  <c r="E63" i="5"/>
  <c r="E63" i="8" s="1"/>
  <c r="N62" i="5"/>
  <c r="N62" i="8" s="1"/>
  <c r="M62" i="5"/>
  <c r="M62" i="8" s="1"/>
  <c r="L62" i="5"/>
  <c r="L62" i="8" s="1"/>
  <c r="K62" i="5"/>
  <c r="K62" i="8" s="1"/>
  <c r="J62" i="5"/>
  <c r="J62" i="8" s="1"/>
  <c r="I62" i="5"/>
  <c r="I62" i="8" s="1"/>
  <c r="H62" i="5"/>
  <c r="H62" i="8" s="1"/>
  <c r="G62" i="5"/>
  <c r="G62" i="8" s="1"/>
  <c r="F62" i="5"/>
  <c r="F62" i="8" s="1"/>
  <c r="E62" i="5"/>
  <c r="E62" i="8" s="1"/>
  <c r="N61" i="5"/>
  <c r="N61" i="8" s="1"/>
  <c r="M61" i="5"/>
  <c r="M61" i="8" s="1"/>
  <c r="L61" i="5"/>
  <c r="L61" i="8" s="1"/>
  <c r="K61" i="5"/>
  <c r="K61" i="8" s="1"/>
  <c r="J61" i="5"/>
  <c r="J61" i="8" s="1"/>
  <c r="I61" i="5"/>
  <c r="I61" i="8" s="1"/>
  <c r="H61" i="5"/>
  <c r="H61" i="8" s="1"/>
  <c r="G61" i="5"/>
  <c r="G61" i="8" s="1"/>
  <c r="F61" i="5"/>
  <c r="F61" i="8" s="1"/>
  <c r="E61" i="5"/>
  <c r="E61" i="8" s="1"/>
  <c r="N60" i="5"/>
  <c r="N60" i="8" s="1"/>
  <c r="M60" i="5"/>
  <c r="M60" i="8" s="1"/>
  <c r="L60" i="5"/>
  <c r="L60" i="8" s="1"/>
  <c r="K60" i="5"/>
  <c r="K60" i="8" s="1"/>
  <c r="J60" i="5"/>
  <c r="J60" i="8" s="1"/>
  <c r="I60" i="5"/>
  <c r="I60" i="8" s="1"/>
  <c r="H60" i="5"/>
  <c r="H60" i="8" s="1"/>
  <c r="G60" i="5"/>
  <c r="G60" i="8" s="1"/>
  <c r="F60" i="5"/>
  <c r="F60" i="8" s="1"/>
  <c r="E60" i="5"/>
  <c r="E60" i="8" s="1"/>
  <c r="N59" i="5"/>
  <c r="N59" i="8" s="1"/>
  <c r="M59" i="5"/>
  <c r="M59" i="8" s="1"/>
  <c r="L59" i="5"/>
  <c r="L59" i="8" s="1"/>
  <c r="K59" i="5"/>
  <c r="K59" i="8" s="1"/>
  <c r="J59" i="5"/>
  <c r="J59" i="8" s="1"/>
  <c r="I59" i="5"/>
  <c r="I59" i="8" s="1"/>
  <c r="H59" i="5"/>
  <c r="H59" i="8" s="1"/>
  <c r="G59" i="5"/>
  <c r="G59" i="8" s="1"/>
  <c r="F59" i="5"/>
  <c r="F59" i="8" s="1"/>
  <c r="E59" i="5"/>
  <c r="E59" i="8" s="1"/>
  <c r="N58" i="5"/>
  <c r="N58" i="8" s="1"/>
  <c r="M58" i="5"/>
  <c r="M58" i="8" s="1"/>
  <c r="L58" i="5"/>
  <c r="L58" i="8" s="1"/>
  <c r="K58" i="5"/>
  <c r="K58" i="8" s="1"/>
  <c r="J58" i="5"/>
  <c r="J58" i="8" s="1"/>
  <c r="I58" i="5"/>
  <c r="I58" i="8" s="1"/>
  <c r="H58" i="5"/>
  <c r="H58" i="8" s="1"/>
  <c r="G58" i="5"/>
  <c r="G58" i="8" s="1"/>
  <c r="F58" i="5"/>
  <c r="F58" i="8" s="1"/>
  <c r="E58" i="5"/>
  <c r="E58" i="8" s="1"/>
  <c r="N57" i="5"/>
  <c r="N57" i="8" s="1"/>
  <c r="M57" i="5"/>
  <c r="M57" i="8" s="1"/>
  <c r="L57" i="5"/>
  <c r="L57" i="8" s="1"/>
  <c r="K57" i="5"/>
  <c r="K57" i="8" s="1"/>
  <c r="J57" i="5"/>
  <c r="J57" i="8" s="1"/>
  <c r="I57" i="5"/>
  <c r="I57" i="8" s="1"/>
  <c r="H57" i="5"/>
  <c r="H57" i="8" s="1"/>
  <c r="G57" i="5"/>
  <c r="G57" i="8" s="1"/>
  <c r="F57" i="5"/>
  <c r="F57" i="8" s="1"/>
  <c r="E57" i="5"/>
  <c r="E57" i="8" s="1"/>
  <c r="N56" i="5"/>
  <c r="N56" i="8" s="1"/>
  <c r="M56" i="5"/>
  <c r="M56" i="8" s="1"/>
  <c r="L56" i="5"/>
  <c r="L56" i="8" s="1"/>
  <c r="K56" i="5"/>
  <c r="K56" i="8" s="1"/>
  <c r="J56" i="5"/>
  <c r="J56" i="8" s="1"/>
  <c r="I56" i="5"/>
  <c r="I56" i="8" s="1"/>
  <c r="H56" i="5"/>
  <c r="H56" i="8" s="1"/>
  <c r="G56" i="5"/>
  <c r="G56" i="8" s="1"/>
  <c r="F56" i="5"/>
  <c r="F56" i="8" s="1"/>
  <c r="E56" i="5"/>
  <c r="E56" i="8" s="1"/>
  <c r="N55" i="5"/>
  <c r="N55" i="8" s="1"/>
  <c r="M55" i="5"/>
  <c r="M55" i="8" s="1"/>
  <c r="L55" i="5"/>
  <c r="L55" i="8" s="1"/>
  <c r="K55" i="5"/>
  <c r="K55" i="8" s="1"/>
  <c r="J55" i="5"/>
  <c r="J55" i="8" s="1"/>
  <c r="I55" i="5"/>
  <c r="I55" i="8" s="1"/>
  <c r="H55" i="5"/>
  <c r="H55" i="8" s="1"/>
  <c r="G55" i="5"/>
  <c r="G55" i="8" s="1"/>
  <c r="F55" i="5"/>
  <c r="F55" i="8" s="1"/>
  <c r="E55" i="5"/>
  <c r="E55" i="8" s="1"/>
  <c r="N54" i="5"/>
  <c r="N54" i="8" s="1"/>
  <c r="M54" i="5"/>
  <c r="M54" i="8" s="1"/>
  <c r="L54" i="5"/>
  <c r="L54" i="8" s="1"/>
  <c r="K54" i="5"/>
  <c r="K54" i="8" s="1"/>
  <c r="J54" i="5"/>
  <c r="J54" i="8" s="1"/>
  <c r="I54" i="5"/>
  <c r="I54" i="8" s="1"/>
  <c r="H54" i="5"/>
  <c r="H54" i="8" s="1"/>
  <c r="G54" i="5"/>
  <c r="G54" i="8" s="1"/>
  <c r="F54" i="5"/>
  <c r="F54" i="8" s="1"/>
  <c r="E54" i="5"/>
  <c r="E54" i="8" s="1"/>
  <c r="N53" i="5"/>
  <c r="N53" i="8" s="1"/>
  <c r="M53" i="5"/>
  <c r="M53" i="8" s="1"/>
  <c r="L53" i="5"/>
  <c r="L53" i="8" s="1"/>
  <c r="K53" i="5"/>
  <c r="K53" i="8" s="1"/>
  <c r="J53" i="5"/>
  <c r="J53" i="8" s="1"/>
  <c r="I53" i="5"/>
  <c r="I53" i="8" s="1"/>
  <c r="H53" i="5"/>
  <c r="H53" i="8" s="1"/>
  <c r="G53" i="5"/>
  <c r="G53" i="8" s="1"/>
  <c r="F53" i="5"/>
  <c r="F53" i="8" s="1"/>
  <c r="E53" i="5"/>
  <c r="E53" i="8" s="1"/>
  <c r="N52" i="5"/>
  <c r="N52" i="8" s="1"/>
  <c r="M52" i="5"/>
  <c r="M52" i="8" s="1"/>
  <c r="L52" i="5"/>
  <c r="L52" i="8" s="1"/>
  <c r="K52" i="5"/>
  <c r="K52" i="8" s="1"/>
  <c r="J52" i="5"/>
  <c r="J52" i="8" s="1"/>
  <c r="I52" i="5"/>
  <c r="I52" i="8" s="1"/>
  <c r="H52" i="5"/>
  <c r="H52" i="8" s="1"/>
  <c r="G52" i="5"/>
  <c r="G52" i="8" s="1"/>
  <c r="F52" i="5"/>
  <c r="F52" i="8" s="1"/>
  <c r="E52" i="5"/>
  <c r="E52" i="8" s="1"/>
  <c r="N51" i="5"/>
  <c r="N51" i="8" s="1"/>
  <c r="M51" i="5"/>
  <c r="M51" i="8" s="1"/>
  <c r="L51" i="5"/>
  <c r="L51" i="8" s="1"/>
  <c r="K51" i="5"/>
  <c r="K51" i="8" s="1"/>
  <c r="J51" i="5"/>
  <c r="J51" i="8" s="1"/>
  <c r="I51" i="5"/>
  <c r="I51" i="8" s="1"/>
  <c r="H51" i="5"/>
  <c r="H51" i="8" s="1"/>
  <c r="G51" i="5"/>
  <c r="G51" i="8" s="1"/>
  <c r="F51" i="5"/>
  <c r="F51" i="8" s="1"/>
  <c r="E51" i="5"/>
  <c r="E51" i="8" s="1"/>
  <c r="N50" i="5"/>
  <c r="N50" i="8" s="1"/>
  <c r="M50" i="5"/>
  <c r="M50" i="8" s="1"/>
  <c r="L50" i="5"/>
  <c r="L50" i="8" s="1"/>
  <c r="K50" i="5"/>
  <c r="K50" i="8" s="1"/>
  <c r="J50" i="5"/>
  <c r="J50" i="8" s="1"/>
  <c r="I50" i="5"/>
  <c r="I50" i="8" s="1"/>
  <c r="H50" i="5"/>
  <c r="H50" i="8" s="1"/>
  <c r="G50" i="5"/>
  <c r="G50" i="8" s="1"/>
  <c r="F50" i="5"/>
  <c r="F50" i="8" s="1"/>
  <c r="E50" i="5"/>
  <c r="E50" i="8" s="1"/>
  <c r="N49" i="5"/>
  <c r="N49" i="8" s="1"/>
  <c r="M49" i="5"/>
  <c r="M49" i="8" s="1"/>
  <c r="L49" i="5"/>
  <c r="L49" i="8" s="1"/>
  <c r="K49" i="5"/>
  <c r="K49" i="8" s="1"/>
  <c r="J49" i="5"/>
  <c r="J49" i="8" s="1"/>
  <c r="I49" i="5"/>
  <c r="I49" i="8" s="1"/>
  <c r="H49" i="5"/>
  <c r="H49" i="8" s="1"/>
  <c r="G49" i="5"/>
  <c r="G49" i="8" s="1"/>
  <c r="F49" i="5"/>
  <c r="F49" i="8" s="1"/>
  <c r="E49" i="5"/>
  <c r="E49" i="8" s="1"/>
  <c r="N48" i="5"/>
  <c r="N48" i="8" s="1"/>
  <c r="M48" i="5"/>
  <c r="M48" i="8" s="1"/>
  <c r="L48" i="5"/>
  <c r="L48" i="8" s="1"/>
  <c r="K48" i="5"/>
  <c r="K48" i="8" s="1"/>
  <c r="J48" i="5"/>
  <c r="J48" i="8" s="1"/>
  <c r="I48" i="5"/>
  <c r="I48" i="8" s="1"/>
  <c r="H48" i="5"/>
  <c r="H48" i="8" s="1"/>
  <c r="G48" i="5"/>
  <c r="G48" i="8" s="1"/>
  <c r="F48" i="5"/>
  <c r="F48" i="8" s="1"/>
  <c r="E48" i="5"/>
  <c r="E48" i="8" s="1"/>
  <c r="N47" i="5"/>
  <c r="N47" i="8" s="1"/>
  <c r="M47" i="5"/>
  <c r="M47" i="8" s="1"/>
  <c r="L47" i="5"/>
  <c r="L47" i="8" s="1"/>
  <c r="K47" i="5"/>
  <c r="K47" i="8" s="1"/>
  <c r="J47" i="5"/>
  <c r="J47" i="8" s="1"/>
  <c r="I47" i="5"/>
  <c r="I47" i="8" s="1"/>
  <c r="H47" i="5"/>
  <c r="H47" i="8" s="1"/>
  <c r="G47" i="5"/>
  <c r="G47" i="8" s="1"/>
  <c r="F47" i="5"/>
  <c r="F47" i="8" s="1"/>
  <c r="E47" i="5"/>
  <c r="E47" i="8" s="1"/>
  <c r="N46" i="5"/>
  <c r="N46" i="8" s="1"/>
  <c r="M46" i="5"/>
  <c r="M46" i="8" s="1"/>
  <c r="L46" i="5"/>
  <c r="L46" i="8" s="1"/>
  <c r="K46" i="5"/>
  <c r="K46" i="8" s="1"/>
  <c r="J46" i="5"/>
  <c r="J46" i="8" s="1"/>
  <c r="I46" i="5"/>
  <c r="I46" i="8" s="1"/>
  <c r="H46" i="5"/>
  <c r="H46" i="8" s="1"/>
  <c r="G46" i="5"/>
  <c r="G46" i="8" s="1"/>
  <c r="F46" i="5"/>
  <c r="F46" i="8" s="1"/>
  <c r="E46" i="5"/>
  <c r="E46" i="8" s="1"/>
  <c r="N45" i="5"/>
  <c r="N45" i="8" s="1"/>
  <c r="M45" i="5"/>
  <c r="M45" i="8" s="1"/>
  <c r="L45" i="5"/>
  <c r="L45" i="8" s="1"/>
  <c r="K45" i="5"/>
  <c r="K45" i="8" s="1"/>
  <c r="J45" i="5"/>
  <c r="J45" i="8" s="1"/>
  <c r="I45" i="5"/>
  <c r="I45" i="8" s="1"/>
  <c r="H45" i="5"/>
  <c r="H45" i="8" s="1"/>
  <c r="G45" i="5"/>
  <c r="G45" i="8" s="1"/>
  <c r="F45" i="5"/>
  <c r="F45" i="8" s="1"/>
  <c r="E45" i="5"/>
  <c r="E45" i="8" s="1"/>
  <c r="N44" i="5"/>
  <c r="N44" i="8" s="1"/>
  <c r="M44" i="5"/>
  <c r="M44" i="8" s="1"/>
  <c r="L44" i="5"/>
  <c r="L44" i="8" s="1"/>
  <c r="K44" i="5"/>
  <c r="K44" i="8" s="1"/>
  <c r="J44" i="5"/>
  <c r="J44" i="8" s="1"/>
  <c r="I44" i="5"/>
  <c r="I44" i="8" s="1"/>
  <c r="H44" i="5"/>
  <c r="H44" i="8" s="1"/>
  <c r="G44" i="5"/>
  <c r="G44" i="8" s="1"/>
  <c r="F44" i="5"/>
  <c r="F44" i="8" s="1"/>
  <c r="E44" i="5"/>
  <c r="E44" i="8" s="1"/>
  <c r="N43" i="5"/>
  <c r="N43" i="8" s="1"/>
  <c r="M43" i="5"/>
  <c r="M43" i="8" s="1"/>
  <c r="L43" i="5"/>
  <c r="L43" i="8" s="1"/>
  <c r="K43" i="5"/>
  <c r="K43" i="8" s="1"/>
  <c r="J43" i="5"/>
  <c r="J43" i="8" s="1"/>
  <c r="I43" i="5"/>
  <c r="I43" i="8" s="1"/>
  <c r="H43" i="5"/>
  <c r="H43" i="8" s="1"/>
  <c r="G43" i="5"/>
  <c r="G43" i="8" s="1"/>
  <c r="F43" i="5"/>
  <c r="F43" i="8" s="1"/>
  <c r="E43" i="5"/>
  <c r="E43" i="8" s="1"/>
  <c r="C216" i="4"/>
  <c r="C216" i="5" s="1"/>
  <c r="C216" i="6" s="1"/>
  <c r="C216" i="7" s="1"/>
  <c r="C216" i="8" s="1"/>
  <c r="B216" i="4"/>
  <c r="B216" i="5" s="1"/>
  <c r="O216" i="5" s="1"/>
  <c r="O216" i="8" s="1"/>
  <c r="AB216" i="8" s="1"/>
  <c r="AC216" i="8" s="1"/>
  <c r="AD216" i="8" s="1"/>
  <c r="AE216" i="8" s="1"/>
  <c r="C215" i="4"/>
  <c r="C215" i="5" s="1"/>
  <c r="C215" i="6" s="1"/>
  <c r="C215" i="7" s="1"/>
  <c r="C215" i="8" s="1"/>
  <c r="B215" i="4"/>
  <c r="C214" i="4"/>
  <c r="C214" i="5" s="1"/>
  <c r="C214" i="6" s="1"/>
  <c r="C214" i="7" s="1"/>
  <c r="C214" i="8" s="1"/>
  <c r="B214" i="4"/>
  <c r="B214" i="5" s="1"/>
  <c r="C213" i="4"/>
  <c r="C213" i="5" s="1"/>
  <c r="C213" i="6" s="1"/>
  <c r="C213" i="7" s="1"/>
  <c r="C213" i="8" s="1"/>
  <c r="B213" i="4"/>
  <c r="B213" i="5" s="1"/>
  <c r="O213" i="5" s="1"/>
  <c r="O213" i="8" s="1"/>
  <c r="AB213" i="8" s="1"/>
  <c r="AC213" i="8" s="1"/>
  <c r="AD213" i="8" s="1"/>
  <c r="AE213" i="8" s="1"/>
  <c r="C212" i="4"/>
  <c r="C212" i="5" s="1"/>
  <c r="C212" i="6" s="1"/>
  <c r="C212" i="7" s="1"/>
  <c r="C212" i="8" s="1"/>
  <c r="B212" i="4"/>
  <c r="C211" i="4"/>
  <c r="C211" i="5" s="1"/>
  <c r="C211" i="6" s="1"/>
  <c r="C211" i="7" s="1"/>
  <c r="C211" i="8" s="1"/>
  <c r="B211" i="4"/>
  <c r="B211" i="5" s="1"/>
  <c r="B211" i="6" s="1"/>
  <c r="C210" i="4"/>
  <c r="C210" i="5" s="1"/>
  <c r="C210" i="6" s="1"/>
  <c r="C210" i="7" s="1"/>
  <c r="C210" i="8" s="1"/>
  <c r="B210" i="4"/>
  <c r="C209" i="4"/>
  <c r="C209" i="5" s="1"/>
  <c r="C209" i="6" s="1"/>
  <c r="C209" i="7" s="1"/>
  <c r="C209" i="8" s="1"/>
  <c r="B209" i="4"/>
  <c r="C208" i="4"/>
  <c r="C208" i="5" s="1"/>
  <c r="C208" i="6" s="1"/>
  <c r="C208" i="7" s="1"/>
  <c r="C208" i="8" s="1"/>
  <c r="B208" i="4"/>
  <c r="B208" i="5" s="1"/>
  <c r="B208" i="6" s="1"/>
  <c r="C207" i="4"/>
  <c r="C207" i="5" s="1"/>
  <c r="C207" i="6" s="1"/>
  <c r="C207" i="7" s="1"/>
  <c r="C207" i="8" s="1"/>
  <c r="B207" i="4"/>
  <c r="C206" i="4"/>
  <c r="C206" i="5" s="1"/>
  <c r="C206" i="6" s="1"/>
  <c r="C206" i="7" s="1"/>
  <c r="C206" i="8" s="1"/>
  <c r="B206" i="4"/>
  <c r="B206" i="5" s="1"/>
  <c r="C205" i="4"/>
  <c r="C205" i="5" s="1"/>
  <c r="C205" i="6" s="1"/>
  <c r="C205" i="7" s="1"/>
  <c r="C205" i="8" s="1"/>
  <c r="B205" i="4"/>
  <c r="B205" i="5" s="1"/>
  <c r="C204" i="4"/>
  <c r="C204" i="5" s="1"/>
  <c r="C204" i="6" s="1"/>
  <c r="C204" i="7" s="1"/>
  <c r="C204" i="8" s="1"/>
  <c r="B204" i="4"/>
  <c r="C203" i="4"/>
  <c r="C203" i="5" s="1"/>
  <c r="C203" i="6" s="1"/>
  <c r="C203" i="7" s="1"/>
  <c r="C203" i="8" s="1"/>
  <c r="B203" i="4"/>
  <c r="B203" i="5" s="1"/>
  <c r="O203" i="5" s="1"/>
  <c r="O203" i="8" s="1"/>
  <c r="AB203" i="8" s="1"/>
  <c r="AC203" i="8" s="1"/>
  <c r="AD203" i="8" s="1"/>
  <c r="AE203" i="8" s="1"/>
  <c r="C202" i="4"/>
  <c r="C202" i="5" s="1"/>
  <c r="C202" i="6" s="1"/>
  <c r="C202" i="7" s="1"/>
  <c r="C202" i="8" s="1"/>
  <c r="B202" i="4"/>
  <c r="C201" i="4"/>
  <c r="C201" i="5" s="1"/>
  <c r="C201" i="6" s="1"/>
  <c r="C201" i="7" s="1"/>
  <c r="C201" i="8" s="1"/>
  <c r="B201" i="4"/>
  <c r="C200" i="4"/>
  <c r="C200" i="5" s="1"/>
  <c r="C200" i="6" s="1"/>
  <c r="C200" i="7" s="1"/>
  <c r="C200" i="8" s="1"/>
  <c r="B200" i="4"/>
  <c r="B200" i="5" s="1"/>
  <c r="C199" i="4"/>
  <c r="C199" i="5" s="1"/>
  <c r="C199" i="6" s="1"/>
  <c r="C199" i="7" s="1"/>
  <c r="C199" i="8" s="1"/>
  <c r="B199" i="4"/>
  <c r="C198" i="4"/>
  <c r="C198" i="5" s="1"/>
  <c r="C198" i="6" s="1"/>
  <c r="C198" i="7" s="1"/>
  <c r="C198" i="8" s="1"/>
  <c r="B198" i="4"/>
  <c r="B198" i="5" s="1"/>
  <c r="C197" i="4"/>
  <c r="C197" i="5" s="1"/>
  <c r="C197" i="6" s="1"/>
  <c r="C197" i="7" s="1"/>
  <c r="C197" i="8" s="1"/>
  <c r="B197" i="4"/>
  <c r="B197" i="5" s="1"/>
  <c r="C196" i="4"/>
  <c r="C196" i="5" s="1"/>
  <c r="C196" i="6" s="1"/>
  <c r="C196" i="7" s="1"/>
  <c r="C196" i="8" s="1"/>
  <c r="B196" i="4"/>
  <c r="C195" i="4"/>
  <c r="C195" i="5" s="1"/>
  <c r="C195" i="6" s="1"/>
  <c r="C195" i="7" s="1"/>
  <c r="C195" i="8" s="1"/>
  <c r="B195" i="4"/>
  <c r="B195" i="5" s="1"/>
  <c r="B195" i="6" s="1"/>
  <c r="C194" i="4"/>
  <c r="C194" i="5" s="1"/>
  <c r="C194" i="6" s="1"/>
  <c r="C194" i="7" s="1"/>
  <c r="C194" i="8" s="1"/>
  <c r="B194" i="4"/>
  <c r="C193" i="4"/>
  <c r="C193" i="5" s="1"/>
  <c r="C193" i="6" s="1"/>
  <c r="C193" i="7" s="1"/>
  <c r="C193" i="8" s="1"/>
  <c r="B193" i="4"/>
  <c r="C192" i="4"/>
  <c r="C192" i="5" s="1"/>
  <c r="C192" i="6" s="1"/>
  <c r="C192" i="7" s="1"/>
  <c r="C192" i="8" s="1"/>
  <c r="B192" i="4"/>
  <c r="B192" i="5" s="1"/>
  <c r="B192" i="6" s="1"/>
  <c r="C191" i="4"/>
  <c r="C191" i="5" s="1"/>
  <c r="C191" i="6" s="1"/>
  <c r="C191" i="7" s="1"/>
  <c r="C191" i="8" s="1"/>
  <c r="B191" i="4"/>
  <c r="C190" i="4"/>
  <c r="C190" i="5" s="1"/>
  <c r="C190" i="6" s="1"/>
  <c r="C190" i="7" s="1"/>
  <c r="C190" i="8" s="1"/>
  <c r="B190" i="4"/>
  <c r="B190" i="5" s="1"/>
  <c r="C189" i="4"/>
  <c r="C189" i="5" s="1"/>
  <c r="C189" i="6" s="1"/>
  <c r="C189" i="7" s="1"/>
  <c r="C189" i="8" s="1"/>
  <c r="B189" i="4"/>
  <c r="B189" i="5" s="1"/>
  <c r="C188" i="4"/>
  <c r="C188" i="5" s="1"/>
  <c r="C188" i="6" s="1"/>
  <c r="C188" i="7" s="1"/>
  <c r="C188" i="8" s="1"/>
  <c r="B188" i="4"/>
  <c r="C187" i="4"/>
  <c r="C187" i="5" s="1"/>
  <c r="C187" i="6" s="1"/>
  <c r="C187" i="7" s="1"/>
  <c r="C187" i="8" s="1"/>
  <c r="B187" i="4"/>
  <c r="B187" i="5" s="1"/>
  <c r="B185" i="4"/>
  <c r="B185" i="5" s="1"/>
  <c r="B185" i="6" s="1"/>
  <c r="B185" i="7" s="1"/>
  <c r="B185" i="8" s="1"/>
  <c r="B184" i="4"/>
  <c r="B184" i="5" s="1"/>
  <c r="B184" i="6" s="1"/>
  <c r="B184" i="7" s="1"/>
  <c r="B184" i="8" s="1"/>
  <c r="B183" i="4"/>
  <c r="B183" i="5" s="1"/>
  <c r="B183" i="6" s="1"/>
  <c r="B183" i="7" s="1"/>
  <c r="B183" i="8" s="1"/>
  <c r="B182" i="4"/>
  <c r="B182" i="5" s="1"/>
  <c r="B181" i="4"/>
  <c r="B181" i="5" s="1"/>
  <c r="B181" i="6" s="1"/>
  <c r="B181" i="7" s="1"/>
  <c r="B181" i="8" s="1"/>
  <c r="C180" i="4"/>
  <c r="C180" i="5" s="1"/>
  <c r="C180" i="6" s="1"/>
  <c r="C180" i="7" s="1"/>
  <c r="C180" i="8" s="1"/>
  <c r="B180" i="4"/>
  <c r="C179" i="4"/>
  <c r="C179" i="5" s="1"/>
  <c r="C179" i="6" s="1"/>
  <c r="C179" i="7" s="1"/>
  <c r="C179" i="8" s="1"/>
  <c r="B179" i="4"/>
  <c r="C178" i="4"/>
  <c r="C178" i="5" s="1"/>
  <c r="C178" i="6" s="1"/>
  <c r="C178" i="7" s="1"/>
  <c r="C178" i="8" s="1"/>
  <c r="B178" i="4"/>
  <c r="B178" i="5" s="1"/>
  <c r="C177" i="4"/>
  <c r="C177" i="5" s="1"/>
  <c r="C177" i="6" s="1"/>
  <c r="C177" i="7" s="1"/>
  <c r="C177" i="8" s="1"/>
  <c r="B177" i="4"/>
  <c r="B177" i="5" s="1"/>
  <c r="C176" i="4"/>
  <c r="C176" i="5" s="1"/>
  <c r="C176" i="6" s="1"/>
  <c r="C176" i="7" s="1"/>
  <c r="C176" i="8" s="1"/>
  <c r="B176" i="4"/>
  <c r="C175" i="4"/>
  <c r="C175" i="5" s="1"/>
  <c r="C175" i="6" s="1"/>
  <c r="C175" i="7" s="1"/>
  <c r="C175" i="8" s="1"/>
  <c r="B175" i="4"/>
  <c r="B175" i="5" s="1"/>
  <c r="C174" i="4"/>
  <c r="C174" i="5" s="1"/>
  <c r="C174" i="6" s="1"/>
  <c r="C174" i="7" s="1"/>
  <c r="C174" i="8" s="1"/>
  <c r="B174" i="4"/>
  <c r="C173" i="4"/>
  <c r="C173" i="5" s="1"/>
  <c r="C173" i="6" s="1"/>
  <c r="C173" i="7" s="1"/>
  <c r="C173" i="8" s="1"/>
  <c r="B173" i="4"/>
  <c r="C172" i="4"/>
  <c r="C172" i="5" s="1"/>
  <c r="C172" i="6" s="1"/>
  <c r="C172" i="7" s="1"/>
  <c r="C172" i="8" s="1"/>
  <c r="B172" i="4"/>
  <c r="C171" i="4"/>
  <c r="C171" i="5" s="1"/>
  <c r="C171" i="6" s="1"/>
  <c r="C171" i="7" s="1"/>
  <c r="C171" i="8" s="1"/>
  <c r="B171" i="4"/>
  <c r="C170" i="4"/>
  <c r="C170" i="5" s="1"/>
  <c r="C170" i="6" s="1"/>
  <c r="C170" i="7" s="1"/>
  <c r="C170" i="8" s="1"/>
  <c r="B170" i="4"/>
  <c r="B170" i="5" s="1"/>
  <c r="B170" i="6" s="1"/>
  <c r="AH170" i="6" s="1"/>
  <c r="C169" i="4"/>
  <c r="C169" i="5" s="1"/>
  <c r="C169" i="6" s="1"/>
  <c r="C169" i="7" s="1"/>
  <c r="C169" i="8" s="1"/>
  <c r="B169" i="4"/>
  <c r="B169" i="5" s="1"/>
  <c r="O169" i="5" s="1"/>
  <c r="O169" i="8" s="1"/>
  <c r="AB169" i="8" s="1"/>
  <c r="AC169" i="8" s="1"/>
  <c r="AD169" i="8" s="1"/>
  <c r="AE169" i="8" s="1"/>
  <c r="C168" i="4"/>
  <c r="C168" i="5" s="1"/>
  <c r="C168" i="6" s="1"/>
  <c r="C168" i="7" s="1"/>
  <c r="C168" i="8" s="1"/>
  <c r="B168" i="4"/>
  <c r="C167" i="4"/>
  <c r="C167" i="5" s="1"/>
  <c r="C167" i="6" s="1"/>
  <c r="C167" i="7" s="1"/>
  <c r="C167" i="8" s="1"/>
  <c r="B167" i="4"/>
  <c r="B167" i="5" s="1"/>
  <c r="B167" i="6" s="1"/>
  <c r="C166" i="4"/>
  <c r="C166" i="5" s="1"/>
  <c r="C166" i="6" s="1"/>
  <c r="C166" i="7" s="1"/>
  <c r="C166" i="8" s="1"/>
  <c r="B166" i="4"/>
  <c r="C165" i="4"/>
  <c r="C165" i="5" s="1"/>
  <c r="C165" i="6" s="1"/>
  <c r="C165" i="7" s="1"/>
  <c r="C165" i="8" s="1"/>
  <c r="B165" i="4"/>
  <c r="N165" i="4" s="1"/>
  <c r="C164" i="4"/>
  <c r="C164" i="5" s="1"/>
  <c r="C164" i="6" s="1"/>
  <c r="C164" i="7" s="1"/>
  <c r="C164" i="8" s="1"/>
  <c r="B164" i="4"/>
  <c r="C163" i="4"/>
  <c r="C163" i="5" s="1"/>
  <c r="C163" i="6" s="1"/>
  <c r="C163" i="7" s="1"/>
  <c r="C163" i="8" s="1"/>
  <c r="B163" i="4"/>
  <c r="C162" i="4"/>
  <c r="C162" i="5" s="1"/>
  <c r="C162" i="6" s="1"/>
  <c r="C162" i="7" s="1"/>
  <c r="C162" i="8" s="1"/>
  <c r="B162" i="4"/>
  <c r="B162" i="5" s="1"/>
  <c r="O162" i="5" s="1"/>
  <c r="O162" i="8" s="1"/>
  <c r="AB162" i="8" s="1"/>
  <c r="AC162" i="8" s="1"/>
  <c r="AD162" i="8" s="1"/>
  <c r="AE162" i="8" s="1"/>
  <c r="C161" i="4"/>
  <c r="C161" i="5" s="1"/>
  <c r="C161" i="6" s="1"/>
  <c r="C161" i="7" s="1"/>
  <c r="C161" i="8" s="1"/>
  <c r="B161" i="4"/>
  <c r="B161" i="5" s="1"/>
  <c r="C160" i="4"/>
  <c r="C160" i="5" s="1"/>
  <c r="C160" i="6" s="1"/>
  <c r="C160" i="7" s="1"/>
  <c r="C160" i="8" s="1"/>
  <c r="B160" i="4"/>
  <c r="C159" i="4"/>
  <c r="C159" i="5" s="1"/>
  <c r="C159" i="6" s="1"/>
  <c r="C159" i="7" s="1"/>
  <c r="C159" i="8" s="1"/>
  <c r="B159" i="4"/>
  <c r="B159" i="5" s="1"/>
  <c r="C158" i="4"/>
  <c r="C158" i="5" s="1"/>
  <c r="C158" i="6" s="1"/>
  <c r="C158" i="7" s="1"/>
  <c r="C158" i="8" s="1"/>
  <c r="B158" i="4"/>
  <c r="C157" i="4"/>
  <c r="C157" i="5" s="1"/>
  <c r="C157" i="6" s="1"/>
  <c r="C157" i="7" s="1"/>
  <c r="C157" i="8" s="1"/>
  <c r="B157" i="4"/>
  <c r="C156" i="4"/>
  <c r="C156" i="5" s="1"/>
  <c r="C156" i="6" s="1"/>
  <c r="C156" i="7" s="1"/>
  <c r="C156" i="8" s="1"/>
  <c r="B156" i="4"/>
  <c r="C155" i="4"/>
  <c r="C155" i="5" s="1"/>
  <c r="C155" i="6" s="1"/>
  <c r="C155" i="7" s="1"/>
  <c r="C155" i="8" s="1"/>
  <c r="B155" i="4"/>
  <c r="C154" i="4"/>
  <c r="C154" i="5" s="1"/>
  <c r="C154" i="6" s="1"/>
  <c r="C154" i="7" s="1"/>
  <c r="C154" i="8" s="1"/>
  <c r="B154" i="4"/>
  <c r="B154" i="5" s="1"/>
  <c r="C153" i="4"/>
  <c r="C153" i="5" s="1"/>
  <c r="C153" i="6" s="1"/>
  <c r="C153" i="7" s="1"/>
  <c r="C153" i="8" s="1"/>
  <c r="B153" i="4"/>
  <c r="B153" i="5" s="1"/>
  <c r="C152" i="4"/>
  <c r="C152" i="5" s="1"/>
  <c r="C152" i="6" s="1"/>
  <c r="C152" i="7" s="1"/>
  <c r="C152" i="8" s="1"/>
  <c r="B152" i="4"/>
  <c r="C151" i="4"/>
  <c r="C151" i="5" s="1"/>
  <c r="C151" i="6" s="1"/>
  <c r="C151" i="7" s="1"/>
  <c r="C151" i="8" s="1"/>
  <c r="B151" i="4"/>
  <c r="B151" i="5" s="1"/>
  <c r="B149" i="4"/>
  <c r="B149" i="5" s="1"/>
  <c r="B149" i="6" s="1"/>
  <c r="B149" i="7" s="1"/>
  <c r="B149" i="8" s="1"/>
  <c r="B148" i="4"/>
  <c r="B148" i="5" s="1"/>
  <c r="B148" i="6" s="1"/>
  <c r="B148" i="7" s="1"/>
  <c r="B148" i="8" s="1"/>
  <c r="B147" i="4"/>
  <c r="B147" i="5" s="1"/>
  <c r="B147" i="6" s="1"/>
  <c r="B147" i="7" s="1"/>
  <c r="B147" i="8" s="1"/>
  <c r="B146" i="4"/>
  <c r="B146" i="5" s="1"/>
  <c r="B145" i="4"/>
  <c r="B145" i="5" s="1"/>
  <c r="B145" i="6" s="1"/>
  <c r="B145" i="7" s="1"/>
  <c r="B145" i="8" s="1"/>
  <c r="C144" i="4"/>
  <c r="C144" i="5" s="1"/>
  <c r="C144" i="6" s="1"/>
  <c r="C144" i="7" s="1"/>
  <c r="C144" i="8" s="1"/>
  <c r="B144" i="4"/>
  <c r="B144" i="5" s="1"/>
  <c r="C143" i="4"/>
  <c r="C143" i="5" s="1"/>
  <c r="C143" i="6" s="1"/>
  <c r="C143" i="7" s="1"/>
  <c r="C143" i="8" s="1"/>
  <c r="B143" i="4"/>
  <c r="C142" i="4"/>
  <c r="C142" i="5" s="1"/>
  <c r="C142" i="6" s="1"/>
  <c r="C142" i="7" s="1"/>
  <c r="C142" i="8" s="1"/>
  <c r="B142" i="4"/>
  <c r="B142" i="5" s="1"/>
  <c r="C141" i="4"/>
  <c r="C141" i="5" s="1"/>
  <c r="C141" i="6" s="1"/>
  <c r="C141" i="7" s="1"/>
  <c r="C141" i="8" s="1"/>
  <c r="B141" i="4"/>
  <c r="C140" i="4"/>
  <c r="C140" i="5" s="1"/>
  <c r="C140" i="6" s="1"/>
  <c r="C140" i="7" s="1"/>
  <c r="C140" i="8" s="1"/>
  <c r="B140" i="4"/>
  <c r="C139" i="4"/>
  <c r="C139" i="5" s="1"/>
  <c r="C139" i="6" s="1"/>
  <c r="C139" i="7" s="1"/>
  <c r="C139" i="8" s="1"/>
  <c r="B139" i="4"/>
  <c r="B139" i="5" s="1"/>
  <c r="C138" i="4"/>
  <c r="C138" i="5" s="1"/>
  <c r="C138" i="6" s="1"/>
  <c r="C138" i="7" s="1"/>
  <c r="C138" i="8" s="1"/>
  <c r="B138" i="4"/>
  <c r="C137" i="4"/>
  <c r="C137" i="5" s="1"/>
  <c r="C137" i="6" s="1"/>
  <c r="C137" i="7" s="1"/>
  <c r="C137" i="8" s="1"/>
  <c r="B137" i="4"/>
  <c r="C136" i="4"/>
  <c r="C136" i="5" s="1"/>
  <c r="C136" i="6" s="1"/>
  <c r="C136" i="7" s="1"/>
  <c r="C136" i="8" s="1"/>
  <c r="B136" i="4"/>
  <c r="B136" i="5" s="1"/>
  <c r="C135" i="4"/>
  <c r="C135" i="5" s="1"/>
  <c r="C135" i="6" s="1"/>
  <c r="C135" i="7" s="1"/>
  <c r="C135" i="8" s="1"/>
  <c r="B135" i="4"/>
  <c r="C134" i="4"/>
  <c r="C134" i="5" s="1"/>
  <c r="C134" i="6" s="1"/>
  <c r="C134" i="7" s="1"/>
  <c r="C134" i="8" s="1"/>
  <c r="B134" i="4"/>
  <c r="N134" i="4" s="1"/>
  <c r="C133" i="4"/>
  <c r="C133" i="5" s="1"/>
  <c r="C133" i="6" s="1"/>
  <c r="C133" i="7" s="1"/>
  <c r="C133" i="8" s="1"/>
  <c r="B133" i="4"/>
  <c r="N133" i="4" s="1"/>
  <c r="C132" i="4"/>
  <c r="C132" i="5" s="1"/>
  <c r="C132" i="6" s="1"/>
  <c r="C132" i="7" s="1"/>
  <c r="C132" i="8" s="1"/>
  <c r="B132" i="4"/>
  <c r="C131" i="4"/>
  <c r="C131" i="5" s="1"/>
  <c r="C131" i="6" s="1"/>
  <c r="C131" i="7" s="1"/>
  <c r="C131" i="8" s="1"/>
  <c r="B131" i="4"/>
  <c r="B131" i="5" s="1"/>
  <c r="C130" i="4"/>
  <c r="C130" i="5" s="1"/>
  <c r="C130" i="6" s="1"/>
  <c r="C130" i="7" s="1"/>
  <c r="C130" i="8" s="1"/>
  <c r="B130" i="4"/>
  <c r="C129" i="4"/>
  <c r="C129" i="5" s="1"/>
  <c r="C129" i="6" s="1"/>
  <c r="C129" i="7" s="1"/>
  <c r="C129" i="8" s="1"/>
  <c r="B129" i="4"/>
  <c r="C128" i="4"/>
  <c r="C128" i="5" s="1"/>
  <c r="C128" i="6" s="1"/>
  <c r="C128" i="7" s="1"/>
  <c r="C128" i="8" s="1"/>
  <c r="B128" i="4"/>
  <c r="C127" i="4"/>
  <c r="C127" i="5" s="1"/>
  <c r="C127" i="6" s="1"/>
  <c r="C127" i="7" s="1"/>
  <c r="C127" i="8" s="1"/>
  <c r="B127" i="4"/>
  <c r="C126" i="4"/>
  <c r="C126" i="5" s="1"/>
  <c r="C126" i="6" s="1"/>
  <c r="C126" i="7" s="1"/>
  <c r="C126" i="8" s="1"/>
  <c r="B126" i="4"/>
  <c r="B126" i="5" s="1"/>
  <c r="C125" i="4"/>
  <c r="C125" i="5" s="1"/>
  <c r="C125" i="6" s="1"/>
  <c r="C125" i="7" s="1"/>
  <c r="C125" i="8" s="1"/>
  <c r="B125" i="4"/>
  <c r="N125" i="4" s="1"/>
  <c r="C124" i="4"/>
  <c r="C124" i="5" s="1"/>
  <c r="C124" i="6" s="1"/>
  <c r="C124" i="7" s="1"/>
  <c r="C124" i="8" s="1"/>
  <c r="B124" i="4"/>
  <c r="C123" i="4"/>
  <c r="C123" i="5" s="1"/>
  <c r="C123" i="6" s="1"/>
  <c r="C123" i="7" s="1"/>
  <c r="C123" i="8" s="1"/>
  <c r="B123" i="4"/>
  <c r="B123" i="5" s="1"/>
  <c r="C122" i="4"/>
  <c r="C122" i="5" s="1"/>
  <c r="C122" i="6" s="1"/>
  <c r="C122" i="7" s="1"/>
  <c r="C122" i="8" s="1"/>
  <c r="B122" i="4"/>
  <c r="C121" i="4"/>
  <c r="C121" i="5" s="1"/>
  <c r="C121" i="6" s="1"/>
  <c r="C121" i="7" s="1"/>
  <c r="C121" i="8" s="1"/>
  <c r="B121" i="4"/>
  <c r="C120" i="4"/>
  <c r="C120" i="5" s="1"/>
  <c r="C120" i="6" s="1"/>
  <c r="C120" i="7" s="1"/>
  <c r="C120" i="8" s="1"/>
  <c r="B120" i="4"/>
  <c r="C119" i="4"/>
  <c r="C119" i="5" s="1"/>
  <c r="C119" i="6" s="1"/>
  <c r="C119" i="7" s="1"/>
  <c r="C119" i="8" s="1"/>
  <c r="B119" i="4"/>
  <c r="C118" i="4"/>
  <c r="C118" i="5" s="1"/>
  <c r="C118" i="6" s="1"/>
  <c r="C118" i="7" s="1"/>
  <c r="C118" i="8" s="1"/>
  <c r="B118" i="4"/>
  <c r="B118" i="5" s="1"/>
  <c r="C117" i="4"/>
  <c r="C117" i="5" s="1"/>
  <c r="C117" i="6" s="1"/>
  <c r="C117" i="7" s="1"/>
  <c r="C117" i="8" s="1"/>
  <c r="B117" i="4"/>
  <c r="N117" i="4" s="1"/>
  <c r="C116" i="4"/>
  <c r="C116" i="5" s="1"/>
  <c r="C116" i="6" s="1"/>
  <c r="C116" i="7" s="1"/>
  <c r="C116" i="8" s="1"/>
  <c r="B116" i="4"/>
  <c r="C115" i="4"/>
  <c r="C115" i="5" s="1"/>
  <c r="C115" i="6" s="1"/>
  <c r="C115" i="7" s="1"/>
  <c r="C115" i="8" s="1"/>
  <c r="B115" i="4"/>
  <c r="B113" i="4"/>
  <c r="B113" i="5" s="1"/>
  <c r="B113" i="6" s="1"/>
  <c r="B113" i="7" s="1"/>
  <c r="B113" i="8" s="1"/>
  <c r="B112" i="4"/>
  <c r="B112" i="5" s="1"/>
  <c r="B112" i="6" s="1"/>
  <c r="B112" i="7" s="1"/>
  <c r="B112" i="8" s="1"/>
  <c r="B111" i="4"/>
  <c r="B111" i="5" s="1"/>
  <c r="B111" i="6" s="1"/>
  <c r="B111" i="7" s="1"/>
  <c r="B111" i="8" s="1"/>
  <c r="B110" i="4"/>
  <c r="B110" i="5" s="1"/>
  <c r="B109" i="4"/>
  <c r="B109" i="5" s="1"/>
  <c r="B109" i="6" s="1"/>
  <c r="B109" i="7" s="1"/>
  <c r="B109" i="8" s="1"/>
  <c r="C108" i="4"/>
  <c r="C108" i="5" s="1"/>
  <c r="C108" i="6" s="1"/>
  <c r="C108" i="7" s="1"/>
  <c r="C108" i="8" s="1"/>
  <c r="B108" i="4"/>
  <c r="C107" i="4"/>
  <c r="C107" i="5" s="1"/>
  <c r="C107" i="6" s="1"/>
  <c r="C107" i="7" s="1"/>
  <c r="C107" i="8" s="1"/>
  <c r="B107" i="4"/>
  <c r="C106" i="4"/>
  <c r="C106" i="5" s="1"/>
  <c r="C106" i="6" s="1"/>
  <c r="C106" i="7" s="1"/>
  <c r="C106" i="8" s="1"/>
  <c r="B106" i="4"/>
  <c r="B106" i="5" s="1"/>
  <c r="C105" i="4"/>
  <c r="C105" i="5" s="1"/>
  <c r="C105" i="6" s="1"/>
  <c r="C105" i="7" s="1"/>
  <c r="C105" i="8" s="1"/>
  <c r="B105" i="4"/>
  <c r="B105" i="5" s="1"/>
  <c r="C104" i="4"/>
  <c r="C104" i="5" s="1"/>
  <c r="C104" i="6" s="1"/>
  <c r="C104" i="7" s="1"/>
  <c r="C104" i="8" s="1"/>
  <c r="B104" i="4"/>
  <c r="C103" i="4"/>
  <c r="C103" i="5" s="1"/>
  <c r="C103" i="6" s="1"/>
  <c r="C103" i="7" s="1"/>
  <c r="C103" i="8" s="1"/>
  <c r="B103" i="4"/>
  <c r="C102" i="4"/>
  <c r="C102" i="5" s="1"/>
  <c r="C102" i="6" s="1"/>
  <c r="C102" i="7" s="1"/>
  <c r="C102" i="8" s="1"/>
  <c r="B102" i="4"/>
  <c r="N102" i="4" s="1"/>
  <c r="C101" i="4"/>
  <c r="C101" i="5" s="1"/>
  <c r="C101" i="6" s="1"/>
  <c r="C101" i="7" s="1"/>
  <c r="C101" i="8" s="1"/>
  <c r="B101" i="4"/>
  <c r="N101" i="4" s="1"/>
  <c r="C100" i="4"/>
  <c r="C100" i="5" s="1"/>
  <c r="C100" i="6" s="1"/>
  <c r="C100" i="7" s="1"/>
  <c r="C100" i="8" s="1"/>
  <c r="B100" i="4"/>
  <c r="C99" i="4"/>
  <c r="C99" i="5" s="1"/>
  <c r="C99" i="6" s="1"/>
  <c r="C99" i="7" s="1"/>
  <c r="C99" i="8" s="1"/>
  <c r="B99" i="4"/>
  <c r="C98" i="4"/>
  <c r="C98" i="5" s="1"/>
  <c r="C98" i="6" s="1"/>
  <c r="C98" i="7" s="1"/>
  <c r="C98" i="8" s="1"/>
  <c r="B98" i="4"/>
  <c r="C97" i="4"/>
  <c r="C97" i="5" s="1"/>
  <c r="C97" i="6" s="1"/>
  <c r="C97" i="7" s="1"/>
  <c r="C97" i="8" s="1"/>
  <c r="B97" i="4"/>
  <c r="B97" i="5" s="1"/>
  <c r="O97" i="5" s="1"/>
  <c r="O97" i="8" s="1"/>
  <c r="AB97" i="8" s="1"/>
  <c r="AC97" i="8" s="1"/>
  <c r="AD97" i="8" s="1"/>
  <c r="AE97" i="8" s="1"/>
  <c r="C96" i="4"/>
  <c r="C96" i="5" s="1"/>
  <c r="C96" i="6" s="1"/>
  <c r="C96" i="7" s="1"/>
  <c r="C96" i="8" s="1"/>
  <c r="B96" i="4"/>
  <c r="C95" i="4"/>
  <c r="C95" i="5" s="1"/>
  <c r="C95" i="6" s="1"/>
  <c r="C95" i="7" s="1"/>
  <c r="C95" i="8" s="1"/>
  <c r="B95" i="4"/>
  <c r="B95" i="5" s="1"/>
  <c r="C94" i="4"/>
  <c r="C94" i="5" s="1"/>
  <c r="C94" i="6" s="1"/>
  <c r="C94" i="7" s="1"/>
  <c r="C94" i="8" s="1"/>
  <c r="B94" i="4"/>
  <c r="C93" i="4"/>
  <c r="C93" i="5" s="1"/>
  <c r="C93" i="6" s="1"/>
  <c r="C93" i="7" s="1"/>
  <c r="C93" i="8" s="1"/>
  <c r="B93" i="4"/>
  <c r="N93" i="4" s="1"/>
  <c r="C92" i="4"/>
  <c r="C92" i="5" s="1"/>
  <c r="C92" i="6" s="1"/>
  <c r="C92" i="7" s="1"/>
  <c r="C92" i="8" s="1"/>
  <c r="B92" i="4"/>
  <c r="C91" i="4"/>
  <c r="C91" i="5" s="1"/>
  <c r="C91" i="6" s="1"/>
  <c r="C91" i="7" s="1"/>
  <c r="C91" i="8" s="1"/>
  <c r="B91" i="4"/>
  <c r="C90" i="4"/>
  <c r="C90" i="5" s="1"/>
  <c r="C90" i="6" s="1"/>
  <c r="C90" i="7" s="1"/>
  <c r="C90" i="8" s="1"/>
  <c r="B90" i="4"/>
  <c r="B90" i="5" s="1"/>
  <c r="C89" i="4"/>
  <c r="C89" i="5" s="1"/>
  <c r="C89" i="6" s="1"/>
  <c r="C89" i="7" s="1"/>
  <c r="C89" i="8" s="1"/>
  <c r="B89" i="4"/>
  <c r="B89" i="5" s="1"/>
  <c r="C88" i="4"/>
  <c r="C88" i="5" s="1"/>
  <c r="C88" i="6" s="1"/>
  <c r="C88" i="7" s="1"/>
  <c r="C88" i="8" s="1"/>
  <c r="B88" i="4"/>
  <c r="C87" i="4"/>
  <c r="C87" i="5" s="1"/>
  <c r="C87" i="6" s="1"/>
  <c r="C87" i="7" s="1"/>
  <c r="C87" i="8" s="1"/>
  <c r="B87" i="4"/>
  <c r="C86" i="4"/>
  <c r="C86" i="5" s="1"/>
  <c r="C86" i="6" s="1"/>
  <c r="C86" i="7" s="1"/>
  <c r="C86" i="8" s="1"/>
  <c r="B86" i="4"/>
  <c r="N86" i="4" s="1"/>
  <c r="C85" i="4"/>
  <c r="C85" i="5" s="1"/>
  <c r="C85" i="6" s="1"/>
  <c r="C85" i="7" s="1"/>
  <c r="C85" i="8" s="1"/>
  <c r="B85" i="4"/>
  <c r="N85" i="4" s="1"/>
  <c r="C84" i="4"/>
  <c r="C84" i="5" s="1"/>
  <c r="C84" i="6" s="1"/>
  <c r="C84" i="7" s="1"/>
  <c r="C84" i="8" s="1"/>
  <c r="B84" i="4"/>
  <c r="C83" i="4"/>
  <c r="C83" i="5" s="1"/>
  <c r="C83" i="6" s="1"/>
  <c r="C83" i="7" s="1"/>
  <c r="C83" i="8" s="1"/>
  <c r="B83" i="4"/>
  <c r="C82" i="4"/>
  <c r="C82" i="5" s="1"/>
  <c r="C82" i="6" s="1"/>
  <c r="C82" i="7" s="1"/>
  <c r="C82" i="8" s="1"/>
  <c r="B82" i="4"/>
  <c r="B82" i="5" s="1"/>
  <c r="C81" i="4"/>
  <c r="C81" i="5" s="1"/>
  <c r="C81" i="6" s="1"/>
  <c r="C81" i="7" s="1"/>
  <c r="C81" i="8" s="1"/>
  <c r="B81" i="4"/>
  <c r="N81" i="4" s="1"/>
  <c r="C80" i="4"/>
  <c r="C80" i="5" s="1"/>
  <c r="C80" i="6" s="1"/>
  <c r="C80" i="7" s="1"/>
  <c r="C80" i="8" s="1"/>
  <c r="B80" i="4"/>
  <c r="C79" i="4"/>
  <c r="C79" i="5" s="1"/>
  <c r="C79" i="6" s="1"/>
  <c r="C79" i="7" s="1"/>
  <c r="C79" i="8" s="1"/>
  <c r="B79" i="4"/>
  <c r="B79" i="5" s="1"/>
  <c r="B77" i="4"/>
  <c r="B77" i="5" s="1"/>
  <c r="B77" i="6" s="1"/>
  <c r="B77" i="7" s="1"/>
  <c r="B77" i="8" s="1"/>
  <c r="B76" i="4"/>
  <c r="B76" i="5" s="1"/>
  <c r="B76" i="6" s="1"/>
  <c r="B76" i="7" s="1"/>
  <c r="B76" i="8" s="1"/>
  <c r="B75" i="4"/>
  <c r="B75" i="5" s="1"/>
  <c r="B75" i="6" s="1"/>
  <c r="B75" i="7" s="1"/>
  <c r="B75" i="8" s="1"/>
  <c r="B74" i="4"/>
  <c r="B73" i="4"/>
  <c r="B73" i="5" s="1"/>
  <c r="B73" i="6" s="1"/>
  <c r="B73" i="7" s="1"/>
  <c r="B73" i="8" s="1"/>
  <c r="C72" i="4"/>
  <c r="C72" i="5" s="1"/>
  <c r="C72" i="6" s="1"/>
  <c r="C72" i="7" s="1"/>
  <c r="C72" i="8" s="1"/>
  <c r="B72" i="4"/>
  <c r="C71" i="4"/>
  <c r="C71" i="5" s="1"/>
  <c r="C71" i="6" s="1"/>
  <c r="C71" i="7" s="1"/>
  <c r="C71" i="8" s="1"/>
  <c r="B71" i="4"/>
  <c r="C70" i="4"/>
  <c r="C70" i="5" s="1"/>
  <c r="C70" i="6" s="1"/>
  <c r="C70" i="7" s="1"/>
  <c r="C70" i="8" s="1"/>
  <c r="B70" i="4"/>
  <c r="C69" i="4"/>
  <c r="C69" i="5" s="1"/>
  <c r="C69" i="6" s="1"/>
  <c r="C69" i="7" s="1"/>
  <c r="C69" i="8" s="1"/>
  <c r="B69" i="4"/>
  <c r="C68" i="4"/>
  <c r="C68" i="5" s="1"/>
  <c r="C68" i="6" s="1"/>
  <c r="C68" i="7" s="1"/>
  <c r="C68" i="8" s="1"/>
  <c r="B68" i="4"/>
  <c r="C67" i="4"/>
  <c r="C67" i="5" s="1"/>
  <c r="C67" i="6" s="1"/>
  <c r="C67" i="7" s="1"/>
  <c r="C67" i="8" s="1"/>
  <c r="B67" i="4"/>
  <c r="B67" i="5" s="1"/>
  <c r="B67" i="6" s="1"/>
  <c r="AH67" i="6" s="1"/>
  <c r="C66" i="4"/>
  <c r="C66" i="5" s="1"/>
  <c r="C66" i="6" s="1"/>
  <c r="C66" i="7" s="1"/>
  <c r="C66" i="8" s="1"/>
  <c r="B66" i="4"/>
  <c r="N66" i="4" s="1"/>
  <c r="C65" i="4"/>
  <c r="C65" i="5" s="1"/>
  <c r="C65" i="6" s="1"/>
  <c r="C65" i="7" s="1"/>
  <c r="C65" i="8" s="1"/>
  <c r="B65" i="4"/>
  <c r="N65" i="4" s="1"/>
  <c r="C64" i="4"/>
  <c r="C64" i="5" s="1"/>
  <c r="C64" i="6" s="1"/>
  <c r="C64" i="7" s="1"/>
  <c r="C64" i="8" s="1"/>
  <c r="B64" i="4"/>
  <c r="C63" i="4"/>
  <c r="C63" i="5" s="1"/>
  <c r="C63" i="6" s="1"/>
  <c r="C63" i="7" s="1"/>
  <c r="C63" i="8" s="1"/>
  <c r="B63" i="4"/>
  <c r="C62" i="4"/>
  <c r="C62" i="5" s="1"/>
  <c r="C62" i="6" s="1"/>
  <c r="C62" i="7" s="1"/>
  <c r="C62" i="8" s="1"/>
  <c r="B62" i="4"/>
  <c r="B62" i="5" s="1"/>
  <c r="C61" i="4"/>
  <c r="C61" i="5" s="1"/>
  <c r="C61" i="6" s="1"/>
  <c r="C61" i="7" s="1"/>
  <c r="C61" i="8" s="1"/>
  <c r="B61" i="4"/>
  <c r="D3" i="4"/>
  <c r="D2" i="8" s="1"/>
  <c r="AH216" i="3"/>
  <c r="AH215" i="3"/>
  <c r="D215" i="5" s="1"/>
  <c r="D215" i="8" s="1"/>
  <c r="AH214" i="3"/>
  <c r="D214" i="5" s="1"/>
  <c r="D214" i="8" s="1"/>
  <c r="AH213" i="3"/>
  <c r="D213" i="5" s="1"/>
  <c r="D213" i="8" s="1"/>
  <c r="AH212" i="3"/>
  <c r="D212" i="5" s="1"/>
  <c r="D212" i="8" s="1"/>
  <c r="AH211" i="3"/>
  <c r="AH210" i="3"/>
  <c r="D210" i="5" s="1"/>
  <c r="D210" i="8" s="1"/>
  <c r="AH209" i="3"/>
  <c r="D209" i="5" s="1"/>
  <c r="D209" i="8" s="1"/>
  <c r="AH208" i="3"/>
  <c r="AH207" i="3"/>
  <c r="D207" i="5" s="1"/>
  <c r="D207" i="8" s="1"/>
  <c r="AH206" i="3"/>
  <c r="D206" i="5" s="1"/>
  <c r="D206" i="8" s="1"/>
  <c r="AH205" i="3"/>
  <c r="D205" i="5" s="1"/>
  <c r="D205" i="8" s="1"/>
  <c r="AH204" i="3"/>
  <c r="D204" i="5" s="1"/>
  <c r="D204" i="8" s="1"/>
  <c r="AH203" i="3"/>
  <c r="AH202" i="3"/>
  <c r="D202" i="5" s="1"/>
  <c r="D202" i="8" s="1"/>
  <c r="AH201" i="3"/>
  <c r="D201" i="5" s="1"/>
  <c r="D201" i="8" s="1"/>
  <c r="AH200" i="3"/>
  <c r="AH199" i="3"/>
  <c r="D199" i="5" s="1"/>
  <c r="D199" i="8" s="1"/>
  <c r="AH198" i="3"/>
  <c r="D198" i="5" s="1"/>
  <c r="D198" i="8" s="1"/>
  <c r="AH197" i="3"/>
  <c r="D197" i="5" s="1"/>
  <c r="D197" i="8" s="1"/>
  <c r="AH196" i="3"/>
  <c r="D196" i="5" s="1"/>
  <c r="D196" i="8" s="1"/>
  <c r="AH195" i="3"/>
  <c r="AH194" i="3"/>
  <c r="D194" i="5" s="1"/>
  <c r="D194" i="8" s="1"/>
  <c r="AH193" i="3"/>
  <c r="D193" i="5" s="1"/>
  <c r="D193" i="8" s="1"/>
  <c r="AH192" i="3"/>
  <c r="AH191" i="3"/>
  <c r="D191" i="5" s="1"/>
  <c r="D191" i="8" s="1"/>
  <c r="AH190" i="3"/>
  <c r="D190" i="5" s="1"/>
  <c r="D190" i="8" s="1"/>
  <c r="AH189" i="3"/>
  <c r="D189" i="5" s="1"/>
  <c r="D189" i="8" s="1"/>
  <c r="AH188" i="3"/>
  <c r="D188" i="5" s="1"/>
  <c r="D188" i="8" s="1"/>
  <c r="AH187" i="3"/>
  <c r="AH180" i="3"/>
  <c r="D180" i="5" s="1"/>
  <c r="D180" i="8" s="1"/>
  <c r="AH179" i="3"/>
  <c r="D179" i="5" s="1"/>
  <c r="D179" i="8" s="1"/>
  <c r="AH178" i="3"/>
  <c r="AH177" i="3"/>
  <c r="D177" i="5" s="1"/>
  <c r="D177" i="8" s="1"/>
  <c r="AH176" i="3"/>
  <c r="D176" i="5" s="1"/>
  <c r="D176" i="8" s="1"/>
  <c r="AH175" i="3"/>
  <c r="D175" i="5" s="1"/>
  <c r="D175" i="8" s="1"/>
  <c r="AH174" i="3"/>
  <c r="D174" i="5" s="1"/>
  <c r="D174" i="8" s="1"/>
  <c r="AH173" i="3"/>
  <c r="AH172" i="3"/>
  <c r="D172" i="5" s="1"/>
  <c r="D172" i="8" s="1"/>
  <c r="AH171" i="3"/>
  <c r="D171" i="5" s="1"/>
  <c r="D171" i="8" s="1"/>
  <c r="AH170" i="3"/>
  <c r="AH169" i="3"/>
  <c r="D169" i="5" s="1"/>
  <c r="D169" i="8" s="1"/>
  <c r="AH168" i="3"/>
  <c r="D168" i="5" s="1"/>
  <c r="D168" i="8" s="1"/>
  <c r="AH167" i="3"/>
  <c r="D167" i="5" s="1"/>
  <c r="D167" i="8" s="1"/>
  <c r="AH166" i="3"/>
  <c r="D166" i="5" s="1"/>
  <c r="D166" i="8" s="1"/>
  <c r="AH165" i="3"/>
  <c r="AH164" i="3"/>
  <c r="D164" i="5" s="1"/>
  <c r="D164" i="8" s="1"/>
  <c r="AH163" i="3"/>
  <c r="D163" i="5" s="1"/>
  <c r="D163" i="8" s="1"/>
  <c r="AH162" i="3"/>
  <c r="AH161" i="3"/>
  <c r="D161" i="5" s="1"/>
  <c r="D161" i="8" s="1"/>
  <c r="AH160" i="3"/>
  <c r="D160" i="5" s="1"/>
  <c r="D160" i="8" s="1"/>
  <c r="AH159" i="3"/>
  <c r="D159" i="5" s="1"/>
  <c r="D159" i="8" s="1"/>
  <c r="AH158" i="3"/>
  <c r="D158" i="5" s="1"/>
  <c r="D158" i="8" s="1"/>
  <c r="AH157" i="3"/>
  <c r="AH156" i="3"/>
  <c r="D156" i="5" s="1"/>
  <c r="D156" i="8" s="1"/>
  <c r="AH155" i="3"/>
  <c r="D155" i="5" s="1"/>
  <c r="D155" i="8" s="1"/>
  <c r="AH154" i="3"/>
  <c r="AH153" i="3"/>
  <c r="D153" i="5" s="1"/>
  <c r="D153" i="8" s="1"/>
  <c r="AH152" i="3"/>
  <c r="D152" i="5" s="1"/>
  <c r="D152" i="8" s="1"/>
  <c r="AH151" i="3"/>
  <c r="D151" i="5" s="1"/>
  <c r="D151" i="8" s="1"/>
  <c r="AH144" i="3"/>
  <c r="D144" i="5" s="1"/>
  <c r="D144" i="8" s="1"/>
  <c r="AH143" i="3"/>
  <c r="AH142" i="3"/>
  <c r="D142" i="5" s="1"/>
  <c r="D142" i="8" s="1"/>
  <c r="AH141" i="3"/>
  <c r="D141" i="5" s="1"/>
  <c r="D141" i="8" s="1"/>
  <c r="AH140" i="3"/>
  <c r="AH139" i="3"/>
  <c r="D139" i="5" s="1"/>
  <c r="D139" i="8" s="1"/>
  <c r="AH138" i="3"/>
  <c r="D138" i="5" s="1"/>
  <c r="D138" i="8" s="1"/>
  <c r="AH137" i="3"/>
  <c r="D137" i="5" s="1"/>
  <c r="D137" i="8" s="1"/>
  <c r="AH136" i="3"/>
  <c r="D136" i="5" s="1"/>
  <c r="D136" i="8" s="1"/>
  <c r="AH135" i="3"/>
  <c r="AH134" i="3"/>
  <c r="D134" i="5" s="1"/>
  <c r="D134" i="8" s="1"/>
  <c r="AH133" i="3"/>
  <c r="D133" i="5" s="1"/>
  <c r="D133" i="8" s="1"/>
  <c r="AH132" i="3"/>
  <c r="AH131" i="3"/>
  <c r="D131" i="5" s="1"/>
  <c r="D131" i="8" s="1"/>
  <c r="AH130" i="3"/>
  <c r="D130" i="5" s="1"/>
  <c r="D130" i="8" s="1"/>
  <c r="AH129" i="3"/>
  <c r="D129" i="5" s="1"/>
  <c r="D129" i="8" s="1"/>
  <c r="AH128" i="3"/>
  <c r="D128" i="5" s="1"/>
  <c r="D128" i="8" s="1"/>
  <c r="AH127" i="3"/>
  <c r="AH126" i="3"/>
  <c r="D126" i="5" s="1"/>
  <c r="D126" i="8" s="1"/>
  <c r="AH125" i="3"/>
  <c r="D125" i="5" s="1"/>
  <c r="D125" i="8" s="1"/>
  <c r="AH124" i="3"/>
  <c r="AH123" i="3"/>
  <c r="D123" i="5" s="1"/>
  <c r="D123" i="8" s="1"/>
  <c r="AH122" i="3"/>
  <c r="D122" i="5" s="1"/>
  <c r="D122" i="8" s="1"/>
  <c r="AH121" i="3"/>
  <c r="D121" i="5" s="1"/>
  <c r="D121" i="8" s="1"/>
  <c r="AH120" i="3"/>
  <c r="D120" i="5" s="1"/>
  <c r="D120" i="8" s="1"/>
  <c r="AH119" i="3"/>
  <c r="AH118" i="3"/>
  <c r="D118" i="5" s="1"/>
  <c r="D118" i="8" s="1"/>
  <c r="AH117" i="3"/>
  <c r="D117" i="5" s="1"/>
  <c r="D117" i="8" s="1"/>
  <c r="AH116" i="3"/>
  <c r="AH115" i="3"/>
  <c r="D115" i="5" s="1"/>
  <c r="D115" i="8" s="1"/>
  <c r="AH108" i="3"/>
  <c r="D108" i="5" s="1"/>
  <c r="D108" i="8" s="1"/>
  <c r="AH107" i="3"/>
  <c r="D107" i="5" s="1"/>
  <c r="D107" i="8" s="1"/>
  <c r="AH106" i="3"/>
  <c r="D106" i="5" s="1"/>
  <c r="D106" i="8" s="1"/>
  <c r="AH105" i="3"/>
  <c r="AH104" i="3"/>
  <c r="D104" i="5" s="1"/>
  <c r="D104" i="8" s="1"/>
  <c r="AH103" i="3"/>
  <c r="D103" i="5" s="1"/>
  <c r="D103" i="8" s="1"/>
  <c r="AH102" i="3"/>
  <c r="AH101" i="3"/>
  <c r="D101" i="5" s="1"/>
  <c r="D101" i="8" s="1"/>
  <c r="AH100" i="3"/>
  <c r="D100" i="5" s="1"/>
  <c r="D100" i="8" s="1"/>
  <c r="AH99" i="3"/>
  <c r="D99" i="5" s="1"/>
  <c r="D99" i="8" s="1"/>
  <c r="AH98" i="3"/>
  <c r="D98" i="5" s="1"/>
  <c r="D98" i="8" s="1"/>
  <c r="AH97" i="3"/>
  <c r="AH96" i="3"/>
  <c r="D96" i="5" s="1"/>
  <c r="D96" i="8" s="1"/>
  <c r="AH95" i="3"/>
  <c r="D95" i="5" s="1"/>
  <c r="D95" i="8" s="1"/>
  <c r="AH94" i="3"/>
  <c r="AH93" i="3"/>
  <c r="D93" i="5" s="1"/>
  <c r="D93" i="8" s="1"/>
  <c r="AH92" i="3"/>
  <c r="D92" i="5" s="1"/>
  <c r="D92" i="8" s="1"/>
  <c r="AH91" i="3"/>
  <c r="D91" i="5" s="1"/>
  <c r="D91" i="8" s="1"/>
  <c r="AH90" i="3"/>
  <c r="D90" i="5" s="1"/>
  <c r="D90" i="8" s="1"/>
  <c r="AH89" i="3"/>
  <c r="AH88" i="3"/>
  <c r="D88" i="5" s="1"/>
  <c r="D88" i="8" s="1"/>
  <c r="AH87" i="3"/>
  <c r="D87" i="5" s="1"/>
  <c r="D87" i="8" s="1"/>
  <c r="AH86" i="3"/>
  <c r="AH85" i="3"/>
  <c r="D85" i="5" s="1"/>
  <c r="D85" i="8" s="1"/>
  <c r="AH84" i="3"/>
  <c r="D84" i="5" s="1"/>
  <c r="D84" i="8" s="1"/>
  <c r="AH83" i="3"/>
  <c r="D83" i="5" s="1"/>
  <c r="D83" i="8" s="1"/>
  <c r="AH82" i="3"/>
  <c r="D82" i="5" s="1"/>
  <c r="D82" i="8" s="1"/>
  <c r="AH81" i="3"/>
  <c r="AH80" i="3"/>
  <c r="D80" i="5" s="1"/>
  <c r="D80" i="8" s="1"/>
  <c r="AH79" i="3"/>
  <c r="D79" i="5" s="1"/>
  <c r="D79" i="8" s="1"/>
  <c r="D39" i="3"/>
  <c r="D75" i="3" s="1"/>
  <c r="AH72" i="3"/>
  <c r="AH71" i="3"/>
  <c r="D71" i="5" s="1"/>
  <c r="D71" i="8" s="1"/>
  <c r="AH70" i="3"/>
  <c r="D70" i="5" s="1"/>
  <c r="D70" i="8" s="1"/>
  <c r="AH69" i="3"/>
  <c r="D69" i="5" s="1"/>
  <c r="D69" i="8" s="1"/>
  <c r="AH68" i="3"/>
  <c r="D68" i="5" s="1"/>
  <c r="D68" i="8" s="1"/>
  <c r="AH67" i="3"/>
  <c r="AH66" i="3"/>
  <c r="D66" i="5" s="1"/>
  <c r="D66" i="8" s="1"/>
  <c r="AH65" i="3"/>
  <c r="D65" i="5" s="1"/>
  <c r="D65" i="8" s="1"/>
  <c r="AH64" i="3"/>
  <c r="AH63" i="3"/>
  <c r="D63" i="5" s="1"/>
  <c r="D63" i="8" s="1"/>
  <c r="AH62" i="3"/>
  <c r="D62" i="5" s="1"/>
  <c r="D62" i="8" s="1"/>
  <c r="AH61" i="3"/>
  <c r="D61" i="5" s="1"/>
  <c r="D61" i="8" s="1"/>
  <c r="G5" i="3" l="1"/>
  <c r="J5" i="3"/>
  <c r="M5" i="3"/>
  <c r="P5" i="3"/>
  <c r="V5" i="3"/>
  <c r="S5" i="3"/>
  <c r="Y5" i="3"/>
  <c r="N83" i="4"/>
  <c r="N87" i="4"/>
  <c r="N99" i="4"/>
  <c r="N103" i="4"/>
  <c r="N129" i="4"/>
  <c r="N63" i="4"/>
  <c r="N71" i="4"/>
  <c r="N122" i="4"/>
  <c r="N64" i="4"/>
  <c r="N68" i="4"/>
  <c r="N72" i="4"/>
  <c r="N115" i="4"/>
  <c r="N119" i="4"/>
  <c r="N70" i="4"/>
  <c r="D39" i="4"/>
  <c r="D38" i="8" s="1"/>
  <c r="N80" i="4"/>
  <c r="N84" i="4"/>
  <c r="N92" i="4"/>
  <c r="N96" i="4"/>
  <c r="N100" i="4"/>
  <c r="N108" i="4"/>
  <c r="N98" i="4"/>
  <c r="N61" i="4"/>
  <c r="N69" i="4"/>
  <c r="N116" i="4"/>
  <c r="N120" i="4"/>
  <c r="N128" i="4"/>
  <c r="N132" i="4"/>
  <c r="N215" i="4"/>
  <c r="D111" i="3"/>
  <c r="D75" i="4"/>
  <c r="D74" i="8" s="1"/>
  <c r="N211" i="4"/>
  <c r="N162" i="4"/>
  <c r="N169" i="4"/>
  <c r="N151" i="4"/>
  <c r="N208" i="4"/>
  <c r="N161" i="4"/>
  <c r="N198" i="4"/>
  <c r="N154" i="4"/>
  <c r="N195" i="4"/>
  <c r="B64" i="5"/>
  <c r="O64" i="5" s="1"/>
  <c r="O64" i="8" s="1"/>
  <c r="AB64" i="8" s="1"/>
  <c r="AC64" i="8" s="1"/>
  <c r="AD64" i="8" s="1"/>
  <c r="AE64" i="8" s="1"/>
  <c r="N205" i="4"/>
  <c r="B98" i="5"/>
  <c r="B98" i="6" s="1"/>
  <c r="B98" i="7" s="1"/>
  <c r="B98" i="8" s="1"/>
  <c r="B115" i="5"/>
  <c r="B115" i="6" s="1"/>
  <c r="B115" i="7" s="1"/>
  <c r="B115" i="8" s="1"/>
  <c r="N67" i="4"/>
  <c r="N159" i="4"/>
  <c r="B87" i="5"/>
  <c r="B87" i="6" s="1"/>
  <c r="B87" i="7" s="1"/>
  <c r="B87" i="8" s="1"/>
  <c r="B101" i="5"/>
  <c r="O101" i="5" s="1"/>
  <c r="O101" i="8" s="1"/>
  <c r="AB101" i="8" s="1"/>
  <c r="AC101" i="8" s="1"/>
  <c r="AD101" i="8" s="1"/>
  <c r="AE101" i="8" s="1"/>
  <c r="B128" i="5"/>
  <c r="O128" i="5" s="1"/>
  <c r="O128" i="8" s="1"/>
  <c r="AB128" i="8" s="1"/>
  <c r="AC128" i="8" s="1"/>
  <c r="AD128" i="8" s="1"/>
  <c r="AE128" i="8" s="1"/>
  <c r="N105" i="4"/>
  <c r="N131" i="4"/>
  <c r="N142" i="4"/>
  <c r="N192" i="4"/>
  <c r="N139" i="4"/>
  <c r="N189" i="4"/>
  <c r="N95" i="4"/>
  <c r="N214" i="4"/>
  <c r="B63" i="5"/>
  <c r="B213" i="6"/>
  <c r="AH213" i="6" s="1"/>
  <c r="B70" i="5"/>
  <c r="O70" i="5" s="1"/>
  <c r="O70" i="8" s="1"/>
  <c r="AB70" i="8" s="1"/>
  <c r="AC70" i="8" s="1"/>
  <c r="AD70" i="8" s="1"/>
  <c r="AE70" i="8" s="1"/>
  <c r="B81" i="5"/>
  <c r="O81" i="5" s="1"/>
  <c r="O81" i="8" s="1"/>
  <c r="AB81" i="8" s="1"/>
  <c r="AC81" i="8" s="1"/>
  <c r="AD81" i="8" s="1"/>
  <c r="AE81" i="8" s="1"/>
  <c r="B122" i="5"/>
  <c r="B122" i="6" s="1"/>
  <c r="B122" i="7" s="1"/>
  <c r="B82" i="6"/>
  <c r="O82" i="5"/>
  <c r="O82" i="8" s="1"/>
  <c r="AB82" i="8" s="1"/>
  <c r="AC82" i="8" s="1"/>
  <c r="AD82" i="8" s="1"/>
  <c r="AE82" i="8" s="1"/>
  <c r="B90" i="6"/>
  <c r="O90" i="5"/>
  <c r="O90" i="8" s="1"/>
  <c r="AB90" i="8" s="1"/>
  <c r="AC90" i="8" s="1"/>
  <c r="AD90" i="8" s="1"/>
  <c r="AE90" i="8" s="1"/>
  <c r="O123" i="5"/>
  <c r="O123" i="8" s="1"/>
  <c r="AB123" i="8" s="1"/>
  <c r="AC123" i="8" s="1"/>
  <c r="AD123" i="8" s="1"/>
  <c r="AE123" i="8" s="1"/>
  <c r="B123" i="6"/>
  <c r="O131" i="5"/>
  <c r="O131" i="8" s="1"/>
  <c r="AB131" i="8" s="1"/>
  <c r="AC131" i="8" s="1"/>
  <c r="AD131" i="8" s="1"/>
  <c r="AE131" i="8" s="1"/>
  <c r="B131" i="6"/>
  <c r="O206" i="5"/>
  <c r="O206" i="8" s="1"/>
  <c r="AB206" i="8" s="1"/>
  <c r="AC206" i="8" s="1"/>
  <c r="AD206" i="8" s="1"/>
  <c r="AE206" i="8" s="1"/>
  <c r="B206" i="6"/>
  <c r="B79" i="6"/>
  <c r="O79" i="5"/>
  <c r="O79" i="8" s="1"/>
  <c r="AB79" i="8" s="1"/>
  <c r="AC79" i="8" s="1"/>
  <c r="AD79" i="8" s="1"/>
  <c r="AE79" i="8" s="1"/>
  <c r="B95" i="6"/>
  <c r="O95" i="5"/>
  <c r="O95" i="8" s="1"/>
  <c r="AB95" i="8" s="1"/>
  <c r="AC95" i="8" s="1"/>
  <c r="AD95" i="8" s="1"/>
  <c r="AE95" i="8" s="1"/>
  <c r="B106" i="6"/>
  <c r="O106" i="5"/>
  <c r="O106" i="8" s="1"/>
  <c r="AB106" i="8" s="1"/>
  <c r="AC106" i="8" s="1"/>
  <c r="AD106" i="8" s="1"/>
  <c r="AE106" i="8" s="1"/>
  <c r="B110" i="6"/>
  <c r="O190" i="5"/>
  <c r="O190" i="8" s="1"/>
  <c r="AB190" i="8" s="1"/>
  <c r="AC190" i="8" s="1"/>
  <c r="AD190" i="8" s="1"/>
  <c r="AE190" i="8" s="1"/>
  <c r="B190" i="6"/>
  <c r="B62" i="6"/>
  <c r="O62" i="5"/>
  <c r="O62" i="8" s="1"/>
  <c r="AB62" i="8" s="1"/>
  <c r="AC62" i="8" s="1"/>
  <c r="AD62" i="8" s="1"/>
  <c r="AE62" i="8" s="1"/>
  <c r="O89" i="5"/>
  <c r="O89" i="8" s="1"/>
  <c r="AB89" i="8" s="1"/>
  <c r="AC89" i="8" s="1"/>
  <c r="AD89" i="8" s="1"/>
  <c r="AE89" i="8" s="1"/>
  <c r="B89" i="6"/>
  <c r="B118" i="6"/>
  <c r="O118" i="5"/>
  <c r="O118" i="8" s="1"/>
  <c r="AB118" i="8" s="1"/>
  <c r="AC118" i="8" s="1"/>
  <c r="AD118" i="8" s="1"/>
  <c r="AE118" i="8" s="1"/>
  <c r="O126" i="5"/>
  <c r="O126" i="8" s="1"/>
  <c r="AB126" i="8" s="1"/>
  <c r="AC126" i="8" s="1"/>
  <c r="AD126" i="8" s="1"/>
  <c r="AE126" i="8" s="1"/>
  <c r="B126" i="6"/>
  <c r="P67" i="8"/>
  <c r="N79" i="4"/>
  <c r="N82" i="4"/>
  <c r="N89" i="4"/>
  <c r="N126" i="4"/>
  <c r="N130" i="4"/>
  <c r="B130" i="5"/>
  <c r="N136" i="4"/>
  <c r="N140" i="4"/>
  <c r="B140" i="5"/>
  <c r="N160" i="4"/>
  <c r="B160" i="5"/>
  <c r="N163" i="4"/>
  <c r="B163" i="5"/>
  <c r="AH167" i="6"/>
  <c r="B167" i="7"/>
  <c r="B167" i="8" s="1"/>
  <c r="P170" i="8"/>
  <c r="O177" i="5"/>
  <c r="O177" i="8" s="1"/>
  <c r="AB177" i="8" s="1"/>
  <c r="AC177" i="8" s="1"/>
  <c r="AD177" i="8" s="1"/>
  <c r="AE177" i="8" s="1"/>
  <c r="B177" i="6"/>
  <c r="N180" i="4"/>
  <c r="B180" i="5"/>
  <c r="O187" i="5"/>
  <c r="O187" i="8" s="1"/>
  <c r="AB187" i="8" s="1"/>
  <c r="AC187" i="8" s="1"/>
  <c r="AD187" i="8" s="1"/>
  <c r="AE187" i="8" s="1"/>
  <c r="B187" i="6"/>
  <c r="N193" i="4"/>
  <c r="B193" i="5"/>
  <c r="N209" i="4"/>
  <c r="B209" i="5"/>
  <c r="B84" i="5"/>
  <c r="B103" i="5"/>
  <c r="B108" i="5"/>
  <c r="B125" i="5"/>
  <c r="O195" i="5"/>
  <c r="O195" i="8" s="1"/>
  <c r="AB195" i="8" s="1"/>
  <c r="AC195" i="8" s="1"/>
  <c r="AD195" i="8" s="1"/>
  <c r="AE195" i="8" s="1"/>
  <c r="B215" i="5"/>
  <c r="B97" i="6"/>
  <c r="B216" i="6"/>
  <c r="N62" i="4"/>
  <c r="N123" i="4"/>
  <c r="N127" i="4"/>
  <c r="B127" i="5"/>
  <c r="N137" i="4"/>
  <c r="B137" i="5"/>
  <c r="N153" i="4"/>
  <c r="N157" i="4"/>
  <c r="B157" i="5"/>
  <c r="O197" i="5"/>
  <c r="O197" i="8" s="1"/>
  <c r="AB197" i="8" s="1"/>
  <c r="AC197" i="8" s="1"/>
  <c r="AD197" i="8" s="1"/>
  <c r="AE197" i="8" s="1"/>
  <c r="B197" i="6"/>
  <c r="B132" i="5"/>
  <c r="B162" i="6"/>
  <c r="B170" i="7"/>
  <c r="B170" i="8" s="1"/>
  <c r="AA170" i="8" s="1"/>
  <c r="N174" i="4"/>
  <c r="B174" i="5"/>
  <c r="B74" i="5"/>
  <c r="B86" i="5"/>
  <c r="B92" i="5"/>
  <c r="O105" i="5"/>
  <c r="O105" i="8" s="1"/>
  <c r="AB105" i="8" s="1"/>
  <c r="AC105" i="8" s="1"/>
  <c r="AD105" i="8" s="1"/>
  <c r="AE105" i="8" s="1"/>
  <c r="B105" i="6"/>
  <c r="B117" i="5"/>
  <c r="B120" i="5"/>
  <c r="N94" i="4"/>
  <c r="B94" i="5"/>
  <c r="N104" i="4"/>
  <c r="B104" i="5"/>
  <c r="N107" i="4"/>
  <c r="B107" i="5"/>
  <c r="N124" i="4"/>
  <c r="B124" i="5"/>
  <c r="N141" i="4"/>
  <c r="B141" i="5"/>
  <c r="B151" i="6"/>
  <c r="O151" i="5"/>
  <c r="O151" i="8" s="1"/>
  <c r="AB151" i="8" s="1"/>
  <c r="AC151" i="8" s="1"/>
  <c r="AD151" i="8" s="1"/>
  <c r="AE151" i="8" s="1"/>
  <c r="O154" i="5"/>
  <c r="O154" i="8" s="1"/>
  <c r="AB154" i="8" s="1"/>
  <c r="AC154" i="8" s="1"/>
  <c r="AD154" i="8" s="1"/>
  <c r="AE154" i="8" s="1"/>
  <c r="B154" i="6"/>
  <c r="O161" i="5"/>
  <c r="O161" i="8" s="1"/>
  <c r="AB161" i="8" s="1"/>
  <c r="AC161" i="8" s="1"/>
  <c r="AD161" i="8" s="1"/>
  <c r="AE161" i="8" s="1"/>
  <c r="B161" i="6"/>
  <c r="N164" i="4"/>
  <c r="B164" i="5"/>
  <c r="N167" i="4"/>
  <c r="N170" i="4"/>
  <c r="N177" i="4"/>
  <c r="N187" i="4"/>
  <c r="N190" i="4"/>
  <c r="N194" i="4"/>
  <c r="B194" i="5"/>
  <c r="N203" i="4"/>
  <c r="N206" i="4"/>
  <c r="N210" i="4"/>
  <c r="B210" i="5"/>
  <c r="B69" i="5"/>
  <c r="B80" i="5"/>
  <c r="B83" i="5"/>
  <c r="B100" i="5"/>
  <c r="B165" i="5"/>
  <c r="B66" i="5"/>
  <c r="B175" i="6"/>
  <c r="O175" i="5"/>
  <c r="O175" i="8" s="1"/>
  <c r="AB175" i="8" s="1"/>
  <c r="AC175" i="8" s="1"/>
  <c r="AD175" i="8" s="1"/>
  <c r="AE175" i="8" s="1"/>
  <c r="B182" i="6"/>
  <c r="N191" i="4"/>
  <c r="B191" i="5"/>
  <c r="N197" i="4"/>
  <c r="N204" i="4"/>
  <c r="B204" i="5"/>
  <c r="N213" i="4"/>
  <c r="B72" i="5"/>
  <c r="B102" i="5"/>
  <c r="B119" i="5"/>
  <c r="B129" i="5"/>
  <c r="B134" i="5"/>
  <c r="B169" i="6"/>
  <c r="B67" i="7"/>
  <c r="B67" i="8" s="1"/>
  <c r="AA67" i="8" s="1"/>
  <c r="N143" i="4"/>
  <c r="B143" i="5"/>
  <c r="N199" i="4"/>
  <c r="B199" i="5"/>
  <c r="O200" i="5"/>
  <c r="O200" i="8" s="1"/>
  <c r="AB200" i="8" s="1"/>
  <c r="AC200" i="8" s="1"/>
  <c r="AD200" i="8" s="1"/>
  <c r="AE200" i="8" s="1"/>
  <c r="B200" i="6"/>
  <c r="N144" i="4"/>
  <c r="N158" i="4"/>
  <c r="B158" i="5"/>
  <c r="B178" i="6"/>
  <c r="O178" i="5"/>
  <c r="O178" i="8" s="1"/>
  <c r="AB178" i="8" s="1"/>
  <c r="AC178" i="8" s="1"/>
  <c r="AD178" i="8" s="1"/>
  <c r="AE178" i="8" s="1"/>
  <c r="N200" i="4"/>
  <c r="N207" i="4"/>
  <c r="B207" i="5"/>
  <c r="N135" i="4"/>
  <c r="B135" i="5"/>
  <c r="O142" i="5"/>
  <c r="O142" i="8" s="1"/>
  <c r="AB142" i="8" s="1"/>
  <c r="AC142" i="8" s="1"/>
  <c r="AD142" i="8" s="1"/>
  <c r="AE142" i="8" s="1"/>
  <c r="B142" i="6"/>
  <c r="B211" i="7"/>
  <c r="B211" i="8" s="1"/>
  <c r="AH211" i="6"/>
  <c r="B65" i="5"/>
  <c r="O67" i="5"/>
  <c r="O67" i="8" s="1"/>
  <c r="AB67" i="8" s="1"/>
  <c r="AC67" i="8" s="1"/>
  <c r="AD67" i="8" s="1"/>
  <c r="AE67" i="8" s="1"/>
  <c r="B116" i="5"/>
  <c r="O167" i="5"/>
  <c r="O167" i="8" s="1"/>
  <c r="AB167" i="8" s="1"/>
  <c r="AC167" i="8" s="1"/>
  <c r="AD167" i="8" s="1"/>
  <c r="AE167" i="8" s="1"/>
  <c r="O208" i="5"/>
  <c r="O208" i="8" s="1"/>
  <c r="AB208" i="8" s="1"/>
  <c r="AC208" i="8" s="1"/>
  <c r="AD208" i="8" s="1"/>
  <c r="AE208" i="8" s="1"/>
  <c r="B203" i="6"/>
  <c r="O153" i="5"/>
  <c r="O153" i="8" s="1"/>
  <c r="AB153" i="8" s="1"/>
  <c r="AC153" i="8" s="1"/>
  <c r="AD153" i="8" s="1"/>
  <c r="AE153" i="8" s="1"/>
  <c r="B153" i="6"/>
  <c r="N196" i="4"/>
  <c r="B196" i="5"/>
  <c r="N212" i="4"/>
  <c r="B212" i="5"/>
  <c r="N106" i="4"/>
  <c r="O144" i="5"/>
  <c r="O144" i="8" s="1"/>
  <c r="AB144" i="8" s="1"/>
  <c r="AC144" i="8" s="1"/>
  <c r="AD144" i="8" s="1"/>
  <c r="AE144" i="8" s="1"/>
  <c r="B144" i="6"/>
  <c r="N90" i="4"/>
  <c r="N97" i="4"/>
  <c r="N121" i="4"/>
  <c r="B121" i="5"/>
  <c r="N138" i="4"/>
  <c r="B138" i="5"/>
  <c r="N168" i="4"/>
  <c r="B168" i="5"/>
  <c r="N171" i="4"/>
  <c r="B171" i="5"/>
  <c r="N188" i="4"/>
  <c r="B188" i="5"/>
  <c r="N216" i="4"/>
  <c r="N88" i="4"/>
  <c r="B88" i="5"/>
  <c r="N91" i="4"/>
  <c r="B91" i="5"/>
  <c r="AH195" i="6"/>
  <c r="B195" i="7"/>
  <c r="B195" i="8" s="1"/>
  <c r="O198" i="5"/>
  <c r="O198" i="8" s="1"/>
  <c r="AB198" i="8" s="1"/>
  <c r="AC198" i="8" s="1"/>
  <c r="AD198" i="8" s="1"/>
  <c r="AE198" i="8" s="1"/>
  <c r="B198" i="6"/>
  <c r="N201" i="4"/>
  <c r="B201" i="5"/>
  <c r="O214" i="5"/>
  <c r="O214" i="8" s="1"/>
  <c r="AB214" i="8" s="1"/>
  <c r="AC214" i="8" s="1"/>
  <c r="AD214" i="8" s="1"/>
  <c r="AE214" i="8" s="1"/>
  <c r="B214" i="6"/>
  <c r="D2" i="5"/>
  <c r="N118" i="4"/>
  <c r="O139" i="5"/>
  <c r="O139" i="8" s="1"/>
  <c r="AB139" i="8" s="1"/>
  <c r="AC139" i="8" s="1"/>
  <c r="AD139" i="8" s="1"/>
  <c r="AE139" i="8" s="1"/>
  <c r="B139" i="6"/>
  <c r="B146" i="6"/>
  <c r="N152" i="4"/>
  <c r="B152" i="5"/>
  <c r="N155" i="4"/>
  <c r="B155" i="5"/>
  <c r="O159" i="5"/>
  <c r="O159" i="8" s="1"/>
  <c r="AB159" i="8" s="1"/>
  <c r="AC159" i="8" s="1"/>
  <c r="AD159" i="8" s="1"/>
  <c r="AE159" i="8" s="1"/>
  <c r="B159" i="6"/>
  <c r="N172" i="4"/>
  <c r="B172" i="5"/>
  <c r="N175" i="4"/>
  <c r="N178" i="4"/>
  <c r="O189" i="5"/>
  <c r="O189" i="8" s="1"/>
  <c r="AB189" i="8" s="1"/>
  <c r="AC189" i="8" s="1"/>
  <c r="AD189" i="8" s="1"/>
  <c r="AE189" i="8" s="1"/>
  <c r="B189" i="6"/>
  <c r="AH192" i="6"/>
  <c r="P192" i="8" s="1"/>
  <c r="B192" i="7"/>
  <c r="O205" i="5"/>
  <c r="O205" i="8" s="1"/>
  <c r="AB205" i="8" s="1"/>
  <c r="AC205" i="8" s="1"/>
  <c r="AD205" i="8" s="1"/>
  <c r="AE205" i="8" s="1"/>
  <c r="B205" i="6"/>
  <c r="AH208" i="6"/>
  <c r="P208" i="8" s="1"/>
  <c r="B208" i="7"/>
  <c r="B68" i="5"/>
  <c r="B71" i="5"/>
  <c r="B85" i="5"/>
  <c r="B99" i="5"/>
  <c r="N156" i="4"/>
  <c r="B156" i="5"/>
  <c r="N173" i="4"/>
  <c r="B173" i="5"/>
  <c r="O136" i="5"/>
  <c r="O136" i="8" s="1"/>
  <c r="AB136" i="8" s="1"/>
  <c r="AC136" i="8" s="1"/>
  <c r="AD136" i="8" s="1"/>
  <c r="AE136" i="8" s="1"/>
  <c r="B136" i="6"/>
  <c r="N166" i="4"/>
  <c r="B166" i="5"/>
  <c r="N176" i="4"/>
  <c r="B176" i="5"/>
  <c r="N179" i="4"/>
  <c r="B179" i="5"/>
  <c r="N202" i="4"/>
  <c r="B202" i="5"/>
  <c r="B61" i="5"/>
  <c r="B93" i="5"/>
  <c r="B96" i="5"/>
  <c r="B133" i="5"/>
  <c r="O170" i="5"/>
  <c r="O170" i="8" s="1"/>
  <c r="AB170" i="8" s="1"/>
  <c r="AC170" i="8" s="1"/>
  <c r="AD170" i="8" s="1"/>
  <c r="AE170" i="8" s="1"/>
  <c r="O192" i="5"/>
  <c r="O192" i="8" s="1"/>
  <c r="AB192" i="8" s="1"/>
  <c r="AC192" i="8" s="1"/>
  <c r="AD192" i="8" s="1"/>
  <c r="AE192" i="8" s="1"/>
  <c r="O211" i="5"/>
  <c r="O211" i="8" s="1"/>
  <c r="AB211" i="8" s="1"/>
  <c r="AC211" i="8" s="1"/>
  <c r="AD211" i="8" s="1"/>
  <c r="AE211" i="8" s="1"/>
  <c r="E7" i="5"/>
  <c r="L7" i="10" s="1"/>
  <c r="F7" i="5"/>
  <c r="M7" i="10" s="1"/>
  <c r="G7" i="5"/>
  <c r="N7" i="10" s="1"/>
  <c r="H7" i="5"/>
  <c r="O7" i="10" s="1"/>
  <c r="I7" i="5"/>
  <c r="P7" i="10" s="1"/>
  <c r="J7" i="5"/>
  <c r="Q7" i="10" s="1"/>
  <c r="K7" i="5"/>
  <c r="R7" i="10" s="1"/>
  <c r="L7" i="5"/>
  <c r="S7" i="10" s="1"/>
  <c r="M7" i="5"/>
  <c r="T7" i="10" s="1"/>
  <c r="N7" i="5"/>
  <c r="U7" i="10" s="1"/>
  <c r="D3" i="6" l="1"/>
  <c r="D3" i="7" s="1"/>
  <c r="K2" i="10"/>
  <c r="D38" i="5"/>
  <c r="B128" i="6"/>
  <c r="AH128" i="6" s="1"/>
  <c r="D111" i="4"/>
  <c r="D147" i="3"/>
  <c r="D74" i="5"/>
  <c r="AH98" i="6"/>
  <c r="N98" i="7" s="1"/>
  <c r="O98" i="5"/>
  <c r="O98" i="8" s="1"/>
  <c r="AB98" i="8" s="1"/>
  <c r="AC98" i="8" s="1"/>
  <c r="AD98" i="8" s="1"/>
  <c r="AE98" i="8" s="1"/>
  <c r="B101" i="6"/>
  <c r="B101" i="7" s="1"/>
  <c r="O122" i="5"/>
  <c r="O122" i="8" s="1"/>
  <c r="AB122" i="8" s="1"/>
  <c r="AC122" i="8" s="1"/>
  <c r="AD122" i="8" s="1"/>
  <c r="AE122" i="8" s="1"/>
  <c r="AH122" i="6"/>
  <c r="P122" i="8" s="1"/>
  <c r="B213" i="7"/>
  <c r="B213" i="8" s="1"/>
  <c r="B64" i="6"/>
  <c r="B64" i="7" s="1"/>
  <c r="AH87" i="6"/>
  <c r="P87" i="8" s="1"/>
  <c r="O115" i="5"/>
  <c r="O115" i="8" s="1"/>
  <c r="AB115" i="8" s="1"/>
  <c r="AC115" i="8" s="1"/>
  <c r="AD115" i="8" s="1"/>
  <c r="AE115" i="8" s="1"/>
  <c r="AH115" i="6"/>
  <c r="P115" i="8" s="1"/>
  <c r="B81" i="6"/>
  <c r="AH81" i="6" s="1"/>
  <c r="P81" i="8" s="1"/>
  <c r="AA87" i="8"/>
  <c r="AA98" i="8"/>
  <c r="O63" i="5"/>
  <c r="O63" i="8" s="1"/>
  <c r="AB63" i="8" s="1"/>
  <c r="AC63" i="8" s="1"/>
  <c r="AD63" i="8" s="1"/>
  <c r="AE63" i="8" s="1"/>
  <c r="B63" i="6"/>
  <c r="B70" i="6"/>
  <c r="AH70" i="6" s="1"/>
  <c r="O87" i="5"/>
  <c r="O87" i="8" s="1"/>
  <c r="AB87" i="8" s="1"/>
  <c r="AC87" i="8" s="1"/>
  <c r="AD87" i="8" s="1"/>
  <c r="AE87" i="8" s="1"/>
  <c r="O124" i="5"/>
  <c r="O124" i="8" s="1"/>
  <c r="AB124" i="8" s="1"/>
  <c r="AC124" i="8" s="1"/>
  <c r="AD124" i="8" s="1"/>
  <c r="AE124" i="8" s="1"/>
  <c r="B124" i="6"/>
  <c r="AH97" i="6"/>
  <c r="P97" i="8" s="1"/>
  <c r="B97" i="7"/>
  <c r="P167" i="8"/>
  <c r="N167" i="7"/>
  <c r="B131" i="7"/>
  <c r="B131" i="8" s="1"/>
  <c r="AH131" i="6"/>
  <c r="B179" i="6"/>
  <c r="O179" i="5"/>
  <c r="O179" i="8" s="1"/>
  <c r="AB179" i="8" s="1"/>
  <c r="AC179" i="8" s="1"/>
  <c r="AD179" i="8" s="1"/>
  <c r="AE179" i="8" s="1"/>
  <c r="O173" i="5"/>
  <c r="O173" i="8" s="1"/>
  <c r="AB173" i="8" s="1"/>
  <c r="AC173" i="8" s="1"/>
  <c r="AD173" i="8" s="1"/>
  <c r="AE173" i="8" s="1"/>
  <c r="B173" i="6"/>
  <c r="B71" i="6"/>
  <c r="O71" i="5"/>
  <c r="O71" i="8" s="1"/>
  <c r="AB71" i="8" s="1"/>
  <c r="AC71" i="8" s="1"/>
  <c r="AD71" i="8" s="1"/>
  <c r="AE71" i="8" s="1"/>
  <c r="B139" i="7"/>
  <c r="B139" i="8" s="1"/>
  <c r="AH139" i="6"/>
  <c r="B214" i="7"/>
  <c r="B214" i="8" s="1"/>
  <c r="AH214" i="6"/>
  <c r="B91" i="6"/>
  <c r="O91" i="5"/>
  <c r="O91" i="8" s="1"/>
  <c r="AB91" i="8" s="1"/>
  <c r="AC91" i="8" s="1"/>
  <c r="AD91" i="8" s="1"/>
  <c r="AE91" i="8" s="1"/>
  <c r="AH169" i="6"/>
  <c r="P169" i="8" s="1"/>
  <c r="B169" i="7"/>
  <c r="B204" i="6"/>
  <c r="O204" i="5"/>
  <c r="O204" i="8" s="1"/>
  <c r="AB204" i="8" s="1"/>
  <c r="AC204" i="8" s="1"/>
  <c r="AD204" i="8" s="1"/>
  <c r="AE204" i="8" s="1"/>
  <c r="AH175" i="6"/>
  <c r="B175" i="7"/>
  <c r="B175" i="8" s="1"/>
  <c r="O100" i="5"/>
  <c r="O100" i="8" s="1"/>
  <c r="AB100" i="8" s="1"/>
  <c r="AC100" i="8" s="1"/>
  <c r="AD100" i="8" s="1"/>
  <c r="AE100" i="8" s="1"/>
  <c r="B100" i="6"/>
  <c r="O117" i="5"/>
  <c r="O117" i="8" s="1"/>
  <c r="AB117" i="8" s="1"/>
  <c r="AC117" i="8" s="1"/>
  <c r="AD117" i="8" s="1"/>
  <c r="AE117" i="8" s="1"/>
  <c r="B117" i="6"/>
  <c r="O132" i="5"/>
  <c r="O132" i="8" s="1"/>
  <c r="AB132" i="8" s="1"/>
  <c r="AC132" i="8" s="1"/>
  <c r="AD132" i="8" s="1"/>
  <c r="AE132" i="8" s="1"/>
  <c r="B132" i="6"/>
  <c r="O137" i="5"/>
  <c r="O137" i="8" s="1"/>
  <c r="AB137" i="8" s="1"/>
  <c r="AC137" i="8" s="1"/>
  <c r="AD137" i="8" s="1"/>
  <c r="AE137" i="8" s="1"/>
  <c r="B137" i="6"/>
  <c r="B215" i="6"/>
  <c r="O215" i="5"/>
  <c r="O215" i="8" s="1"/>
  <c r="AB215" i="8" s="1"/>
  <c r="AC215" i="8" s="1"/>
  <c r="AD215" i="8" s="1"/>
  <c r="AE215" i="8" s="1"/>
  <c r="O180" i="5"/>
  <c r="O180" i="8" s="1"/>
  <c r="AB180" i="8" s="1"/>
  <c r="AC180" i="8" s="1"/>
  <c r="AD180" i="8" s="1"/>
  <c r="AE180" i="8" s="1"/>
  <c r="B180" i="6"/>
  <c r="B163" i="6"/>
  <c r="O163" i="5"/>
  <c r="O163" i="8" s="1"/>
  <c r="AB163" i="8" s="1"/>
  <c r="AC163" i="8" s="1"/>
  <c r="AD163" i="8" s="1"/>
  <c r="AE163" i="8" s="1"/>
  <c r="AH95" i="6"/>
  <c r="B95" i="7"/>
  <c r="B95" i="8" s="1"/>
  <c r="O196" i="5"/>
  <c r="O196" i="8" s="1"/>
  <c r="AB196" i="8" s="1"/>
  <c r="AC196" i="8" s="1"/>
  <c r="AD196" i="8" s="1"/>
  <c r="AE196" i="8" s="1"/>
  <c r="B196" i="6"/>
  <c r="O165" i="5"/>
  <c r="O165" i="8" s="1"/>
  <c r="AB165" i="8" s="1"/>
  <c r="AC165" i="8" s="1"/>
  <c r="AD165" i="8" s="1"/>
  <c r="AE165" i="8" s="1"/>
  <c r="B165" i="6"/>
  <c r="O120" i="5"/>
  <c r="O120" i="8" s="1"/>
  <c r="AB120" i="8" s="1"/>
  <c r="AC120" i="8" s="1"/>
  <c r="AD120" i="8" s="1"/>
  <c r="AE120" i="8" s="1"/>
  <c r="B120" i="6"/>
  <c r="O96" i="5"/>
  <c r="O96" i="8" s="1"/>
  <c r="AB96" i="8" s="1"/>
  <c r="AC96" i="8" s="1"/>
  <c r="AD96" i="8" s="1"/>
  <c r="AE96" i="8" s="1"/>
  <c r="B96" i="6"/>
  <c r="O68" i="5"/>
  <c r="O68" i="8" s="1"/>
  <c r="AB68" i="8" s="1"/>
  <c r="AC68" i="8" s="1"/>
  <c r="AD68" i="8" s="1"/>
  <c r="AE68" i="8" s="1"/>
  <c r="B68" i="6"/>
  <c r="AH205" i="6"/>
  <c r="B205" i="7"/>
  <c r="B205" i="8" s="1"/>
  <c r="O152" i="5"/>
  <c r="O152" i="8" s="1"/>
  <c r="AB152" i="8" s="1"/>
  <c r="AC152" i="8" s="1"/>
  <c r="AD152" i="8" s="1"/>
  <c r="AE152" i="8" s="1"/>
  <c r="B152" i="6"/>
  <c r="B188" i="6"/>
  <c r="O188" i="5"/>
  <c r="O188" i="8" s="1"/>
  <c r="AB188" i="8" s="1"/>
  <c r="AC188" i="8" s="1"/>
  <c r="AD188" i="8" s="1"/>
  <c r="AE188" i="8" s="1"/>
  <c r="O121" i="5"/>
  <c r="O121" i="8" s="1"/>
  <c r="AB121" i="8" s="1"/>
  <c r="AC121" i="8" s="1"/>
  <c r="AD121" i="8" s="1"/>
  <c r="AE121" i="8" s="1"/>
  <c r="B121" i="6"/>
  <c r="AH153" i="6"/>
  <c r="P153" i="8" s="1"/>
  <c r="B153" i="7"/>
  <c r="B207" i="6"/>
  <c r="O207" i="5"/>
  <c r="O207" i="8" s="1"/>
  <c r="AB207" i="8" s="1"/>
  <c r="AC207" i="8" s="1"/>
  <c r="AD207" i="8" s="1"/>
  <c r="AE207" i="8" s="1"/>
  <c r="AH200" i="6"/>
  <c r="P200" i="8" s="1"/>
  <c r="B200" i="7"/>
  <c r="B134" i="6"/>
  <c r="O134" i="5"/>
  <c r="O134" i="8" s="1"/>
  <c r="AB134" i="8" s="1"/>
  <c r="AC134" i="8" s="1"/>
  <c r="AD134" i="8" s="1"/>
  <c r="AE134" i="8" s="1"/>
  <c r="B182" i="7"/>
  <c r="B66" i="6"/>
  <c r="O66" i="5"/>
  <c r="O66" i="8" s="1"/>
  <c r="AB66" i="8" s="1"/>
  <c r="AC66" i="8" s="1"/>
  <c r="AD66" i="8" s="1"/>
  <c r="AE66" i="8" s="1"/>
  <c r="B83" i="6"/>
  <c r="O83" i="5"/>
  <c r="O83" i="8" s="1"/>
  <c r="AB83" i="8" s="1"/>
  <c r="AC83" i="8" s="1"/>
  <c r="AD83" i="8" s="1"/>
  <c r="AE83" i="8" s="1"/>
  <c r="B154" i="7"/>
  <c r="B154" i="8" s="1"/>
  <c r="AH154" i="6"/>
  <c r="B107" i="6"/>
  <c r="O107" i="5"/>
  <c r="O107" i="8" s="1"/>
  <c r="AB107" i="8" s="1"/>
  <c r="AC107" i="8" s="1"/>
  <c r="AD107" i="8" s="1"/>
  <c r="AE107" i="8" s="1"/>
  <c r="AH105" i="6"/>
  <c r="P105" i="8" s="1"/>
  <c r="B105" i="7"/>
  <c r="N67" i="7"/>
  <c r="AH123" i="6"/>
  <c r="B123" i="7"/>
  <c r="B123" i="8" s="1"/>
  <c r="N208" i="7"/>
  <c r="B208" i="8"/>
  <c r="O138" i="5"/>
  <c r="O138" i="8" s="1"/>
  <c r="AB138" i="8" s="1"/>
  <c r="AC138" i="8" s="1"/>
  <c r="AD138" i="8" s="1"/>
  <c r="AE138" i="8" s="1"/>
  <c r="B138" i="6"/>
  <c r="B130" i="6"/>
  <c r="O130" i="5"/>
  <c r="O130" i="8" s="1"/>
  <c r="AB130" i="8" s="1"/>
  <c r="AC130" i="8" s="1"/>
  <c r="AD130" i="8" s="1"/>
  <c r="AE130" i="8" s="1"/>
  <c r="O88" i="5"/>
  <c r="O88" i="8" s="1"/>
  <c r="AB88" i="8" s="1"/>
  <c r="AC88" i="8" s="1"/>
  <c r="AD88" i="8" s="1"/>
  <c r="AE88" i="8" s="1"/>
  <c r="B88" i="6"/>
  <c r="O65" i="5"/>
  <c r="O65" i="8" s="1"/>
  <c r="AB65" i="8" s="1"/>
  <c r="AC65" i="8" s="1"/>
  <c r="AD65" i="8" s="1"/>
  <c r="AE65" i="8" s="1"/>
  <c r="B65" i="6"/>
  <c r="O129" i="5"/>
  <c r="O129" i="8" s="1"/>
  <c r="AB129" i="8" s="1"/>
  <c r="AC129" i="8" s="1"/>
  <c r="AD129" i="8" s="1"/>
  <c r="AE129" i="8" s="1"/>
  <c r="B129" i="6"/>
  <c r="O80" i="5"/>
  <c r="O80" i="8" s="1"/>
  <c r="AB80" i="8" s="1"/>
  <c r="AC80" i="8" s="1"/>
  <c r="AD80" i="8" s="1"/>
  <c r="AE80" i="8" s="1"/>
  <c r="B80" i="6"/>
  <c r="O210" i="5"/>
  <c r="O210" i="8" s="1"/>
  <c r="AB210" i="8" s="1"/>
  <c r="AC210" i="8" s="1"/>
  <c r="AD210" i="8" s="1"/>
  <c r="AE210" i="8" s="1"/>
  <c r="B210" i="6"/>
  <c r="B122" i="8"/>
  <c r="B127" i="6"/>
  <c r="O127" i="5"/>
  <c r="O127" i="8" s="1"/>
  <c r="AB127" i="8" s="1"/>
  <c r="AC127" i="8" s="1"/>
  <c r="AD127" i="8" s="1"/>
  <c r="AE127" i="8" s="1"/>
  <c r="O125" i="5"/>
  <c r="O125" i="8" s="1"/>
  <c r="AB125" i="8" s="1"/>
  <c r="AC125" i="8" s="1"/>
  <c r="AD125" i="8" s="1"/>
  <c r="AE125" i="8" s="1"/>
  <c r="B125" i="6"/>
  <c r="O209" i="5"/>
  <c r="O209" i="8" s="1"/>
  <c r="AB209" i="8" s="1"/>
  <c r="AC209" i="8" s="1"/>
  <c r="AD209" i="8" s="1"/>
  <c r="AE209" i="8" s="1"/>
  <c r="B209" i="6"/>
  <c r="AH177" i="6"/>
  <c r="P177" i="8" s="1"/>
  <c r="B177" i="7"/>
  <c r="O160" i="5"/>
  <c r="O160" i="8" s="1"/>
  <c r="AB160" i="8" s="1"/>
  <c r="AC160" i="8" s="1"/>
  <c r="AD160" i="8" s="1"/>
  <c r="AE160" i="8" s="1"/>
  <c r="B160" i="6"/>
  <c r="AH62" i="6"/>
  <c r="B62" i="7"/>
  <c r="B62" i="8" s="1"/>
  <c r="B110" i="7"/>
  <c r="AH79" i="6"/>
  <c r="B79" i="7"/>
  <c r="B79" i="8" s="1"/>
  <c r="O155" i="5"/>
  <c r="O155" i="8" s="1"/>
  <c r="AB155" i="8" s="1"/>
  <c r="AC155" i="8" s="1"/>
  <c r="AD155" i="8" s="1"/>
  <c r="AE155" i="8" s="1"/>
  <c r="B155" i="6"/>
  <c r="P195" i="8"/>
  <c r="N195" i="7"/>
  <c r="AH161" i="6"/>
  <c r="P161" i="8" s="1"/>
  <c r="B161" i="7"/>
  <c r="AH89" i="6"/>
  <c r="P89" i="8" s="1"/>
  <c r="B89" i="7"/>
  <c r="AA115" i="8"/>
  <c r="O93" i="5"/>
  <c r="O93" i="8" s="1"/>
  <c r="AB93" i="8" s="1"/>
  <c r="AC93" i="8" s="1"/>
  <c r="AD93" i="8" s="1"/>
  <c r="AE93" i="8" s="1"/>
  <c r="B93" i="6"/>
  <c r="O176" i="5"/>
  <c r="O176" i="8" s="1"/>
  <c r="AB176" i="8" s="1"/>
  <c r="AC176" i="8" s="1"/>
  <c r="AD176" i="8" s="1"/>
  <c r="AE176" i="8" s="1"/>
  <c r="B176" i="6"/>
  <c r="O156" i="5"/>
  <c r="O156" i="8" s="1"/>
  <c r="AB156" i="8" s="1"/>
  <c r="AC156" i="8" s="1"/>
  <c r="AD156" i="8" s="1"/>
  <c r="AE156" i="8" s="1"/>
  <c r="B156" i="6"/>
  <c r="O201" i="5"/>
  <c r="O201" i="8" s="1"/>
  <c r="AB201" i="8" s="1"/>
  <c r="AC201" i="8" s="1"/>
  <c r="AD201" i="8" s="1"/>
  <c r="AE201" i="8" s="1"/>
  <c r="B201" i="6"/>
  <c r="O61" i="5"/>
  <c r="O61" i="8" s="1"/>
  <c r="AB61" i="8" s="1"/>
  <c r="AC61" i="8" s="1"/>
  <c r="AD61" i="8" s="1"/>
  <c r="AE61" i="8" s="1"/>
  <c r="B61" i="6"/>
  <c r="N192" i="7"/>
  <c r="B192" i="8"/>
  <c r="O172" i="5"/>
  <c r="O172" i="8" s="1"/>
  <c r="AB172" i="8" s="1"/>
  <c r="AC172" i="8" s="1"/>
  <c r="AD172" i="8" s="1"/>
  <c r="AE172" i="8" s="1"/>
  <c r="B172" i="6"/>
  <c r="O171" i="5"/>
  <c r="O171" i="8" s="1"/>
  <c r="AB171" i="8" s="1"/>
  <c r="AC171" i="8" s="1"/>
  <c r="AD171" i="8" s="1"/>
  <c r="AE171" i="8" s="1"/>
  <c r="B171" i="6"/>
  <c r="B203" i="7"/>
  <c r="B203" i="8" s="1"/>
  <c r="AH203" i="6"/>
  <c r="P211" i="8"/>
  <c r="N211" i="7"/>
  <c r="O199" i="5"/>
  <c r="O199" i="8" s="1"/>
  <c r="AB199" i="8" s="1"/>
  <c r="AC199" i="8" s="1"/>
  <c r="AD199" i="8" s="1"/>
  <c r="AE199" i="8" s="1"/>
  <c r="B199" i="6"/>
  <c r="B119" i="6"/>
  <c r="O119" i="5"/>
  <c r="O119" i="8" s="1"/>
  <c r="AB119" i="8" s="1"/>
  <c r="AC119" i="8" s="1"/>
  <c r="AD119" i="8" s="1"/>
  <c r="AE119" i="8" s="1"/>
  <c r="B191" i="6"/>
  <c r="O191" i="5"/>
  <c r="O191" i="8" s="1"/>
  <c r="AB191" i="8" s="1"/>
  <c r="AC191" i="8" s="1"/>
  <c r="AD191" i="8" s="1"/>
  <c r="AE191" i="8" s="1"/>
  <c r="O104" i="5"/>
  <c r="O104" i="8" s="1"/>
  <c r="AB104" i="8" s="1"/>
  <c r="AC104" i="8" s="1"/>
  <c r="AD104" i="8" s="1"/>
  <c r="AE104" i="8" s="1"/>
  <c r="B104" i="6"/>
  <c r="O92" i="5"/>
  <c r="O92" i="8" s="1"/>
  <c r="AB92" i="8" s="1"/>
  <c r="AC92" i="8" s="1"/>
  <c r="AD92" i="8" s="1"/>
  <c r="AE92" i="8" s="1"/>
  <c r="B92" i="6"/>
  <c r="B197" i="7"/>
  <c r="B197" i="8" s="1"/>
  <c r="AH197" i="6"/>
  <c r="O108" i="5"/>
  <c r="O108" i="8" s="1"/>
  <c r="AB108" i="8" s="1"/>
  <c r="AC108" i="8" s="1"/>
  <c r="AD108" i="8" s="1"/>
  <c r="AE108" i="8" s="1"/>
  <c r="B108" i="6"/>
  <c r="B126" i="7"/>
  <c r="AH126" i="6"/>
  <c r="P126" i="8" s="1"/>
  <c r="B190" i="7"/>
  <c r="B190" i="8" s="1"/>
  <c r="AH190" i="6"/>
  <c r="O166" i="5"/>
  <c r="O166" i="8" s="1"/>
  <c r="AB166" i="8" s="1"/>
  <c r="AC166" i="8" s="1"/>
  <c r="AD166" i="8" s="1"/>
  <c r="AE166" i="8" s="1"/>
  <c r="B166" i="6"/>
  <c r="AH198" i="6"/>
  <c r="B198" i="7"/>
  <c r="B198" i="8" s="1"/>
  <c r="AA211" i="8"/>
  <c r="O69" i="5"/>
  <c r="O69" i="8" s="1"/>
  <c r="AB69" i="8" s="1"/>
  <c r="AC69" i="8" s="1"/>
  <c r="AD69" i="8" s="1"/>
  <c r="AE69" i="8" s="1"/>
  <c r="B69" i="6"/>
  <c r="B151" i="7"/>
  <c r="B151" i="8" s="1"/>
  <c r="AH151" i="6"/>
  <c r="B86" i="6"/>
  <c r="O86" i="5"/>
  <c r="O86" i="8" s="1"/>
  <c r="AB86" i="8" s="1"/>
  <c r="AC86" i="8" s="1"/>
  <c r="AD86" i="8" s="1"/>
  <c r="AE86" i="8" s="1"/>
  <c r="B103" i="6"/>
  <c r="O103" i="5"/>
  <c r="O103" i="8" s="1"/>
  <c r="AB103" i="8" s="1"/>
  <c r="AC103" i="8" s="1"/>
  <c r="AD103" i="8" s="1"/>
  <c r="AE103" i="8" s="1"/>
  <c r="O193" i="5"/>
  <c r="O193" i="8" s="1"/>
  <c r="AB193" i="8" s="1"/>
  <c r="AC193" i="8" s="1"/>
  <c r="AD193" i="8" s="1"/>
  <c r="AE193" i="8" s="1"/>
  <c r="B193" i="6"/>
  <c r="N170" i="7"/>
  <c r="O140" i="5"/>
  <c r="O140" i="8" s="1"/>
  <c r="AB140" i="8" s="1"/>
  <c r="AC140" i="8" s="1"/>
  <c r="AD140" i="8" s="1"/>
  <c r="AE140" i="8" s="1"/>
  <c r="B140" i="6"/>
  <c r="B90" i="7"/>
  <c r="B90" i="8" s="1"/>
  <c r="AH90" i="6"/>
  <c r="O133" i="5"/>
  <c r="O133" i="8" s="1"/>
  <c r="AB133" i="8" s="1"/>
  <c r="AC133" i="8" s="1"/>
  <c r="AD133" i="8" s="1"/>
  <c r="AE133" i="8" s="1"/>
  <c r="B133" i="6"/>
  <c r="O85" i="5"/>
  <c r="O85" i="8" s="1"/>
  <c r="AB85" i="8" s="1"/>
  <c r="AC85" i="8" s="1"/>
  <c r="AD85" i="8" s="1"/>
  <c r="AE85" i="8" s="1"/>
  <c r="B85" i="6"/>
  <c r="B135" i="6"/>
  <c r="O135" i="5"/>
  <c r="O135" i="8" s="1"/>
  <c r="AB135" i="8" s="1"/>
  <c r="AC135" i="8" s="1"/>
  <c r="AD135" i="8" s="1"/>
  <c r="AE135" i="8" s="1"/>
  <c r="B189" i="7"/>
  <c r="B189" i="8" s="1"/>
  <c r="AH189" i="6"/>
  <c r="B159" i="7"/>
  <c r="B159" i="8" s="1"/>
  <c r="AH159" i="6"/>
  <c r="B146" i="7"/>
  <c r="O168" i="5"/>
  <c r="O168" i="8" s="1"/>
  <c r="AB168" i="8" s="1"/>
  <c r="AC168" i="8" s="1"/>
  <c r="AD168" i="8" s="1"/>
  <c r="AE168" i="8" s="1"/>
  <c r="B168" i="6"/>
  <c r="O212" i="5"/>
  <c r="O212" i="8" s="1"/>
  <c r="AB212" i="8" s="1"/>
  <c r="AC212" i="8" s="1"/>
  <c r="AD212" i="8" s="1"/>
  <c r="AE212" i="8" s="1"/>
  <c r="B212" i="6"/>
  <c r="B142" i="7"/>
  <c r="B142" i="8" s="1"/>
  <c r="AH142" i="6"/>
  <c r="AH178" i="6"/>
  <c r="B178" i="7"/>
  <c r="B178" i="8" s="1"/>
  <c r="B143" i="6"/>
  <c r="O143" i="5"/>
  <c r="O143" i="8" s="1"/>
  <c r="AB143" i="8" s="1"/>
  <c r="AC143" i="8" s="1"/>
  <c r="AD143" i="8" s="1"/>
  <c r="AE143" i="8" s="1"/>
  <c r="O102" i="5"/>
  <c r="O102" i="8" s="1"/>
  <c r="AB102" i="8" s="1"/>
  <c r="AC102" i="8" s="1"/>
  <c r="AD102" i="8" s="1"/>
  <c r="AE102" i="8" s="1"/>
  <c r="B102" i="6"/>
  <c r="O164" i="5"/>
  <c r="O164" i="8" s="1"/>
  <c r="AB164" i="8" s="1"/>
  <c r="AC164" i="8" s="1"/>
  <c r="AD164" i="8" s="1"/>
  <c r="AE164" i="8" s="1"/>
  <c r="B164" i="6"/>
  <c r="O141" i="5"/>
  <c r="O141" i="8" s="1"/>
  <c r="AB141" i="8" s="1"/>
  <c r="AC141" i="8" s="1"/>
  <c r="AD141" i="8" s="1"/>
  <c r="AE141" i="8" s="1"/>
  <c r="B141" i="6"/>
  <c r="O94" i="5"/>
  <c r="O94" i="8" s="1"/>
  <c r="AB94" i="8" s="1"/>
  <c r="AC94" i="8" s="1"/>
  <c r="AD94" i="8" s="1"/>
  <c r="AE94" i="8" s="1"/>
  <c r="B94" i="6"/>
  <c r="B74" i="6"/>
  <c r="O157" i="5"/>
  <c r="O157" i="8" s="1"/>
  <c r="AB157" i="8" s="1"/>
  <c r="AC157" i="8" s="1"/>
  <c r="AD157" i="8" s="1"/>
  <c r="AE157" i="8" s="1"/>
  <c r="B157" i="6"/>
  <c r="O84" i="5"/>
  <c r="O84" i="8" s="1"/>
  <c r="AB84" i="8" s="1"/>
  <c r="AC84" i="8" s="1"/>
  <c r="AD84" i="8" s="1"/>
  <c r="AE84" i="8" s="1"/>
  <c r="B84" i="6"/>
  <c r="P213" i="8"/>
  <c r="N213" i="7"/>
  <c r="B206" i="7"/>
  <c r="B206" i="8" s="1"/>
  <c r="AH206" i="6"/>
  <c r="O202" i="5"/>
  <c r="O202" i="8" s="1"/>
  <c r="AB202" i="8" s="1"/>
  <c r="AC202" i="8" s="1"/>
  <c r="AD202" i="8" s="1"/>
  <c r="AE202" i="8" s="1"/>
  <c r="B202" i="6"/>
  <c r="AH136" i="6"/>
  <c r="B136" i="7"/>
  <c r="B136" i="8" s="1"/>
  <c r="O99" i="5"/>
  <c r="O99" i="8" s="1"/>
  <c r="AB99" i="8" s="1"/>
  <c r="AC99" i="8" s="1"/>
  <c r="AD99" i="8" s="1"/>
  <c r="AE99" i="8" s="1"/>
  <c r="B99" i="6"/>
  <c r="AA195" i="8"/>
  <c r="AH144" i="6"/>
  <c r="B144" i="7"/>
  <c r="B144" i="8" s="1"/>
  <c r="O116" i="5"/>
  <c r="O116" i="8" s="1"/>
  <c r="AB116" i="8" s="1"/>
  <c r="AC116" i="8" s="1"/>
  <c r="AD116" i="8" s="1"/>
  <c r="AE116" i="8" s="1"/>
  <c r="B116" i="6"/>
  <c r="B158" i="6"/>
  <c r="O158" i="5"/>
  <c r="O158" i="8" s="1"/>
  <c r="AB158" i="8" s="1"/>
  <c r="AC158" i="8" s="1"/>
  <c r="AD158" i="8" s="1"/>
  <c r="AE158" i="8" s="1"/>
  <c r="O72" i="5"/>
  <c r="O72" i="8" s="1"/>
  <c r="AB72" i="8" s="1"/>
  <c r="AC72" i="8" s="1"/>
  <c r="AD72" i="8" s="1"/>
  <c r="AE72" i="8" s="1"/>
  <c r="B72" i="6"/>
  <c r="O194" i="5"/>
  <c r="O194" i="8" s="1"/>
  <c r="AB194" i="8" s="1"/>
  <c r="AC194" i="8" s="1"/>
  <c r="AD194" i="8" s="1"/>
  <c r="AE194" i="8" s="1"/>
  <c r="B194" i="6"/>
  <c r="O174" i="5"/>
  <c r="O174" i="8" s="1"/>
  <c r="AB174" i="8" s="1"/>
  <c r="AC174" i="8" s="1"/>
  <c r="AD174" i="8" s="1"/>
  <c r="AE174" i="8" s="1"/>
  <c r="B174" i="6"/>
  <c r="B162" i="7"/>
  <c r="B162" i="8" s="1"/>
  <c r="AH162" i="6"/>
  <c r="AH216" i="6"/>
  <c r="P216" i="8" s="1"/>
  <c r="B216" i="7"/>
  <c r="B187" i="7"/>
  <c r="B187" i="8" s="1"/>
  <c r="AH187" i="6"/>
  <c r="AA167" i="8"/>
  <c r="B118" i="7"/>
  <c r="AH118" i="6"/>
  <c r="P118" i="8" s="1"/>
  <c r="AH106" i="6"/>
  <c r="B106" i="7"/>
  <c r="B106" i="8" s="1"/>
  <c r="AH82" i="6"/>
  <c r="B82" i="7"/>
  <c r="B82" i="8" s="1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B185" i="3"/>
  <c r="B184" i="3"/>
  <c r="B183" i="3"/>
  <c r="B182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B149" i="3"/>
  <c r="B148" i="3"/>
  <c r="B147" i="3"/>
  <c r="B146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B113" i="3"/>
  <c r="B112" i="3"/>
  <c r="B111" i="3"/>
  <c r="B110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B77" i="3"/>
  <c r="B76" i="3"/>
  <c r="B75" i="3"/>
  <c r="B74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C60" i="4" s="1"/>
  <c r="C60" i="5" s="1"/>
  <c r="C60" i="6" s="1"/>
  <c r="C60" i="7" s="1"/>
  <c r="C60" i="8" s="1"/>
  <c r="B60" i="3"/>
  <c r="C59" i="3"/>
  <c r="C59" i="4" s="1"/>
  <c r="C59" i="5" s="1"/>
  <c r="C59" i="6" s="1"/>
  <c r="C59" i="7" s="1"/>
  <c r="C59" i="8" s="1"/>
  <c r="B59" i="3"/>
  <c r="C58" i="3"/>
  <c r="C58" i="4" s="1"/>
  <c r="C58" i="5" s="1"/>
  <c r="C58" i="6" s="1"/>
  <c r="C58" i="7" s="1"/>
  <c r="C58" i="8" s="1"/>
  <c r="B58" i="3"/>
  <c r="C57" i="3"/>
  <c r="C57" i="4" s="1"/>
  <c r="C57" i="5" s="1"/>
  <c r="C57" i="6" s="1"/>
  <c r="C57" i="7" s="1"/>
  <c r="C57" i="8" s="1"/>
  <c r="B57" i="3"/>
  <c r="C56" i="3"/>
  <c r="C56" i="4" s="1"/>
  <c r="C56" i="5" s="1"/>
  <c r="C56" i="6" s="1"/>
  <c r="C56" i="7" s="1"/>
  <c r="C56" i="8" s="1"/>
  <c r="B56" i="3"/>
  <c r="C55" i="3"/>
  <c r="C55" i="4" s="1"/>
  <c r="C55" i="5" s="1"/>
  <c r="C55" i="6" s="1"/>
  <c r="C55" i="7" s="1"/>
  <c r="C55" i="8" s="1"/>
  <c r="B55" i="3"/>
  <c r="C54" i="3"/>
  <c r="C54" i="4" s="1"/>
  <c r="C54" i="5" s="1"/>
  <c r="C54" i="6" s="1"/>
  <c r="C54" i="7" s="1"/>
  <c r="C54" i="8" s="1"/>
  <c r="B54" i="3"/>
  <c r="C53" i="3"/>
  <c r="C53" i="4" s="1"/>
  <c r="C53" i="5" s="1"/>
  <c r="C53" i="6" s="1"/>
  <c r="C53" i="7" s="1"/>
  <c r="C53" i="8" s="1"/>
  <c r="B53" i="3"/>
  <c r="C52" i="3"/>
  <c r="C52" i="4" s="1"/>
  <c r="C52" i="5" s="1"/>
  <c r="C52" i="6" s="1"/>
  <c r="C52" i="7" s="1"/>
  <c r="C52" i="8" s="1"/>
  <c r="B52" i="3"/>
  <c r="C51" i="3"/>
  <c r="C51" i="4" s="1"/>
  <c r="C51" i="5" s="1"/>
  <c r="C51" i="6" s="1"/>
  <c r="C51" i="7" s="1"/>
  <c r="C51" i="8" s="1"/>
  <c r="B51" i="3"/>
  <c r="C50" i="3"/>
  <c r="C50" i="4" s="1"/>
  <c r="C50" i="5" s="1"/>
  <c r="C50" i="6" s="1"/>
  <c r="C50" i="7" s="1"/>
  <c r="C50" i="8" s="1"/>
  <c r="B50" i="3"/>
  <c r="C49" i="3"/>
  <c r="C49" i="4" s="1"/>
  <c r="C49" i="5" s="1"/>
  <c r="C49" i="6" s="1"/>
  <c r="C49" i="7" s="1"/>
  <c r="C49" i="8" s="1"/>
  <c r="B49" i="3"/>
  <c r="C48" i="3"/>
  <c r="C48" i="4" s="1"/>
  <c r="C48" i="5" s="1"/>
  <c r="C48" i="6" s="1"/>
  <c r="C48" i="7" s="1"/>
  <c r="C48" i="8" s="1"/>
  <c r="B48" i="3"/>
  <c r="C47" i="3"/>
  <c r="C47" i="4" s="1"/>
  <c r="C47" i="5" s="1"/>
  <c r="C47" i="6" s="1"/>
  <c r="C47" i="7" s="1"/>
  <c r="C47" i="8" s="1"/>
  <c r="B47" i="3"/>
  <c r="C46" i="3"/>
  <c r="C46" i="4" s="1"/>
  <c r="C46" i="5" s="1"/>
  <c r="C46" i="6" s="1"/>
  <c r="C46" i="7" s="1"/>
  <c r="C46" i="8" s="1"/>
  <c r="B46" i="3"/>
  <c r="C45" i="3"/>
  <c r="C45" i="4" s="1"/>
  <c r="C45" i="5" s="1"/>
  <c r="C45" i="6" s="1"/>
  <c r="C45" i="7" s="1"/>
  <c r="C45" i="8" s="1"/>
  <c r="B45" i="3"/>
  <c r="C44" i="3"/>
  <c r="C44" i="4" s="1"/>
  <c r="C44" i="5" s="1"/>
  <c r="C44" i="6" s="1"/>
  <c r="C44" i="7" s="1"/>
  <c r="C44" i="8" s="1"/>
  <c r="B44" i="3"/>
  <c r="C43" i="3"/>
  <c r="C43" i="4" s="1"/>
  <c r="C43" i="5" s="1"/>
  <c r="C43" i="6" s="1"/>
  <c r="C43" i="7" s="1"/>
  <c r="C43" i="8" s="1"/>
  <c r="B43" i="3"/>
  <c r="B41" i="3"/>
  <c r="B41" i="4" s="1"/>
  <c r="B41" i="5" s="1"/>
  <c r="B41" i="6" s="1"/>
  <c r="B41" i="7" s="1"/>
  <c r="B41" i="8" s="1"/>
  <c r="B40" i="3"/>
  <c r="B40" i="4" s="1"/>
  <c r="B40" i="5" s="1"/>
  <c r="B40" i="6" s="1"/>
  <c r="B40" i="7" s="1"/>
  <c r="B40" i="8" s="1"/>
  <c r="B39" i="3"/>
  <c r="B39" i="4" s="1"/>
  <c r="B39" i="5" s="1"/>
  <c r="B39" i="6" s="1"/>
  <c r="B39" i="7" s="1"/>
  <c r="B39" i="8" s="1"/>
  <c r="B38" i="3"/>
  <c r="B37" i="3"/>
  <c r="B37" i="4" s="1"/>
  <c r="B37" i="5" s="1"/>
  <c r="B37" i="6" s="1"/>
  <c r="B37" i="7" s="1"/>
  <c r="B37" i="8" s="1"/>
  <c r="B1" i="3"/>
  <c r="B1" i="4" s="1"/>
  <c r="B1" i="5" s="1"/>
  <c r="B1" i="6" l="1"/>
  <c r="B1" i="7" s="1"/>
  <c r="B1" i="8" s="1"/>
  <c r="AF1" i="8" s="1"/>
  <c r="I1" i="10"/>
  <c r="D39" i="6"/>
  <c r="D39" i="7" s="1"/>
  <c r="K38" i="10"/>
  <c r="D75" i="6"/>
  <c r="D75" i="7" s="1"/>
  <c r="K74" i="10"/>
  <c r="B172" i="10"/>
  <c r="B461" i="10"/>
  <c r="B104" i="10"/>
  <c r="B87" i="10"/>
  <c r="B155" i="10"/>
  <c r="B53" i="10"/>
  <c r="B410" i="10"/>
  <c r="B121" i="10"/>
  <c r="B342" i="10"/>
  <c r="B359" i="10"/>
  <c r="B444" i="10"/>
  <c r="B257" i="10"/>
  <c r="B70" i="10"/>
  <c r="B376" i="10"/>
  <c r="B291" i="10"/>
  <c r="B427" i="10"/>
  <c r="B36" i="10"/>
  <c r="B495" i="10"/>
  <c r="B478" i="10"/>
  <c r="B274" i="10"/>
  <c r="B206" i="10"/>
  <c r="B138" i="10"/>
  <c r="B325" i="10"/>
  <c r="B189" i="10"/>
  <c r="B308" i="10"/>
  <c r="B223" i="10"/>
  <c r="B19" i="10"/>
  <c r="B240" i="10"/>
  <c r="B393" i="10"/>
  <c r="B2" i="10"/>
  <c r="AA213" i="8"/>
  <c r="AH101" i="6"/>
  <c r="P101" i="8" s="1"/>
  <c r="B128" i="7"/>
  <c r="B128" i="8" s="1"/>
  <c r="P98" i="8"/>
  <c r="N115" i="7"/>
  <c r="N122" i="7"/>
  <c r="AH64" i="6"/>
  <c r="P64" i="8" s="1"/>
  <c r="D110" i="8"/>
  <c r="D110" i="5"/>
  <c r="D147" i="4"/>
  <c r="D183" i="3"/>
  <c r="D183" i="4" s="1"/>
  <c r="N87" i="7"/>
  <c r="B81" i="7"/>
  <c r="B81" i="8" s="1"/>
  <c r="B70" i="7"/>
  <c r="B70" i="8" s="1"/>
  <c r="AH63" i="6"/>
  <c r="B63" i="7"/>
  <c r="B63" i="8" s="1"/>
  <c r="AA162" i="8"/>
  <c r="AH94" i="6"/>
  <c r="P94" i="8" s="1"/>
  <c r="B94" i="7"/>
  <c r="N169" i="7"/>
  <c r="B169" i="8"/>
  <c r="P82" i="8"/>
  <c r="N82" i="7"/>
  <c r="AH174" i="6"/>
  <c r="P174" i="8" s="1"/>
  <c r="B174" i="7"/>
  <c r="AH99" i="6"/>
  <c r="B99" i="7"/>
  <c r="B99" i="8" s="1"/>
  <c r="AA206" i="8"/>
  <c r="AH143" i="6"/>
  <c r="B143" i="7"/>
  <c r="B143" i="8" s="1"/>
  <c r="AA90" i="8"/>
  <c r="N101" i="7"/>
  <c r="B101" i="8"/>
  <c r="P197" i="8"/>
  <c r="N197" i="7"/>
  <c r="AH61" i="6"/>
  <c r="B61" i="7"/>
  <c r="B61" i="8" s="1"/>
  <c r="AH93" i="6"/>
  <c r="P93" i="8" s="1"/>
  <c r="B93" i="7"/>
  <c r="N161" i="7"/>
  <c r="B161" i="8"/>
  <c r="N105" i="7"/>
  <c r="B105" i="8"/>
  <c r="N200" i="7"/>
  <c r="B200" i="8"/>
  <c r="AH121" i="6"/>
  <c r="P121" i="8" s="1"/>
  <c r="B121" i="7"/>
  <c r="AH68" i="6"/>
  <c r="P68" i="8" s="1"/>
  <c r="B68" i="7"/>
  <c r="AH71" i="6"/>
  <c r="P71" i="8" s="1"/>
  <c r="B71" i="7"/>
  <c r="N177" i="7"/>
  <c r="B177" i="8"/>
  <c r="AH117" i="6"/>
  <c r="P117" i="8" s="1"/>
  <c r="B117" i="7"/>
  <c r="AH141" i="6"/>
  <c r="P141" i="8" s="1"/>
  <c r="B141" i="7"/>
  <c r="AA178" i="8"/>
  <c r="B146" i="8"/>
  <c r="B103" i="7"/>
  <c r="B103" i="8" s="1"/>
  <c r="AH103" i="6"/>
  <c r="AA197" i="8"/>
  <c r="AH119" i="6"/>
  <c r="B119" i="7"/>
  <c r="B119" i="8" s="1"/>
  <c r="B110" i="8"/>
  <c r="AH209" i="6"/>
  <c r="P209" i="8" s="1"/>
  <c r="B209" i="7"/>
  <c r="B64" i="8"/>
  <c r="AH65" i="6"/>
  <c r="P65" i="8" s="1"/>
  <c r="B65" i="7"/>
  <c r="AA208" i="8"/>
  <c r="B66" i="7"/>
  <c r="AH66" i="6"/>
  <c r="P66" i="8" s="1"/>
  <c r="AH196" i="6"/>
  <c r="P196" i="8" s="1"/>
  <c r="B196" i="7"/>
  <c r="AH100" i="6"/>
  <c r="B100" i="7"/>
  <c r="B100" i="8" s="1"/>
  <c r="AH173" i="6"/>
  <c r="P173" i="8" s="1"/>
  <c r="B173" i="7"/>
  <c r="AA189" i="8"/>
  <c r="P187" i="8"/>
  <c r="N187" i="7"/>
  <c r="P190" i="8"/>
  <c r="N190" i="7"/>
  <c r="AH92" i="6"/>
  <c r="B92" i="7"/>
  <c r="B92" i="8" s="1"/>
  <c r="AH199" i="6"/>
  <c r="P199" i="8" s="1"/>
  <c r="B199" i="7"/>
  <c r="AH171" i="6"/>
  <c r="P171" i="8" s="1"/>
  <c r="B171" i="7"/>
  <c r="AH201" i="6"/>
  <c r="P201" i="8" s="1"/>
  <c r="B201" i="7"/>
  <c r="AH96" i="6"/>
  <c r="P96" i="8" s="1"/>
  <c r="B96" i="7"/>
  <c r="AH215" i="6"/>
  <c r="P215" i="8" s="1"/>
  <c r="B215" i="7"/>
  <c r="AH91" i="6"/>
  <c r="B91" i="7"/>
  <c r="B91" i="8" s="1"/>
  <c r="AA82" i="8"/>
  <c r="P90" i="8"/>
  <c r="N90" i="7"/>
  <c r="AA122" i="8"/>
  <c r="AH129" i="6"/>
  <c r="P129" i="8" s="1"/>
  <c r="B129" i="7"/>
  <c r="B138" i="7"/>
  <c r="AH138" i="6"/>
  <c r="P138" i="8" s="1"/>
  <c r="AH83" i="6"/>
  <c r="B83" i="7"/>
  <c r="B83" i="8" s="1"/>
  <c r="P128" i="8"/>
  <c r="N128" i="7"/>
  <c r="P205" i="8"/>
  <c r="N205" i="7"/>
  <c r="AH165" i="6"/>
  <c r="P165" i="8" s="1"/>
  <c r="B165" i="7"/>
  <c r="B74" i="7"/>
  <c r="P106" i="8"/>
  <c r="N106" i="7"/>
  <c r="AH194" i="6"/>
  <c r="P194" i="8" s="1"/>
  <c r="B194" i="7"/>
  <c r="AH135" i="6"/>
  <c r="B135" i="7"/>
  <c r="B135" i="8" s="1"/>
  <c r="AH84" i="6"/>
  <c r="B84" i="7"/>
  <c r="B84" i="8" s="1"/>
  <c r="AH86" i="6"/>
  <c r="P86" i="8" s="1"/>
  <c r="B86" i="7"/>
  <c r="AA190" i="8"/>
  <c r="AA62" i="8"/>
  <c r="AH125" i="6"/>
  <c r="P125" i="8" s="1"/>
  <c r="B125" i="7"/>
  <c r="AH210" i="6"/>
  <c r="P210" i="8" s="1"/>
  <c r="B210" i="7"/>
  <c r="AH88" i="6"/>
  <c r="P88" i="8" s="1"/>
  <c r="B88" i="7"/>
  <c r="AA123" i="8"/>
  <c r="AH107" i="6"/>
  <c r="B107" i="7"/>
  <c r="B107" i="8" s="1"/>
  <c r="AH207" i="6"/>
  <c r="P207" i="8" s="1"/>
  <c r="B207" i="7"/>
  <c r="AH188" i="6"/>
  <c r="P188" i="8" s="1"/>
  <c r="B188" i="7"/>
  <c r="AA95" i="8"/>
  <c r="AH137" i="6"/>
  <c r="P137" i="8" s="1"/>
  <c r="B137" i="7"/>
  <c r="AA175" i="8"/>
  <c r="P214" i="8"/>
  <c r="N214" i="7"/>
  <c r="N97" i="7"/>
  <c r="B97" i="8"/>
  <c r="AH191" i="6"/>
  <c r="P191" i="8" s="1"/>
  <c r="B191" i="7"/>
  <c r="AH116" i="6"/>
  <c r="P116" i="8" s="1"/>
  <c r="B116" i="7"/>
  <c r="P178" i="8"/>
  <c r="N178" i="7"/>
  <c r="AA187" i="8"/>
  <c r="AH164" i="6"/>
  <c r="P164" i="8" s="1"/>
  <c r="B164" i="7"/>
  <c r="P142" i="8"/>
  <c r="N142" i="7"/>
  <c r="AH85" i="6"/>
  <c r="P85" i="8" s="1"/>
  <c r="B85" i="7"/>
  <c r="AH140" i="6"/>
  <c r="P140" i="8" s="1"/>
  <c r="B140" i="7"/>
  <c r="N118" i="7"/>
  <c r="B118" i="8"/>
  <c r="N216" i="7"/>
  <c r="B216" i="8"/>
  <c r="AA144" i="8"/>
  <c r="AH202" i="6"/>
  <c r="P202" i="8" s="1"/>
  <c r="B202" i="7"/>
  <c r="AA142" i="8"/>
  <c r="P159" i="8"/>
  <c r="N159" i="7"/>
  <c r="P151" i="8"/>
  <c r="N151" i="7"/>
  <c r="AA198" i="8"/>
  <c r="AH104" i="6"/>
  <c r="P104" i="8" s="1"/>
  <c r="B104" i="7"/>
  <c r="AH172" i="6"/>
  <c r="P172" i="8" s="1"/>
  <c r="B172" i="7"/>
  <c r="AH156" i="6"/>
  <c r="B156" i="7"/>
  <c r="B156" i="8" s="1"/>
  <c r="N89" i="7"/>
  <c r="B89" i="8"/>
  <c r="AH155" i="6"/>
  <c r="P155" i="8" s="1"/>
  <c r="B155" i="7"/>
  <c r="N62" i="7"/>
  <c r="P62" i="8"/>
  <c r="P123" i="8"/>
  <c r="N123" i="7"/>
  <c r="P154" i="8"/>
  <c r="N154" i="7"/>
  <c r="B182" i="8"/>
  <c r="N153" i="7"/>
  <c r="B153" i="8"/>
  <c r="AH152" i="6"/>
  <c r="P152" i="8" s="1"/>
  <c r="B152" i="7"/>
  <c r="P95" i="8"/>
  <c r="N95" i="7"/>
  <c r="P175" i="8"/>
  <c r="N175" i="7"/>
  <c r="AA214" i="8"/>
  <c r="AH179" i="6"/>
  <c r="P179" i="8" s="1"/>
  <c r="B179" i="7"/>
  <c r="P206" i="8"/>
  <c r="N206" i="7"/>
  <c r="P79" i="8"/>
  <c r="N79" i="7"/>
  <c r="B134" i="7"/>
  <c r="B134" i="8" s="1"/>
  <c r="AH134" i="6"/>
  <c r="AA136" i="8"/>
  <c r="P136" i="8"/>
  <c r="N136" i="7"/>
  <c r="P144" i="8"/>
  <c r="N144" i="7"/>
  <c r="AH157" i="6"/>
  <c r="P157" i="8" s="1"/>
  <c r="B157" i="7"/>
  <c r="B102" i="7"/>
  <c r="AH102" i="6"/>
  <c r="P102" i="8" s="1"/>
  <c r="AH212" i="6"/>
  <c r="P212" i="8" s="1"/>
  <c r="B212" i="7"/>
  <c r="AA159" i="8"/>
  <c r="AH133" i="6"/>
  <c r="P133" i="8" s="1"/>
  <c r="B133" i="7"/>
  <c r="AA151" i="8"/>
  <c r="P198" i="8"/>
  <c r="N198" i="7"/>
  <c r="N126" i="7"/>
  <c r="B126" i="8"/>
  <c r="AH160" i="6"/>
  <c r="P160" i="8" s="1"/>
  <c r="B160" i="7"/>
  <c r="AH80" i="6"/>
  <c r="P80" i="8" s="1"/>
  <c r="B80" i="7"/>
  <c r="AA154" i="8"/>
  <c r="AH120" i="6"/>
  <c r="B120" i="7"/>
  <c r="B120" i="8" s="1"/>
  <c r="AH132" i="6"/>
  <c r="P132" i="8" s="1"/>
  <c r="B132" i="7"/>
  <c r="P139" i="8"/>
  <c r="N139" i="7"/>
  <c r="P131" i="8"/>
  <c r="N131" i="7"/>
  <c r="AH124" i="6"/>
  <c r="P124" i="8" s="1"/>
  <c r="B124" i="7"/>
  <c r="AH168" i="6"/>
  <c r="P168" i="8" s="1"/>
  <c r="B168" i="7"/>
  <c r="AA203" i="8"/>
  <c r="P70" i="8"/>
  <c r="AH180" i="6"/>
  <c r="P180" i="8" s="1"/>
  <c r="B180" i="7"/>
  <c r="AA106" i="8"/>
  <c r="AH158" i="6"/>
  <c r="P158" i="8" s="1"/>
  <c r="B158" i="7"/>
  <c r="P162" i="8"/>
  <c r="N162" i="7"/>
  <c r="AH72" i="6"/>
  <c r="P72" i="8" s="1"/>
  <c r="B72" i="7"/>
  <c r="P189" i="8"/>
  <c r="N189" i="7"/>
  <c r="AH193" i="6"/>
  <c r="P193" i="8" s="1"/>
  <c r="B193" i="7"/>
  <c r="AH69" i="6"/>
  <c r="B69" i="7"/>
  <c r="B69" i="8" s="1"/>
  <c r="AH166" i="6"/>
  <c r="P166" i="8" s="1"/>
  <c r="B166" i="7"/>
  <c r="AH108" i="6"/>
  <c r="P108" i="8" s="1"/>
  <c r="B108" i="7"/>
  <c r="P203" i="8"/>
  <c r="N203" i="7"/>
  <c r="AA192" i="8"/>
  <c r="AH176" i="6"/>
  <c r="P176" i="8" s="1"/>
  <c r="B176" i="7"/>
  <c r="AA79" i="8"/>
  <c r="AH127" i="6"/>
  <c r="B127" i="7"/>
  <c r="B127" i="8" s="1"/>
  <c r="AH130" i="6"/>
  <c r="P130" i="8" s="1"/>
  <c r="B130" i="7"/>
  <c r="AA128" i="8"/>
  <c r="AA205" i="8"/>
  <c r="AH163" i="6"/>
  <c r="P163" i="8" s="1"/>
  <c r="B163" i="7"/>
  <c r="AH204" i="6"/>
  <c r="P204" i="8" s="1"/>
  <c r="B204" i="7"/>
  <c r="AA139" i="8"/>
  <c r="AA131" i="8"/>
  <c r="AH47" i="3"/>
  <c r="D47" i="5" s="1"/>
  <c r="D47" i="8" s="1"/>
  <c r="B47" i="4"/>
  <c r="B51" i="4"/>
  <c r="B51" i="5" s="1"/>
  <c r="AH51" i="3"/>
  <c r="B55" i="4"/>
  <c r="AH55" i="3"/>
  <c r="D55" i="5" s="1"/>
  <c r="D55" i="8" s="1"/>
  <c r="B59" i="4"/>
  <c r="B59" i="5" s="1"/>
  <c r="AH59" i="3"/>
  <c r="AH57" i="3"/>
  <c r="D57" i="5" s="1"/>
  <c r="D57" i="8" s="1"/>
  <c r="B57" i="4"/>
  <c r="AH43" i="3"/>
  <c r="B43" i="4"/>
  <c r="B43" i="5" s="1"/>
  <c r="B44" i="4"/>
  <c r="AH44" i="3"/>
  <c r="D44" i="5" s="1"/>
  <c r="D44" i="8" s="1"/>
  <c r="B52" i="4"/>
  <c r="AH52" i="3"/>
  <c r="D52" i="5" s="1"/>
  <c r="D52" i="8" s="1"/>
  <c r="AH60" i="3"/>
  <c r="D60" i="5" s="1"/>
  <c r="D60" i="8" s="1"/>
  <c r="B60" i="4"/>
  <c r="AH46" i="3"/>
  <c r="B46" i="4"/>
  <c r="B46" i="5" s="1"/>
  <c r="AH50" i="3"/>
  <c r="D50" i="5" s="1"/>
  <c r="D50" i="8" s="1"/>
  <c r="B50" i="4"/>
  <c r="B54" i="4"/>
  <c r="B54" i="5" s="1"/>
  <c r="AH54" i="3"/>
  <c r="AH58" i="3"/>
  <c r="D58" i="5" s="1"/>
  <c r="D58" i="8" s="1"/>
  <c r="B58" i="4"/>
  <c r="B48" i="4"/>
  <c r="AH48" i="3"/>
  <c r="D48" i="5" s="1"/>
  <c r="D48" i="8" s="1"/>
  <c r="AH56" i="3"/>
  <c r="D56" i="5" s="1"/>
  <c r="D56" i="8" s="1"/>
  <c r="B56" i="4"/>
  <c r="B38" i="4"/>
  <c r="B45" i="4"/>
  <c r="AH45" i="3"/>
  <c r="D45" i="5" s="1"/>
  <c r="D45" i="8" s="1"/>
  <c r="AH49" i="3"/>
  <c r="D49" i="5" s="1"/>
  <c r="D49" i="8" s="1"/>
  <c r="B49" i="4"/>
  <c r="B53" i="4"/>
  <c r="AH53" i="3"/>
  <c r="D53" i="5" s="1"/>
  <c r="D53" i="8" s="1"/>
  <c r="C36" i="3"/>
  <c r="C36" i="4" s="1"/>
  <c r="C36" i="5" s="1"/>
  <c r="C36" i="6" s="1"/>
  <c r="C36" i="7" s="1"/>
  <c r="C36" i="8" s="1"/>
  <c r="C35" i="3"/>
  <c r="C35" i="4" s="1"/>
  <c r="C35" i="5" s="1"/>
  <c r="C35" i="6" s="1"/>
  <c r="C35" i="7" s="1"/>
  <c r="C35" i="8" s="1"/>
  <c r="C34" i="3"/>
  <c r="C34" i="4" s="1"/>
  <c r="C34" i="5" s="1"/>
  <c r="C34" i="6" s="1"/>
  <c r="C34" i="7" s="1"/>
  <c r="C34" i="8" s="1"/>
  <c r="C33" i="3"/>
  <c r="C33" i="4" s="1"/>
  <c r="C33" i="5" s="1"/>
  <c r="C33" i="6" s="1"/>
  <c r="C33" i="7" s="1"/>
  <c r="C33" i="8" s="1"/>
  <c r="C32" i="3"/>
  <c r="C32" i="4" s="1"/>
  <c r="C32" i="5" s="1"/>
  <c r="C32" i="6" s="1"/>
  <c r="C32" i="7" s="1"/>
  <c r="C32" i="8" s="1"/>
  <c r="C31" i="3"/>
  <c r="C31" i="4" s="1"/>
  <c r="C31" i="5" s="1"/>
  <c r="C31" i="6" s="1"/>
  <c r="C31" i="7" s="1"/>
  <c r="C31" i="8" s="1"/>
  <c r="C30" i="3"/>
  <c r="C30" i="4" s="1"/>
  <c r="C30" i="5" s="1"/>
  <c r="C30" i="6" s="1"/>
  <c r="C30" i="7" s="1"/>
  <c r="C30" i="8" s="1"/>
  <c r="C29" i="3"/>
  <c r="C29" i="4" s="1"/>
  <c r="C29" i="5" s="1"/>
  <c r="C29" i="6" s="1"/>
  <c r="C29" i="7" s="1"/>
  <c r="C29" i="8" s="1"/>
  <c r="C28" i="3"/>
  <c r="C28" i="4" s="1"/>
  <c r="C28" i="5" s="1"/>
  <c r="C28" i="6" s="1"/>
  <c r="C28" i="7" s="1"/>
  <c r="C28" i="8" s="1"/>
  <c r="C27" i="3"/>
  <c r="C27" i="4" s="1"/>
  <c r="C27" i="5" s="1"/>
  <c r="C27" i="6" s="1"/>
  <c r="C27" i="7" s="1"/>
  <c r="C27" i="8" s="1"/>
  <c r="C26" i="3"/>
  <c r="C26" i="4" s="1"/>
  <c r="C26" i="5" s="1"/>
  <c r="C26" i="6" s="1"/>
  <c r="C26" i="7" s="1"/>
  <c r="C26" i="8" s="1"/>
  <c r="C25" i="3"/>
  <c r="C25" i="4" s="1"/>
  <c r="C25" i="5" s="1"/>
  <c r="C24" i="3"/>
  <c r="C24" i="4" s="1"/>
  <c r="C24" i="5" s="1"/>
  <c r="C23" i="3"/>
  <c r="C23" i="4" s="1"/>
  <c r="C23" i="5" s="1"/>
  <c r="C22" i="3"/>
  <c r="C22" i="4" s="1"/>
  <c r="C22" i="5" s="1"/>
  <c r="C21" i="3"/>
  <c r="C21" i="4" s="1"/>
  <c r="C21" i="5" s="1"/>
  <c r="C20" i="3"/>
  <c r="C20" i="4" s="1"/>
  <c r="C20" i="5" s="1"/>
  <c r="C19" i="3"/>
  <c r="C19" i="4" s="1"/>
  <c r="C19" i="5" s="1"/>
  <c r="C18" i="3"/>
  <c r="C18" i="4" s="1"/>
  <c r="C18" i="5" s="1"/>
  <c r="C17" i="3"/>
  <c r="C17" i="4" s="1"/>
  <c r="C17" i="5" s="1"/>
  <c r="C16" i="3"/>
  <c r="C16" i="4" s="1"/>
  <c r="C16" i="5" s="1"/>
  <c r="C15" i="3"/>
  <c r="C15" i="4" s="1"/>
  <c r="C15" i="5" s="1"/>
  <c r="C14" i="3"/>
  <c r="C14" i="4" s="1"/>
  <c r="C14" i="5" s="1"/>
  <c r="C13" i="3"/>
  <c r="C13" i="4" s="1"/>
  <c r="C13" i="5" s="1"/>
  <c r="C12" i="3"/>
  <c r="C12" i="4" s="1"/>
  <c r="C12" i="5" s="1"/>
  <c r="C11" i="3"/>
  <c r="C11" i="4" s="1"/>
  <c r="C11" i="5" s="1"/>
  <c r="C10" i="3"/>
  <c r="C10" i="4" s="1"/>
  <c r="C10" i="5" s="1"/>
  <c r="C9" i="3"/>
  <c r="C9" i="4" s="1"/>
  <c r="C9" i="5" s="1"/>
  <c r="C8" i="3"/>
  <c r="C8" i="4" s="1"/>
  <c r="C8" i="5" s="1"/>
  <c r="C7" i="3"/>
  <c r="C7" i="4" s="1"/>
  <c r="C7" i="5" s="1"/>
  <c r="C11" i="6" l="1"/>
  <c r="C11" i="7" s="1"/>
  <c r="C11" i="8" s="1"/>
  <c r="J11" i="10"/>
  <c r="C12" i="6"/>
  <c r="C12" i="7" s="1"/>
  <c r="C12" i="8" s="1"/>
  <c r="J12" i="10"/>
  <c r="C13" i="6"/>
  <c r="C13" i="7" s="1"/>
  <c r="C13" i="8" s="1"/>
  <c r="J13" i="10"/>
  <c r="C21" i="6"/>
  <c r="C21" i="7" s="1"/>
  <c r="C21" i="8" s="1"/>
  <c r="J21" i="10"/>
  <c r="C20" i="6"/>
  <c r="C20" i="7" s="1"/>
  <c r="C20" i="8" s="1"/>
  <c r="J20" i="10"/>
  <c r="C14" i="6"/>
  <c r="C14" i="7" s="1"/>
  <c r="C14" i="8" s="1"/>
  <c r="J14" i="10"/>
  <c r="C22" i="6"/>
  <c r="C22" i="7" s="1"/>
  <c r="C22" i="8" s="1"/>
  <c r="J22" i="10"/>
  <c r="C7" i="6"/>
  <c r="C7" i="7" s="1"/>
  <c r="C7" i="8" s="1"/>
  <c r="J7" i="10"/>
  <c r="C15" i="6"/>
  <c r="C15" i="7" s="1"/>
  <c r="C15" i="8" s="1"/>
  <c r="J15" i="10"/>
  <c r="C16" i="6"/>
  <c r="C16" i="7" s="1"/>
  <c r="C16" i="8" s="1"/>
  <c r="J16" i="10"/>
  <c r="C9" i="6"/>
  <c r="C9" i="7" s="1"/>
  <c r="C9" i="8" s="1"/>
  <c r="J9" i="10"/>
  <c r="C17" i="6"/>
  <c r="C17" i="7" s="1"/>
  <c r="C17" i="8" s="1"/>
  <c r="J17" i="10"/>
  <c r="C25" i="6"/>
  <c r="C25" i="7" s="1"/>
  <c r="C25" i="8" s="1"/>
  <c r="J25" i="10"/>
  <c r="C19" i="6"/>
  <c r="C19" i="7" s="1"/>
  <c r="C19" i="8" s="1"/>
  <c r="J19" i="10"/>
  <c r="C23" i="6"/>
  <c r="C23" i="7" s="1"/>
  <c r="C23" i="8" s="1"/>
  <c r="J23" i="10"/>
  <c r="C8" i="6"/>
  <c r="C8" i="7" s="1"/>
  <c r="C8" i="8" s="1"/>
  <c r="J8" i="10"/>
  <c r="C24" i="6"/>
  <c r="C24" i="7" s="1"/>
  <c r="C24" i="8" s="1"/>
  <c r="J24" i="10"/>
  <c r="C10" i="6"/>
  <c r="C10" i="7" s="1"/>
  <c r="C10" i="8" s="1"/>
  <c r="J10" i="10"/>
  <c r="C18" i="6"/>
  <c r="C18" i="7" s="1"/>
  <c r="C18" i="8" s="1"/>
  <c r="J18" i="10"/>
  <c r="D111" i="6"/>
  <c r="D111" i="7" s="1"/>
  <c r="K110" i="10"/>
  <c r="B1481" i="10"/>
  <c r="B1498" i="10"/>
  <c r="B1311" i="10"/>
  <c r="B1056" i="10"/>
  <c r="B1413" i="10"/>
  <c r="B1379" i="10"/>
  <c r="B1124" i="10"/>
  <c r="B1192" i="10"/>
  <c r="B1447" i="10"/>
  <c r="B1022" i="10"/>
  <c r="B1090" i="10"/>
  <c r="B1158" i="10"/>
  <c r="B1515" i="10"/>
  <c r="B1260" i="10"/>
  <c r="B1073" i="10"/>
  <c r="B1294" i="10"/>
  <c r="B1362" i="10"/>
  <c r="B1430" i="10"/>
  <c r="B1039" i="10"/>
  <c r="B1328" i="10"/>
  <c r="B1141" i="10"/>
  <c r="B1226" i="10"/>
  <c r="B1107" i="10"/>
  <c r="B1396" i="10"/>
  <c r="B1209" i="10"/>
  <c r="B1243" i="10"/>
  <c r="B1345" i="10"/>
  <c r="B1175" i="10"/>
  <c r="B1464" i="10"/>
  <c r="B1277" i="10"/>
  <c r="B835" i="10"/>
  <c r="B597" i="10"/>
  <c r="B546" i="10"/>
  <c r="B682" i="10"/>
  <c r="B903" i="10"/>
  <c r="B733" i="10"/>
  <c r="B937" i="10"/>
  <c r="B784" i="10"/>
  <c r="B750" i="10"/>
  <c r="B648" i="10"/>
  <c r="B818" i="10"/>
  <c r="B767" i="10"/>
  <c r="B886" i="10"/>
  <c r="B988" i="10"/>
  <c r="B512" i="10"/>
  <c r="B954" i="10"/>
  <c r="B852" i="10"/>
  <c r="B631" i="10"/>
  <c r="B1005" i="10"/>
  <c r="B801" i="10"/>
  <c r="B614" i="10"/>
  <c r="B563" i="10"/>
  <c r="B920" i="10"/>
  <c r="B529" i="10"/>
  <c r="B699" i="10"/>
  <c r="B716" i="10"/>
  <c r="B971" i="10"/>
  <c r="B580" i="10"/>
  <c r="B665" i="10"/>
  <c r="B869" i="10"/>
  <c r="W113" i="8"/>
  <c r="M113" i="8"/>
  <c r="E113" i="8"/>
  <c r="V113" i="8"/>
  <c r="L113" i="8"/>
  <c r="U113" i="8"/>
  <c r="K113" i="8"/>
  <c r="T113" i="8"/>
  <c r="J113" i="8"/>
  <c r="S113" i="8"/>
  <c r="I113" i="8"/>
  <c r="Z113" i="8"/>
  <c r="R113" i="8"/>
  <c r="H113" i="8"/>
  <c r="Y113" i="8"/>
  <c r="Q113" i="8"/>
  <c r="G113" i="8"/>
  <c r="X113" i="8"/>
  <c r="N113" i="8"/>
  <c r="F113" i="8"/>
  <c r="W185" i="8"/>
  <c r="M185" i="8"/>
  <c r="E185" i="8"/>
  <c r="V185" i="8"/>
  <c r="L185" i="8"/>
  <c r="U185" i="8"/>
  <c r="K185" i="8"/>
  <c r="T185" i="8"/>
  <c r="J185" i="8"/>
  <c r="S185" i="8"/>
  <c r="I185" i="8"/>
  <c r="Z185" i="8"/>
  <c r="R185" i="8"/>
  <c r="H185" i="8"/>
  <c r="Y185" i="8"/>
  <c r="Q185" i="8"/>
  <c r="G185" i="8"/>
  <c r="X185" i="8"/>
  <c r="N185" i="8"/>
  <c r="F185" i="8"/>
  <c r="S149" i="8"/>
  <c r="I149" i="8"/>
  <c r="Z149" i="8"/>
  <c r="R149" i="8"/>
  <c r="H149" i="8"/>
  <c r="Y149" i="8"/>
  <c r="Q149" i="8"/>
  <c r="G149" i="8"/>
  <c r="X149" i="8"/>
  <c r="N149" i="8"/>
  <c r="F149" i="8"/>
  <c r="W149" i="8"/>
  <c r="M149" i="8"/>
  <c r="E149" i="8"/>
  <c r="V149" i="8"/>
  <c r="L149" i="8"/>
  <c r="U149" i="8"/>
  <c r="K149" i="8"/>
  <c r="T149" i="8"/>
  <c r="J149" i="8"/>
  <c r="N64" i="7"/>
  <c r="D182" i="5"/>
  <c r="D182" i="8"/>
  <c r="D146" i="5"/>
  <c r="D146" i="8"/>
  <c r="N81" i="7"/>
  <c r="AA70" i="8"/>
  <c r="AA63" i="8"/>
  <c r="N70" i="7"/>
  <c r="P63" i="8"/>
  <c r="N63" i="7"/>
  <c r="AA134" i="8"/>
  <c r="N188" i="7"/>
  <c r="B188" i="8"/>
  <c r="AA92" i="8"/>
  <c r="N121" i="7"/>
  <c r="B121" i="8"/>
  <c r="N212" i="7"/>
  <c r="B212" i="8"/>
  <c r="AA153" i="8"/>
  <c r="P156" i="8"/>
  <c r="N156" i="7"/>
  <c r="B74" i="8"/>
  <c r="P92" i="8"/>
  <c r="N92" i="7"/>
  <c r="N66" i="7"/>
  <c r="B66" i="8"/>
  <c r="P127" i="8"/>
  <c r="N127" i="7"/>
  <c r="P120" i="8"/>
  <c r="N120" i="7"/>
  <c r="N172" i="7"/>
  <c r="B172" i="8"/>
  <c r="N202" i="7"/>
  <c r="B202" i="8"/>
  <c r="N85" i="7"/>
  <c r="B85" i="8"/>
  <c r="AA97" i="8"/>
  <c r="N137" i="7"/>
  <c r="B137" i="8"/>
  <c r="N207" i="7"/>
  <c r="B207" i="8"/>
  <c r="N88" i="7"/>
  <c r="B88" i="8"/>
  <c r="AA84" i="8"/>
  <c r="N201" i="7"/>
  <c r="B201" i="8"/>
  <c r="N173" i="7"/>
  <c r="B173" i="8"/>
  <c r="N209" i="7"/>
  <c r="B209" i="8"/>
  <c r="AA177" i="8"/>
  <c r="AA200" i="8"/>
  <c r="AA61" i="8"/>
  <c r="AA99" i="8"/>
  <c r="N94" i="7"/>
  <c r="B94" i="8"/>
  <c r="N191" i="7"/>
  <c r="B191" i="8"/>
  <c r="P119" i="8"/>
  <c r="N119" i="7"/>
  <c r="N93" i="7"/>
  <c r="B93" i="8"/>
  <c r="AA169" i="8"/>
  <c r="N193" i="7"/>
  <c r="B193" i="8"/>
  <c r="N124" i="7"/>
  <c r="B124" i="8"/>
  <c r="N108" i="7"/>
  <c r="B108" i="8"/>
  <c r="N133" i="7"/>
  <c r="B133" i="8"/>
  <c r="N61" i="7"/>
  <c r="P61" i="8"/>
  <c r="N99" i="7"/>
  <c r="P99" i="8"/>
  <c r="N176" i="7"/>
  <c r="B176" i="8"/>
  <c r="AA126" i="8"/>
  <c r="AA216" i="8"/>
  <c r="N171" i="7"/>
  <c r="B171" i="8"/>
  <c r="AA156" i="8"/>
  <c r="N129" i="7"/>
  <c r="B129" i="8"/>
  <c r="N160" i="7"/>
  <c r="B160" i="8"/>
  <c r="P84" i="8"/>
  <c r="N84" i="7"/>
  <c r="N102" i="7"/>
  <c r="B102" i="8"/>
  <c r="N155" i="7"/>
  <c r="B155" i="8"/>
  <c r="N104" i="7"/>
  <c r="B104" i="8"/>
  <c r="AA107" i="8"/>
  <c r="N210" i="7"/>
  <c r="B210" i="8"/>
  <c r="AA135" i="8"/>
  <c r="AA81" i="8"/>
  <c r="AA83" i="8"/>
  <c r="AA91" i="8"/>
  <c r="AA100" i="8"/>
  <c r="N71" i="7"/>
  <c r="B71" i="8"/>
  <c r="AA105" i="8"/>
  <c r="AA143" i="8"/>
  <c r="N174" i="7"/>
  <c r="B174" i="8"/>
  <c r="N163" i="7"/>
  <c r="B163" i="8"/>
  <c r="N166" i="7"/>
  <c r="B166" i="8"/>
  <c r="N72" i="7"/>
  <c r="B72" i="8"/>
  <c r="N157" i="7"/>
  <c r="B157" i="8"/>
  <c r="N179" i="7"/>
  <c r="B179" i="8"/>
  <c r="P107" i="8"/>
  <c r="N107" i="7"/>
  <c r="P135" i="8"/>
  <c r="N135" i="7"/>
  <c r="P83" i="8"/>
  <c r="N83" i="7"/>
  <c r="P91" i="8"/>
  <c r="N91" i="7"/>
  <c r="P100" i="8"/>
  <c r="N100" i="7"/>
  <c r="P103" i="8"/>
  <c r="N103" i="7"/>
  <c r="P143" i="8"/>
  <c r="N143" i="7"/>
  <c r="N117" i="7"/>
  <c r="B117" i="8"/>
  <c r="N158" i="7"/>
  <c r="B158" i="8"/>
  <c r="AA120" i="8"/>
  <c r="N204" i="7"/>
  <c r="B204" i="8"/>
  <c r="AA89" i="8"/>
  <c r="AA118" i="8"/>
  <c r="N164" i="7"/>
  <c r="B164" i="8"/>
  <c r="N116" i="7"/>
  <c r="B116" i="8"/>
  <c r="N125" i="7"/>
  <c r="B125" i="8"/>
  <c r="N194" i="7"/>
  <c r="B194" i="8"/>
  <c r="N165" i="7"/>
  <c r="B165" i="8"/>
  <c r="N215" i="7"/>
  <c r="B215" i="8"/>
  <c r="N199" i="7"/>
  <c r="B199" i="8"/>
  <c r="N196" i="7"/>
  <c r="B196" i="8"/>
  <c r="N65" i="7"/>
  <c r="B65" i="8"/>
  <c r="AA103" i="8"/>
  <c r="N141" i="7"/>
  <c r="B141" i="8"/>
  <c r="N68" i="7"/>
  <c r="B68" i="8"/>
  <c r="AA161" i="8"/>
  <c r="AA101" i="8"/>
  <c r="N69" i="7"/>
  <c r="P69" i="8"/>
  <c r="N140" i="7"/>
  <c r="B140" i="8"/>
  <c r="N86" i="7"/>
  <c r="B86" i="8"/>
  <c r="N96" i="7"/>
  <c r="B96" i="8"/>
  <c r="AA64" i="8"/>
  <c r="AA127" i="8"/>
  <c r="N130" i="7"/>
  <c r="B130" i="8"/>
  <c r="AA69" i="8"/>
  <c r="N180" i="7"/>
  <c r="B180" i="8"/>
  <c r="N168" i="7"/>
  <c r="B168" i="8"/>
  <c r="N132" i="7"/>
  <c r="B132" i="8"/>
  <c r="N80" i="7"/>
  <c r="B80" i="8"/>
  <c r="P134" i="8"/>
  <c r="N134" i="7"/>
  <c r="N152" i="7"/>
  <c r="B152" i="8"/>
  <c r="N138" i="7"/>
  <c r="B138" i="8"/>
  <c r="AA119" i="8"/>
  <c r="B54" i="6"/>
  <c r="D54" i="5"/>
  <c r="D54" i="8" s="1"/>
  <c r="N54" i="4"/>
  <c r="N59" i="4"/>
  <c r="D59" i="5"/>
  <c r="D59" i="8" s="1"/>
  <c r="N56" i="4"/>
  <c r="B56" i="5"/>
  <c r="N50" i="4"/>
  <c r="B50" i="5"/>
  <c r="N53" i="4"/>
  <c r="B53" i="5"/>
  <c r="N55" i="4"/>
  <c r="B55" i="5"/>
  <c r="B46" i="6"/>
  <c r="O46" i="5"/>
  <c r="O46" i="8" s="1"/>
  <c r="AB46" i="8" s="1"/>
  <c r="AC46" i="8" s="1"/>
  <c r="AD46" i="8" s="1"/>
  <c r="AE46" i="8" s="1"/>
  <c r="B43" i="6"/>
  <c r="N51" i="4"/>
  <c r="D51" i="5"/>
  <c r="D51" i="8" s="1"/>
  <c r="N52" i="4"/>
  <c r="B52" i="5"/>
  <c r="N49" i="4"/>
  <c r="B49" i="5"/>
  <c r="N43" i="4"/>
  <c r="D43" i="5"/>
  <c r="D43" i="8" s="1"/>
  <c r="B59" i="6"/>
  <c r="N44" i="4"/>
  <c r="B44" i="5"/>
  <c r="N48" i="4"/>
  <c r="B48" i="5"/>
  <c r="N46" i="4"/>
  <c r="D46" i="5"/>
  <c r="D46" i="8" s="1"/>
  <c r="O51" i="5"/>
  <c r="O51" i="8" s="1"/>
  <c r="AB51" i="8" s="1"/>
  <c r="AC51" i="8" s="1"/>
  <c r="AD51" i="8" s="1"/>
  <c r="AE51" i="8" s="1"/>
  <c r="B51" i="6"/>
  <c r="B38" i="5"/>
  <c r="N58" i="4"/>
  <c r="B58" i="5"/>
  <c r="N60" i="4"/>
  <c r="B60" i="5"/>
  <c r="N57" i="4"/>
  <c r="B57" i="5"/>
  <c r="N47" i="4"/>
  <c r="B47" i="5"/>
  <c r="N45" i="4"/>
  <c r="B45" i="5"/>
  <c r="Z36" i="8"/>
  <c r="Y36" i="8"/>
  <c r="X36" i="8"/>
  <c r="W36" i="8"/>
  <c r="V36" i="8"/>
  <c r="U36" i="8"/>
  <c r="T36" i="8"/>
  <c r="S36" i="8"/>
  <c r="R36" i="8"/>
  <c r="Q36" i="8"/>
  <c r="Z35" i="8"/>
  <c r="Y35" i="8"/>
  <c r="X35" i="8"/>
  <c r="W35" i="8"/>
  <c r="V35" i="8"/>
  <c r="U35" i="8"/>
  <c r="T35" i="8"/>
  <c r="S35" i="8"/>
  <c r="R35" i="8"/>
  <c r="Q35" i="8"/>
  <c r="Z34" i="8"/>
  <c r="Y34" i="8"/>
  <c r="X34" i="8"/>
  <c r="W34" i="8"/>
  <c r="V34" i="8"/>
  <c r="U34" i="8"/>
  <c r="T34" i="8"/>
  <c r="S34" i="8"/>
  <c r="R34" i="8"/>
  <c r="Q34" i="8"/>
  <c r="Z33" i="8"/>
  <c r="Y33" i="8"/>
  <c r="X33" i="8"/>
  <c r="W33" i="8"/>
  <c r="V33" i="8"/>
  <c r="U33" i="8"/>
  <c r="T33" i="8"/>
  <c r="S33" i="8"/>
  <c r="R33" i="8"/>
  <c r="Q33" i="8"/>
  <c r="Z32" i="8"/>
  <c r="Y32" i="8"/>
  <c r="X32" i="8"/>
  <c r="W32" i="8"/>
  <c r="V32" i="8"/>
  <c r="U32" i="8"/>
  <c r="T32" i="8"/>
  <c r="S32" i="8"/>
  <c r="R32" i="8"/>
  <c r="Q32" i="8"/>
  <c r="Z31" i="8"/>
  <c r="Y31" i="8"/>
  <c r="X31" i="8"/>
  <c r="W31" i="8"/>
  <c r="V31" i="8"/>
  <c r="U31" i="8"/>
  <c r="T31" i="8"/>
  <c r="S31" i="8"/>
  <c r="R31" i="8"/>
  <c r="Q31" i="8"/>
  <c r="Z30" i="8"/>
  <c r="Y30" i="8"/>
  <c r="X30" i="8"/>
  <c r="W30" i="8"/>
  <c r="V30" i="8"/>
  <c r="U30" i="8"/>
  <c r="T30" i="8"/>
  <c r="S30" i="8"/>
  <c r="R30" i="8"/>
  <c r="Q30" i="8"/>
  <c r="Z29" i="8"/>
  <c r="Y29" i="8"/>
  <c r="X29" i="8"/>
  <c r="W29" i="8"/>
  <c r="V29" i="8"/>
  <c r="U29" i="8"/>
  <c r="T29" i="8"/>
  <c r="S29" i="8"/>
  <c r="R29" i="8"/>
  <c r="Q29" i="8"/>
  <c r="Z28" i="8"/>
  <c r="Y28" i="8"/>
  <c r="X28" i="8"/>
  <c r="W28" i="8"/>
  <c r="V28" i="8"/>
  <c r="U28" i="8"/>
  <c r="T28" i="8"/>
  <c r="S28" i="8"/>
  <c r="R28" i="8"/>
  <c r="Q28" i="8"/>
  <c r="Z27" i="8"/>
  <c r="Y27" i="8"/>
  <c r="X27" i="8"/>
  <c r="W27" i="8"/>
  <c r="V27" i="8"/>
  <c r="U27" i="8"/>
  <c r="T27" i="8"/>
  <c r="S27" i="8"/>
  <c r="R27" i="8"/>
  <c r="Q27" i="8"/>
  <c r="Z26" i="8"/>
  <c r="Y26" i="8"/>
  <c r="X26" i="8"/>
  <c r="W26" i="8"/>
  <c r="V26" i="8"/>
  <c r="U26" i="8"/>
  <c r="T26" i="8"/>
  <c r="S26" i="8"/>
  <c r="R26" i="8"/>
  <c r="Q26" i="8"/>
  <c r="Z25" i="8"/>
  <c r="Y25" i="8"/>
  <c r="X25" i="8"/>
  <c r="W25" i="8"/>
  <c r="V25" i="8"/>
  <c r="U25" i="8"/>
  <c r="T25" i="8"/>
  <c r="S25" i="8"/>
  <c r="R25" i="8"/>
  <c r="Q25" i="8"/>
  <c r="Z24" i="8"/>
  <c r="Y24" i="8"/>
  <c r="X24" i="8"/>
  <c r="W24" i="8"/>
  <c r="V24" i="8"/>
  <c r="U24" i="8"/>
  <c r="T24" i="8"/>
  <c r="S24" i="8"/>
  <c r="R24" i="8"/>
  <c r="Q24" i="8"/>
  <c r="Z23" i="8"/>
  <c r="Y23" i="8"/>
  <c r="X23" i="8"/>
  <c r="W23" i="8"/>
  <c r="V23" i="8"/>
  <c r="U23" i="8"/>
  <c r="T23" i="8"/>
  <c r="S23" i="8"/>
  <c r="R23" i="8"/>
  <c r="Q23" i="8"/>
  <c r="Z22" i="8"/>
  <c r="Y22" i="8"/>
  <c r="X22" i="8"/>
  <c r="W22" i="8"/>
  <c r="V22" i="8"/>
  <c r="U22" i="8"/>
  <c r="T22" i="8"/>
  <c r="S22" i="8"/>
  <c r="R22" i="8"/>
  <c r="Q22" i="8"/>
  <c r="Z21" i="8"/>
  <c r="Y21" i="8"/>
  <c r="X21" i="8"/>
  <c r="W21" i="8"/>
  <c r="V21" i="8"/>
  <c r="U21" i="8"/>
  <c r="T21" i="8"/>
  <c r="S21" i="8"/>
  <c r="R21" i="8"/>
  <c r="Q21" i="8"/>
  <c r="Z20" i="8"/>
  <c r="Y20" i="8"/>
  <c r="X20" i="8"/>
  <c r="W20" i="8"/>
  <c r="V20" i="8"/>
  <c r="U20" i="8"/>
  <c r="T20" i="8"/>
  <c r="S20" i="8"/>
  <c r="R20" i="8"/>
  <c r="Q20" i="8"/>
  <c r="Z19" i="8"/>
  <c r="Y19" i="8"/>
  <c r="X19" i="8"/>
  <c r="W19" i="8"/>
  <c r="V19" i="8"/>
  <c r="U19" i="8"/>
  <c r="T19" i="8"/>
  <c r="S19" i="8"/>
  <c r="R19" i="8"/>
  <c r="Q19" i="8"/>
  <c r="Z18" i="8"/>
  <c r="Y18" i="8"/>
  <c r="X18" i="8"/>
  <c r="W18" i="8"/>
  <c r="V18" i="8"/>
  <c r="U18" i="8"/>
  <c r="T18" i="8"/>
  <c r="S18" i="8"/>
  <c r="R18" i="8"/>
  <c r="Q18" i="8"/>
  <c r="Z17" i="8"/>
  <c r="Y17" i="8"/>
  <c r="X17" i="8"/>
  <c r="W17" i="8"/>
  <c r="V17" i="8"/>
  <c r="U17" i="8"/>
  <c r="T17" i="8"/>
  <c r="S17" i="8"/>
  <c r="R17" i="8"/>
  <c r="Q17" i="8"/>
  <c r="Z16" i="8"/>
  <c r="Y16" i="8"/>
  <c r="X16" i="8"/>
  <c r="W16" i="8"/>
  <c r="V16" i="8"/>
  <c r="U16" i="8"/>
  <c r="T16" i="8"/>
  <c r="S16" i="8"/>
  <c r="R16" i="8"/>
  <c r="Q16" i="8"/>
  <c r="Z15" i="8"/>
  <c r="Y15" i="8"/>
  <c r="X15" i="8"/>
  <c r="W15" i="8"/>
  <c r="V15" i="8"/>
  <c r="U15" i="8"/>
  <c r="T15" i="8"/>
  <c r="S15" i="8"/>
  <c r="R15" i="8"/>
  <c r="Q15" i="8"/>
  <c r="Z14" i="8"/>
  <c r="Y14" i="8"/>
  <c r="X14" i="8"/>
  <c r="W14" i="8"/>
  <c r="V14" i="8"/>
  <c r="U14" i="8"/>
  <c r="T14" i="8"/>
  <c r="S14" i="8"/>
  <c r="R14" i="8"/>
  <c r="Q14" i="8"/>
  <c r="Z13" i="8"/>
  <c r="Y13" i="8"/>
  <c r="X13" i="8"/>
  <c r="W13" i="8"/>
  <c r="V13" i="8"/>
  <c r="U13" i="8"/>
  <c r="T13" i="8"/>
  <c r="S13" i="8"/>
  <c r="R13" i="8"/>
  <c r="Q13" i="8"/>
  <c r="Z12" i="8"/>
  <c r="Y12" i="8"/>
  <c r="X12" i="8"/>
  <c r="W12" i="8"/>
  <c r="V12" i="8"/>
  <c r="U12" i="8"/>
  <c r="T12" i="8"/>
  <c r="S12" i="8"/>
  <c r="R12" i="8"/>
  <c r="Q12" i="8"/>
  <c r="Z11" i="8"/>
  <c r="Y11" i="8"/>
  <c r="X11" i="8"/>
  <c r="W11" i="8"/>
  <c r="V11" i="8"/>
  <c r="U11" i="8"/>
  <c r="T11" i="8"/>
  <c r="S11" i="8"/>
  <c r="R11" i="8"/>
  <c r="Q11" i="8"/>
  <c r="Z10" i="8"/>
  <c r="Y10" i="8"/>
  <c r="X10" i="8"/>
  <c r="W10" i="8"/>
  <c r="V10" i="8"/>
  <c r="U10" i="8"/>
  <c r="T10" i="8"/>
  <c r="S10" i="8"/>
  <c r="R10" i="8"/>
  <c r="Q10" i="8"/>
  <c r="Z9" i="8"/>
  <c r="Y9" i="8"/>
  <c r="X9" i="8"/>
  <c r="W9" i="8"/>
  <c r="V9" i="8"/>
  <c r="U9" i="8"/>
  <c r="T9" i="8"/>
  <c r="S9" i="8"/>
  <c r="R9" i="8"/>
  <c r="Q9" i="8"/>
  <c r="Z8" i="8"/>
  <c r="Y8" i="8"/>
  <c r="X8" i="8"/>
  <c r="W8" i="8"/>
  <c r="V8" i="8"/>
  <c r="U8" i="8"/>
  <c r="T8" i="8"/>
  <c r="S8" i="8"/>
  <c r="R8" i="8"/>
  <c r="Q8" i="8"/>
  <c r="Z7" i="8"/>
  <c r="Y7" i="8"/>
  <c r="X7" i="8"/>
  <c r="W7" i="8"/>
  <c r="V7" i="8"/>
  <c r="U7" i="8"/>
  <c r="T7" i="8"/>
  <c r="S7" i="8"/>
  <c r="R7" i="8"/>
  <c r="Q7" i="8"/>
  <c r="D147" i="6" l="1"/>
  <c r="D147" i="7" s="1"/>
  <c r="K146" i="10"/>
  <c r="D183" i="6"/>
  <c r="D183" i="7" s="1"/>
  <c r="K182" i="10"/>
  <c r="B1821" i="10"/>
  <c r="B1668" i="10"/>
  <c r="B1702" i="10"/>
  <c r="B1583" i="10"/>
  <c r="B1923" i="10"/>
  <c r="B1991" i="10"/>
  <c r="B1889" i="10"/>
  <c r="B1566" i="10"/>
  <c r="B1651" i="10"/>
  <c r="B1634" i="10"/>
  <c r="B1617" i="10"/>
  <c r="B1787" i="10"/>
  <c r="B1906" i="10"/>
  <c r="B1685" i="10"/>
  <c r="B1940" i="10"/>
  <c r="B1600" i="10"/>
  <c r="B1719" i="10"/>
  <c r="B1736" i="10"/>
  <c r="B1872" i="10"/>
  <c r="B2025" i="10"/>
  <c r="B1753" i="10"/>
  <c r="B2008" i="10"/>
  <c r="B1804" i="10"/>
  <c r="B1838" i="10"/>
  <c r="B1532" i="10"/>
  <c r="B1974" i="10"/>
  <c r="B1770" i="10"/>
  <c r="B1855" i="10"/>
  <c r="B1957" i="10"/>
  <c r="B1549" i="10"/>
  <c r="S77" i="8"/>
  <c r="I77" i="8"/>
  <c r="Z77" i="8"/>
  <c r="R77" i="8"/>
  <c r="H77" i="8"/>
  <c r="Y77" i="8"/>
  <c r="Q77" i="8"/>
  <c r="G77" i="8"/>
  <c r="X77" i="8"/>
  <c r="N77" i="8"/>
  <c r="F77" i="8"/>
  <c r="W77" i="8"/>
  <c r="M77" i="8"/>
  <c r="E77" i="8"/>
  <c r="V77" i="8"/>
  <c r="L77" i="8"/>
  <c r="U77" i="8"/>
  <c r="K77" i="8"/>
  <c r="T77" i="8"/>
  <c r="J77" i="8"/>
  <c r="AA138" i="8"/>
  <c r="AA132" i="8"/>
  <c r="AA96" i="8"/>
  <c r="AA68" i="8"/>
  <c r="AA65" i="8"/>
  <c r="AA165" i="8"/>
  <c r="AA164" i="8"/>
  <c r="AA158" i="8"/>
  <c r="AA157" i="8"/>
  <c r="AA174" i="8"/>
  <c r="AA210" i="8"/>
  <c r="AA155" i="8"/>
  <c r="AA193" i="8"/>
  <c r="AA173" i="8"/>
  <c r="AA88" i="8"/>
  <c r="AA212" i="8"/>
  <c r="AA188" i="8"/>
  <c r="AA152" i="8"/>
  <c r="AA130" i="8"/>
  <c r="AA86" i="8"/>
  <c r="AA141" i="8"/>
  <c r="AA196" i="8"/>
  <c r="AA194" i="8"/>
  <c r="AA204" i="8"/>
  <c r="AA117" i="8"/>
  <c r="AA72" i="8"/>
  <c r="AA71" i="8"/>
  <c r="AA160" i="8"/>
  <c r="AA171" i="8"/>
  <c r="AA133" i="8"/>
  <c r="AA191" i="8"/>
  <c r="AA201" i="8"/>
  <c r="AA207" i="8"/>
  <c r="AA85" i="8"/>
  <c r="AA168" i="8"/>
  <c r="AA121" i="8"/>
  <c r="AA180" i="8"/>
  <c r="AA140" i="8"/>
  <c r="AA199" i="8"/>
  <c r="AA125" i="8"/>
  <c r="AA166" i="8"/>
  <c r="AA129" i="8"/>
  <c r="AA176" i="8"/>
  <c r="AA108" i="8"/>
  <c r="AA94" i="8"/>
  <c r="AA137" i="8"/>
  <c r="AA202" i="8"/>
  <c r="AA66" i="8"/>
  <c r="AA80" i="8"/>
  <c r="AA215" i="8"/>
  <c r="AA116" i="8"/>
  <c r="AA179" i="8"/>
  <c r="AA163" i="8"/>
  <c r="AA104" i="8"/>
  <c r="AA102" i="8"/>
  <c r="AA124" i="8"/>
  <c r="AA93" i="8"/>
  <c r="AA209" i="8"/>
  <c r="AA172" i="8"/>
  <c r="B38" i="6"/>
  <c r="AH46" i="6"/>
  <c r="B46" i="7"/>
  <c r="B46" i="8" s="1"/>
  <c r="O44" i="5"/>
  <c r="O44" i="8" s="1"/>
  <c r="AB44" i="8" s="1"/>
  <c r="AC44" i="8" s="1"/>
  <c r="AD44" i="8" s="1"/>
  <c r="AE44" i="8" s="1"/>
  <c r="B44" i="6"/>
  <c r="O57" i="5"/>
  <c r="O57" i="8" s="1"/>
  <c r="AB57" i="8" s="1"/>
  <c r="AC57" i="8" s="1"/>
  <c r="AD57" i="8" s="1"/>
  <c r="AE57" i="8" s="1"/>
  <c r="B57" i="6"/>
  <c r="O48" i="5"/>
  <c r="O48" i="8" s="1"/>
  <c r="AB48" i="8" s="1"/>
  <c r="AC48" i="8" s="1"/>
  <c r="AD48" i="8" s="1"/>
  <c r="AE48" i="8" s="1"/>
  <c r="B48" i="6"/>
  <c r="O55" i="5"/>
  <c r="O55" i="8" s="1"/>
  <c r="AB55" i="8" s="1"/>
  <c r="AC55" i="8" s="1"/>
  <c r="AD55" i="8" s="1"/>
  <c r="AE55" i="8" s="1"/>
  <c r="B55" i="6"/>
  <c r="AH51" i="6"/>
  <c r="B51" i="7"/>
  <c r="B51" i="8" s="1"/>
  <c r="O59" i="5"/>
  <c r="O59" i="8" s="1"/>
  <c r="AB59" i="8" s="1"/>
  <c r="AC59" i="8" s="1"/>
  <c r="AD59" i="8" s="1"/>
  <c r="AE59" i="8" s="1"/>
  <c r="O53" i="5"/>
  <c r="O53" i="8" s="1"/>
  <c r="AB53" i="8" s="1"/>
  <c r="AC53" i="8" s="1"/>
  <c r="AD53" i="8" s="1"/>
  <c r="AE53" i="8" s="1"/>
  <c r="B53" i="6"/>
  <c r="O49" i="5"/>
  <c r="O49" i="8" s="1"/>
  <c r="AB49" i="8" s="1"/>
  <c r="AC49" i="8" s="1"/>
  <c r="AD49" i="8" s="1"/>
  <c r="AE49" i="8" s="1"/>
  <c r="B49" i="6"/>
  <c r="B47" i="6"/>
  <c r="O47" i="5"/>
  <c r="O47" i="8" s="1"/>
  <c r="AB47" i="8" s="1"/>
  <c r="AC47" i="8" s="1"/>
  <c r="AD47" i="8" s="1"/>
  <c r="AE47" i="8" s="1"/>
  <c r="O52" i="5"/>
  <c r="O52" i="8" s="1"/>
  <c r="AB52" i="8" s="1"/>
  <c r="AC52" i="8" s="1"/>
  <c r="AD52" i="8" s="1"/>
  <c r="AE52" i="8" s="1"/>
  <c r="B52" i="6"/>
  <c r="O60" i="5"/>
  <c r="O60" i="8" s="1"/>
  <c r="AB60" i="8" s="1"/>
  <c r="AC60" i="8" s="1"/>
  <c r="AD60" i="8" s="1"/>
  <c r="AE60" i="8" s="1"/>
  <c r="B60" i="6"/>
  <c r="AH59" i="6"/>
  <c r="B59" i="7"/>
  <c r="B59" i="8" s="1"/>
  <c r="O43" i="5"/>
  <c r="O43" i="8" s="1"/>
  <c r="AB43" i="8" s="1"/>
  <c r="AC43" i="8" s="1"/>
  <c r="AD43" i="8" s="1"/>
  <c r="AE43" i="8" s="1"/>
  <c r="B50" i="6"/>
  <c r="O50" i="5"/>
  <c r="O50" i="8" s="1"/>
  <c r="AB50" i="8" s="1"/>
  <c r="AC50" i="8" s="1"/>
  <c r="AD50" i="8" s="1"/>
  <c r="AE50" i="8" s="1"/>
  <c r="O54" i="5"/>
  <c r="O54" i="8" s="1"/>
  <c r="AB54" i="8" s="1"/>
  <c r="AC54" i="8" s="1"/>
  <c r="AD54" i="8" s="1"/>
  <c r="AE54" i="8" s="1"/>
  <c r="O56" i="5"/>
  <c r="O56" i="8" s="1"/>
  <c r="AB56" i="8" s="1"/>
  <c r="AC56" i="8" s="1"/>
  <c r="AD56" i="8" s="1"/>
  <c r="AE56" i="8" s="1"/>
  <c r="B56" i="6"/>
  <c r="O45" i="5"/>
  <c r="O45" i="8" s="1"/>
  <c r="AB45" i="8" s="1"/>
  <c r="AC45" i="8" s="1"/>
  <c r="AD45" i="8" s="1"/>
  <c r="AE45" i="8" s="1"/>
  <c r="B45" i="6"/>
  <c r="O58" i="5"/>
  <c r="O58" i="8" s="1"/>
  <c r="AB58" i="8" s="1"/>
  <c r="AC58" i="8" s="1"/>
  <c r="AD58" i="8" s="1"/>
  <c r="AE58" i="8" s="1"/>
  <c r="B58" i="6"/>
  <c r="AH43" i="6"/>
  <c r="B43" i="7"/>
  <c r="B43" i="8" s="1"/>
  <c r="AH54" i="6"/>
  <c r="B54" i="7"/>
  <c r="B54" i="8" s="1"/>
  <c r="M17" i="5"/>
  <c r="N17" i="5"/>
  <c r="B36" i="3"/>
  <c r="B35" i="3"/>
  <c r="B35" i="4" s="1"/>
  <c r="B35" i="5" s="1"/>
  <c r="B35" i="6" s="1"/>
  <c r="B34" i="3"/>
  <c r="B34" i="4" s="1"/>
  <c r="B34" i="5" s="1"/>
  <c r="B34" i="6" s="1"/>
  <c r="B33" i="3"/>
  <c r="B33" i="4" s="1"/>
  <c r="B33" i="5" s="1"/>
  <c r="B33" i="6" s="1"/>
  <c r="B32" i="3"/>
  <c r="B32" i="4" s="1"/>
  <c r="B32" i="5" s="1"/>
  <c r="B32" i="6" s="1"/>
  <c r="B31" i="3"/>
  <c r="B31" i="4" s="1"/>
  <c r="B31" i="5" s="1"/>
  <c r="B31" i="6" s="1"/>
  <c r="B30" i="3"/>
  <c r="B30" i="4" s="1"/>
  <c r="B30" i="5" s="1"/>
  <c r="B30" i="6" s="1"/>
  <c r="B29" i="3"/>
  <c r="B29" i="4" s="1"/>
  <c r="B29" i="5" s="1"/>
  <c r="B29" i="6" s="1"/>
  <c r="B28" i="3"/>
  <c r="B28" i="4" s="1"/>
  <c r="B28" i="5" s="1"/>
  <c r="B28" i="6" s="1"/>
  <c r="B27" i="3"/>
  <c r="B27" i="4" s="1"/>
  <c r="B27" i="5" s="1"/>
  <c r="B27" i="6" s="1"/>
  <c r="B26" i="3"/>
  <c r="B26" i="4" s="1"/>
  <c r="B26" i="5" s="1"/>
  <c r="B26" i="6" s="1"/>
  <c r="B25" i="3"/>
  <c r="B25" i="4" s="1"/>
  <c r="B25" i="5" s="1"/>
  <c r="B24" i="3"/>
  <c r="B24" i="4" s="1"/>
  <c r="B24" i="5" s="1"/>
  <c r="B23" i="3"/>
  <c r="B23" i="4" s="1"/>
  <c r="B23" i="5" s="1"/>
  <c r="B22" i="3"/>
  <c r="B22" i="4" s="1"/>
  <c r="B22" i="5" s="1"/>
  <c r="B21" i="3"/>
  <c r="B21" i="4" s="1"/>
  <c r="B21" i="5" s="1"/>
  <c r="B20" i="3"/>
  <c r="B20" i="4" s="1"/>
  <c r="B20" i="5" s="1"/>
  <c r="B19" i="3"/>
  <c r="B19" i="4" s="1"/>
  <c r="B19" i="5" s="1"/>
  <c r="B18" i="3"/>
  <c r="B18" i="4" s="1"/>
  <c r="B18" i="5" s="1"/>
  <c r="B17" i="3"/>
  <c r="B16" i="3"/>
  <c r="B15" i="3"/>
  <c r="B14" i="3"/>
  <c r="B13" i="3"/>
  <c r="B12" i="3"/>
  <c r="B11" i="3"/>
  <c r="B11" i="4" s="1"/>
  <c r="B11" i="5" s="1"/>
  <c r="B10" i="3"/>
  <c r="B10" i="4" s="1"/>
  <c r="B10" i="5" s="1"/>
  <c r="B9" i="3"/>
  <c r="B9" i="4" s="1"/>
  <c r="B9" i="5" s="1"/>
  <c r="B8" i="3"/>
  <c r="B8" i="4" s="1"/>
  <c r="B8" i="5" s="1"/>
  <c r="B7" i="3"/>
  <c r="B7" i="4" s="1"/>
  <c r="B7" i="5" s="1"/>
  <c r="N36" i="5"/>
  <c r="N36" i="8" s="1"/>
  <c r="M36" i="5"/>
  <c r="M36" i="8" s="1"/>
  <c r="L36" i="5"/>
  <c r="L36" i="8" s="1"/>
  <c r="K36" i="5"/>
  <c r="K36" i="8" s="1"/>
  <c r="J36" i="5"/>
  <c r="J36" i="8" s="1"/>
  <c r="I36" i="5"/>
  <c r="I36" i="8" s="1"/>
  <c r="H36" i="5"/>
  <c r="H36" i="8" s="1"/>
  <c r="G36" i="5"/>
  <c r="G36" i="8" s="1"/>
  <c r="F36" i="5"/>
  <c r="F36" i="8" s="1"/>
  <c r="E36" i="5"/>
  <c r="E36" i="8" s="1"/>
  <c r="N35" i="5"/>
  <c r="N35" i="8" s="1"/>
  <c r="M35" i="5"/>
  <c r="M35" i="8" s="1"/>
  <c r="L35" i="5"/>
  <c r="L35" i="8" s="1"/>
  <c r="K35" i="5"/>
  <c r="K35" i="8" s="1"/>
  <c r="J35" i="5"/>
  <c r="J35" i="8" s="1"/>
  <c r="I35" i="5"/>
  <c r="I35" i="8" s="1"/>
  <c r="H35" i="5"/>
  <c r="H35" i="8" s="1"/>
  <c r="G35" i="5"/>
  <c r="G35" i="8" s="1"/>
  <c r="F35" i="5"/>
  <c r="F35" i="8" s="1"/>
  <c r="E35" i="5"/>
  <c r="E35" i="8" s="1"/>
  <c r="N34" i="5"/>
  <c r="N34" i="8" s="1"/>
  <c r="M34" i="5"/>
  <c r="M34" i="8" s="1"/>
  <c r="L34" i="5"/>
  <c r="L34" i="8" s="1"/>
  <c r="K34" i="5"/>
  <c r="K34" i="8" s="1"/>
  <c r="J34" i="5"/>
  <c r="J34" i="8" s="1"/>
  <c r="I34" i="5"/>
  <c r="I34" i="8" s="1"/>
  <c r="H34" i="5"/>
  <c r="H34" i="8" s="1"/>
  <c r="G34" i="5"/>
  <c r="G34" i="8" s="1"/>
  <c r="F34" i="5"/>
  <c r="F34" i="8" s="1"/>
  <c r="E34" i="5"/>
  <c r="E34" i="8" s="1"/>
  <c r="N33" i="5"/>
  <c r="N33" i="8" s="1"/>
  <c r="M33" i="5"/>
  <c r="M33" i="8" s="1"/>
  <c r="L33" i="5"/>
  <c r="L33" i="8" s="1"/>
  <c r="K33" i="5"/>
  <c r="K33" i="8" s="1"/>
  <c r="J33" i="5"/>
  <c r="J33" i="8" s="1"/>
  <c r="I33" i="5"/>
  <c r="I33" i="8" s="1"/>
  <c r="H33" i="5"/>
  <c r="H33" i="8" s="1"/>
  <c r="G33" i="5"/>
  <c r="G33" i="8" s="1"/>
  <c r="F33" i="5"/>
  <c r="F33" i="8" s="1"/>
  <c r="E33" i="5"/>
  <c r="E33" i="8" s="1"/>
  <c r="N32" i="5"/>
  <c r="N32" i="8" s="1"/>
  <c r="M32" i="5"/>
  <c r="M32" i="8" s="1"/>
  <c r="L32" i="5"/>
  <c r="L32" i="8" s="1"/>
  <c r="K32" i="5"/>
  <c r="K32" i="8" s="1"/>
  <c r="J32" i="5"/>
  <c r="J32" i="8" s="1"/>
  <c r="I32" i="5"/>
  <c r="I32" i="8" s="1"/>
  <c r="H32" i="5"/>
  <c r="H32" i="8" s="1"/>
  <c r="G32" i="5"/>
  <c r="G32" i="8" s="1"/>
  <c r="F32" i="5"/>
  <c r="F32" i="8" s="1"/>
  <c r="E32" i="5"/>
  <c r="E32" i="8" s="1"/>
  <c r="N31" i="5"/>
  <c r="N31" i="8" s="1"/>
  <c r="M31" i="5"/>
  <c r="M31" i="8" s="1"/>
  <c r="L31" i="5"/>
  <c r="L31" i="8" s="1"/>
  <c r="K31" i="5"/>
  <c r="K31" i="8" s="1"/>
  <c r="J31" i="5"/>
  <c r="J31" i="8" s="1"/>
  <c r="I31" i="5"/>
  <c r="I31" i="8" s="1"/>
  <c r="H31" i="5"/>
  <c r="H31" i="8" s="1"/>
  <c r="G31" i="5"/>
  <c r="G31" i="8" s="1"/>
  <c r="F31" i="5"/>
  <c r="F31" i="8" s="1"/>
  <c r="E31" i="5"/>
  <c r="E31" i="8" s="1"/>
  <c r="N30" i="5"/>
  <c r="N30" i="8" s="1"/>
  <c r="M30" i="5"/>
  <c r="M30" i="8" s="1"/>
  <c r="L30" i="5"/>
  <c r="L30" i="8" s="1"/>
  <c r="K30" i="5"/>
  <c r="K30" i="8" s="1"/>
  <c r="J30" i="5"/>
  <c r="J30" i="8" s="1"/>
  <c r="I30" i="5"/>
  <c r="I30" i="8" s="1"/>
  <c r="H30" i="5"/>
  <c r="H30" i="8" s="1"/>
  <c r="G30" i="5"/>
  <c r="G30" i="8" s="1"/>
  <c r="F30" i="5"/>
  <c r="F30" i="8" s="1"/>
  <c r="E30" i="5"/>
  <c r="E30" i="8" s="1"/>
  <c r="N29" i="5"/>
  <c r="N29" i="8" s="1"/>
  <c r="M29" i="5"/>
  <c r="M29" i="8" s="1"/>
  <c r="L29" i="5"/>
  <c r="L29" i="8" s="1"/>
  <c r="K29" i="5"/>
  <c r="K29" i="8" s="1"/>
  <c r="J29" i="5"/>
  <c r="J29" i="8" s="1"/>
  <c r="I29" i="5"/>
  <c r="I29" i="8" s="1"/>
  <c r="H29" i="5"/>
  <c r="H29" i="8" s="1"/>
  <c r="G29" i="5"/>
  <c r="G29" i="8" s="1"/>
  <c r="F29" i="5"/>
  <c r="F29" i="8" s="1"/>
  <c r="E29" i="5"/>
  <c r="E29" i="8" s="1"/>
  <c r="N28" i="5"/>
  <c r="N28" i="8" s="1"/>
  <c r="M28" i="5"/>
  <c r="M28" i="8" s="1"/>
  <c r="L28" i="5"/>
  <c r="L28" i="8" s="1"/>
  <c r="K28" i="5"/>
  <c r="K28" i="8" s="1"/>
  <c r="J28" i="5"/>
  <c r="J28" i="8" s="1"/>
  <c r="I28" i="5"/>
  <c r="I28" i="8" s="1"/>
  <c r="H28" i="5"/>
  <c r="H28" i="8" s="1"/>
  <c r="G28" i="5"/>
  <c r="G28" i="8" s="1"/>
  <c r="F28" i="5"/>
  <c r="F28" i="8" s="1"/>
  <c r="E28" i="5"/>
  <c r="E28" i="8" s="1"/>
  <c r="N27" i="5"/>
  <c r="N27" i="8" s="1"/>
  <c r="M27" i="5"/>
  <c r="M27" i="8" s="1"/>
  <c r="L27" i="5"/>
  <c r="L27" i="8" s="1"/>
  <c r="K27" i="5"/>
  <c r="K27" i="8" s="1"/>
  <c r="J27" i="5"/>
  <c r="J27" i="8" s="1"/>
  <c r="I27" i="5"/>
  <c r="I27" i="8" s="1"/>
  <c r="H27" i="5"/>
  <c r="H27" i="8" s="1"/>
  <c r="G27" i="5"/>
  <c r="G27" i="8" s="1"/>
  <c r="F27" i="5"/>
  <c r="F27" i="8" s="1"/>
  <c r="E27" i="5"/>
  <c r="E27" i="8" s="1"/>
  <c r="N26" i="5"/>
  <c r="N26" i="8" s="1"/>
  <c r="M26" i="5"/>
  <c r="M26" i="8" s="1"/>
  <c r="L26" i="5"/>
  <c r="L26" i="8" s="1"/>
  <c r="K26" i="5"/>
  <c r="K26" i="8" s="1"/>
  <c r="J26" i="5"/>
  <c r="J26" i="8" s="1"/>
  <c r="I26" i="5"/>
  <c r="I26" i="8" s="1"/>
  <c r="H26" i="5"/>
  <c r="H26" i="8" s="1"/>
  <c r="G26" i="5"/>
  <c r="G26" i="8" s="1"/>
  <c r="F26" i="5"/>
  <c r="F26" i="8" s="1"/>
  <c r="E26" i="5"/>
  <c r="E26" i="8" s="1"/>
  <c r="N25" i="5"/>
  <c r="M25" i="5"/>
  <c r="L25" i="5"/>
  <c r="K25" i="5"/>
  <c r="J25" i="5"/>
  <c r="I25" i="5"/>
  <c r="H25" i="5"/>
  <c r="G25" i="5"/>
  <c r="F25" i="5"/>
  <c r="E25" i="5"/>
  <c r="N24" i="5"/>
  <c r="M24" i="5"/>
  <c r="L24" i="5"/>
  <c r="K24" i="5"/>
  <c r="J24" i="5"/>
  <c r="I24" i="5"/>
  <c r="H24" i="5"/>
  <c r="G24" i="5"/>
  <c r="F24" i="5"/>
  <c r="E24" i="5"/>
  <c r="N23" i="5"/>
  <c r="M23" i="5"/>
  <c r="L23" i="5"/>
  <c r="K23" i="5"/>
  <c r="J23" i="5"/>
  <c r="I23" i="5"/>
  <c r="H23" i="5"/>
  <c r="G23" i="5"/>
  <c r="F23" i="5"/>
  <c r="E23" i="5"/>
  <c r="N22" i="5"/>
  <c r="M22" i="5"/>
  <c r="L22" i="5"/>
  <c r="K22" i="5"/>
  <c r="J22" i="5"/>
  <c r="I22" i="5"/>
  <c r="H22" i="5"/>
  <c r="G22" i="5"/>
  <c r="F22" i="5"/>
  <c r="E22" i="5"/>
  <c r="N21" i="5"/>
  <c r="M21" i="5"/>
  <c r="L21" i="5"/>
  <c r="K21" i="5"/>
  <c r="J21" i="5"/>
  <c r="I21" i="5"/>
  <c r="H21" i="5"/>
  <c r="G21" i="5"/>
  <c r="F21" i="5"/>
  <c r="E21" i="5"/>
  <c r="N20" i="5"/>
  <c r="M20" i="5"/>
  <c r="L20" i="5"/>
  <c r="K20" i="5"/>
  <c r="J20" i="5"/>
  <c r="I20" i="5"/>
  <c r="H20" i="5"/>
  <c r="G20" i="5"/>
  <c r="F20" i="5"/>
  <c r="E20" i="5"/>
  <c r="N19" i="5"/>
  <c r="M19" i="5"/>
  <c r="L19" i="5"/>
  <c r="K19" i="5"/>
  <c r="J19" i="5"/>
  <c r="I19" i="5"/>
  <c r="H19" i="5"/>
  <c r="G19" i="5"/>
  <c r="F19" i="5"/>
  <c r="E19" i="5"/>
  <c r="N18" i="5"/>
  <c r="M18" i="5"/>
  <c r="L18" i="5"/>
  <c r="K18" i="5"/>
  <c r="J18" i="5"/>
  <c r="I18" i="5"/>
  <c r="H18" i="5"/>
  <c r="G18" i="5"/>
  <c r="F18" i="5"/>
  <c r="E18" i="5"/>
  <c r="L17" i="5"/>
  <c r="K17" i="5"/>
  <c r="J17" i="5"/>
  <c r="I17" i="5"/>
  <c r="H17" i="5"/>
  <c r="G17" i="5"/>
  <c r="F17" i="5"/>
  <c r="E17" i="5"/>
  <c r="N16" i="5"/>
  <c r="M16" i="5"/>
  <c r="L16" i="5"/>
  <c r="K16" i="5"/>
  <c r="J16" i="5"/>
  <c r="I16" i="5"/>
  <c r="H16" i="5"/>
  <c r="G16" i="5"/>
  <c r="F16" i="5"/>
  <c r="E16" i="5"/>
  <c r="N15" i="5"/>
  <c r="M15" i="5"/>
  <c r="L15" i="5"/>
  <c r="K15" i="5"/>
  <c r="J15" i="5"/>
  <c r="I15" i="5"/>
  <c r="H15" i="5"/>
  <c r="G15" i="5"/>
  <c r="F15" i="5"/>
  <c r="E15" i="5"/>
  <c r="N14" i="5"/>
  <c r="M14" i="5"/>
  <c r="L14" i="5"/>
  <c r="K14" i="5"/>
  <c r="J14" i="5"/>
  <c r="I14" i="5"/>
  <c r="H14" i="5"/>
  <c r="G14" i="5"/>
  <c r="F14" i="5"/>
  <c r="E14" i="5"/>
  <c r="N13" i="5"/>
  <c r="M13" i="5"/>
  <c r="L13" i="5"/>
  <c r="K13" i="5"/>
  <c r="J13" i="5"/>
  <c r="I13" i="5"/>
  <c r="H13" i="5"/>
  <c r="G13" i="5"/>
  <c r="F13" i="5"/>
  <c r="E13" i="5"/>
  <c r="N12" i="5"/>
  <c r="M12" i="5"/>
  <c r="L12" i="5"/>
  <c r="K12" i="5"/>
  <c r="J12" i="5"/>
  <c r="I12" i="5"/>
  <c r="H12" i="5"/>
  <c r="G12" i="5"/>
  <c r="F12" i="5"/>
  <c r="E12" i="5"/>
  <c r="N11" i="5"/>
  <c r="M11" i="5"/>
  <c r="L11" i="5"/>
  <c r="K11" i="5"/>
  <c r="J11" i="5"/>
  <c r="I11" i="5"/>
  <c r="H11" i="5"/>
  <c r="G11" i="5"/>
  <c r="F11" i="5"/>
  <c r="E11" i="5"/>
  <c r="N10" i="5"/>
  <c r="M10" i="5"/>
  <c r="L10" i="5"/>
  <c r="K10" i="5"/>
  <c r="J10" i="5"/>
  <c r="I10" i="5"/>
  <c r="H10" i="5"/>
  <c r="G10" i="5"/>
  <c r="F10" i="5"/>
  <c r="E10" i="5"/>
  <c r="N9" i="5"/>
  <c r="M9" i="5"/>
  <c r="L9" i="5"/>
  <c r="K9" i="5"/>
  <c r="J9" i="5"/>
  <c r="I9" i="5"/>
  <c r="H9" i="5"/>
  <c r="G9" i="5"/>
  <c r="F9" i="5"/>
  <c r="E9" i="5"/>
  <c r="N8" i="5"/>
  <c r="M8" i="5"/>
  <c r="L8" i="5"/>
  <c r="K8" i="5"/>
  <c r="J8" i="5"/>
  <c r="I8" i="5"/>
  <c r="H8" i="5"/>
  <c r="G8" i="5"/>
  <c r="F8" i="5"/>
  <c r="E8" i="5"/>
  <c r="N7" i="8"/>
  <c r="M7" i="8"/>
  <c r="L7" i="8"/>
  <c r="K7" i="8"/>
  <c r="J7" i="8"/>
  <c r="I7" i="8"/>
  <c r="H7" i="8"/>
  <c r="G7" i="8"/>
  <c r="F7" i="8"/>
  <c r="E7" i="8"/>
  <c r="F25" i="8" l="1"/>
  <c r="M25" i="10"/>
  <c r="N25" i="8"/>
  <c r="U25" i="10"/>
  <c r="G25" i="8"/>
  <c r="N25" i="10"/>
  <c r="H25" i="8"/>
  <c r="O25" i="10"/>
  <c r="I25" i="8"/>
  <c r="P25" i="10"/>
  <c r="J25" i="8"/>
  <c r="Q25" i="10"/>
  <c r="K25" i="8"/>
  <c r="R25" i="10"/>
  <c r="L25" i="8"/>
  <c r="S25" i="10"/>
  <c r="E25" i="8"/>
  <c r="L25" i="10"/>
  <c r="M25" i="8"/>
  <c r="T25" i="10"/>
  <c r="H24" i="8"/>
  <c r="O24" i="10"/>
  <c r="I24" i="8"/>
  <c r="P24" i="10"/>
  <c r="J24" i="8"/>
  <c r="Q24" i="10"/>
  <c r="K24" i="8"/>
  <c r="R24" i="10"/>
  <c r="L24" i="8"/>
  <c r="S24" i="10"/>
  <c r="M24" i="8"/>
  <c r="T24" i="10"/>
  <c r="N24" i="8"/>
  <c r="U24" i="10"/>
  <c r="E24" i="8"/>
  <c r="L24" i="10"/>
  <c r="F24" i="8"/>
  <c r="M24" i="10"/>
  <c r="G24" i="8"/>
  <c r="N24" i="10"/>
  <c r="F10" i="8"/>
  <c r="M10" i="10"/>
  <c r="I9" i="8"/>
  <c r="P9" i="10"/>
  <c r="E11" i="8"/>
  <c r="L11" i="10"/>
  <c r="G14" i="8"/>
  <c r="N14" i="10"/>
  <c r="I18" i="8"/>
  <c r="P18" i="10"/>
  <c r="E20" i="8"/>
  <c r="L20" i="10"/>
  <c r="I22" i="8"/>
  <c r="P22" i="10"/>
  <c r="F8" i="8"/>
  <c r="M8" i="10"/>
  <c r="N8" i="8"/>
  <c r="U8" i="10"/>
  <c r="L9" i="8"/>
  <c r="S9" i="10"/>
  <c r="J10" i="8"/>
  <c r="Q10" i="10"/>
  <c r="H11" i="8"/>
  <c r="O11" i="10"/>
  <c r="F12" i="8"/>
  <c r="M12" i="10"/>
  <c r="N12" i="8"/>
  <c r="U12" i="10"/>
  <c r="L13" i="8"/>
  <c r="S13" i="10"/>
  <c r="J14" i="8"/>
  <c r="Q14" i="10"/>
  <c r="H15" i="8"/>
  <c r="O15" i="10"/>
  <c r="F16" i="8"/>
  <c r="M16" i="10"/>
  <c r="N16" i="8"/>
  <c r="U16" i="10"/>
  <c r="L17" i="8"/>
  <c r="S17" i="10"/>
  <c r="L18" i="8"/>
  <c r="S18" i="10"/>
  <c r="J19" i="8"/>
  <c r="Q19" i="10"/>
  <c r="H20" i="8"/>
  <c r="O20" i="10"/>
  <c r="F21" i="8"/>
  <c r="M21" i="10"/>
  <c r="N21" i="8"/>
  <c r="U21" i="10"/>
  <c r="L22" i="8"/>
  <c r="S22" i="10"/>
  <c r="J23" i="8"/>
  <c r="Q23" i="10"/>
  <c r="G10" i="8"/>
  <c r="N10" i="10"/>
  <c r="I13" i="8"/>
  <c r="P13" i="10"/>
  <c r="K16" i="8"/>
  <c r="R16" i="10"/>
  <c r="K21" i="8"/>
  <c r="R21" i="10"/>
  <c r="G8" i="8"/>
  <c r="N8" i="10"/>
  <c r="E9" i="8"/>
  <c r="L9" i="10"/>
  <c r="K10" i="8"/>
  <c r="R10" i="10"/>
  <c r="I11" i="8"/>
  <c r="P11" i="10"/>
  <c r="G12" i="8"/>
  <c r="N12" i="10"/>
  <c r="E13" i="8"/>
  <c r="L13" i="10"/>
  <c r="M13" i="8"/>
  <c r="T13" i="10"/>
  <c r="K14" i="8"/>
  <c r="R14" i="10"/>
  <c r="I15" i="8"/>
  <c r="P15" i="10"/>
  <c r="G16" i="8"/>
  <c r="N16" i="10"/>
  <c r="E17" i="8"/>
  <c r="L17" i="10"/>
  <c r="E18" i="8"/>
  <c r="L18" i="10"/>
  <c r="M18" i="8"/>
  <c r="T18" i="10"/>
  <c r="K19" i="8"/>
  <c r="R19" i="10"/>
  <c r="I20" i="8"/>
  <c r="P20" i="10"/>
  <c r="G21" i="8"/>
  <c r="N21" i="10"/>
  <c r="E22" i="8"/>
  <c r="L22" i="10"/>
  <c r="M22" i="8"/>
  <c r="T22" i="10"/>
  <c r="K23" i="8"/>
  <c r="R23" i="10"/>
  <c r="J8" i="8"/>
  <c r="Q8" i="10"/>
  <c r="K8" i="8"/>
  <c r="R8" i="10"/>
  <c r="M11" i="8"/>
  <c r="T11" i="10"/>
  <c r="E15" i="8"/>
  <c r="L15" i="10"/>
  <c r="M20" i="8"/>
  <c r="T20" i="10"/>
  <c r="M9" i="8"/>
  <c r="T9" i="10"/>
  <c r="H8" i="8"/>
  <c r="O8" i="10"/>
  <c r="F9" i="8"/>
  <c r="M9" i="10"/>
  <c r="N9" i="8"/>
  <c r="U9" i="10"/>
  <c r="L10" i="8"/>
  <c r="S10" i="10"/>
  <c r="J11" i="8"/>
  <c r="Q11" i="10"/>
  <c r="H12" i="8"/>
  <c r="O12" i="10"/>
  <c r="F13" i="8"/>
  <c r="M13" i="10"/>
  <c r="N13" i="8"/>
  <c r="U13" i="10"/>
  <c r="L14" i="8"/>
  <c r="S14" i="10"/>
  <c r="J15" i="8"/>
  <c r="Q15" i="10"/>
  <c r="H16" i="8"/>
  <c r="O16" i="10"/>
  <c r="F17" i="8"/>
  <c r="M17" i="10"/>
  <c r="F18" i="8"/>
  <c r="M18" i="10"/>
  <c r="N18" i="8"/>
  <c r="U18" i="10"/>
  <c r="L19" i="8"/>
  <c r="S19" i="10"/>
  <c r="J20" i="8"/>
  <c r="Q20" i="10"/>
  <c r="H21" i="8"/>
  <c r="O21" i="10"/>
  <c r="F22" i="8"/>
  <c r="M22" i="10"/>
  <c r="N22" i="8"/>
  <c r="U22" i="10"/>
  <c r="L23" i="8"/>
  <c r="S23" i="10"/>
  <c r="I8" i="8"/>
  <c r="P8" i="10"/>
  <c r="G9" i="8"/>
  <c r="N9" i="10"/>
  <c r="E10" i="8"/>
  <c r="L10" i="10"/>
  <c r="M10" i="8"/>
  <c r="T10" i="10"/>
  <c r="K11" i="8"/>
  <c r="R11" i="10"/>
  <c r="I12" i="8"/>
  <c r="P12" i="10"/>
  <c r="G13" i="8"/>
  <c r="N13" i="10"/>
  <c r="E14" i="8"/>
  <c r="L14" i="10"/>
  <c r="M14" i="8"/>
  <c r="T14" i="10"/>
  <c r="K15" i="8"/>
  <c r="R15" i="10"/>
  <c r="I16" i="8"/>
  <c r="P16" i="10"/>
  <c r="G17" i="8"/>
  <c r="N17" i="10"/>
  <c r="G18" i="8"/>
  <c r="N18" i="10"/>
  <c r="E19" i="8"/>
  <c r="L19" i="10"/>
  <c r="M19" i="8"/>
  <c r="T19" i="10"/>
  <c r="K20" i="8"/>
  <c r="R20" i="10"/>
  <c r="I21" i="8"/>
  <c r="P21" i="10"/>
  <c r="G22" i="8"/>
  <c r="N22" i="10"/>
  <c r="E23" i="8"/>
  <c r="L23" i="10"/>
  <c r="M23" i="8"/>
  <c r="T23" i="10"/>
  <c r="H9" i="8"/>
  <c r="O9" i="10"/>
  <c r="N10" i="8"/>
  <c r="U10" i="10"/>
  <c r="L11" i="8"/>
  <c r="S11" i="10"/>
  <c r="J12" i="8"/>
  <c r="Q12" i="10"/>
  <c r="H13" i="8"/>
  <c r="O13" i="10"/>
  <c r="F14" i="8"/>
  <c r="M14" i="10"/>
  <c r="N14" i="8"/>
  <c r="U14" i="10"/>
  <c r="L15" i="8"/>
  <c r="S15" i="10"/>
  <c r="J16" i="8"/>
  <c r="Q16" i="10"/>
  <c r="H17" i="8"/>
  <c r="O17" i="10"/>
  <c r="H18" i="8"/>
  <c r="O18" i="10"/>
  <c r="F19" i="8"/>
  <c r="M19" i="10"/>
  <c r="N19" i="8"/>
  <c r="U19" i="10"/>
  <c r="L20" i="8"/>
  <c r="S20" i="10"/>
  <c r="J21" i="8"/>
  <c r="Q21" i="10"/>
  <c r="H22" i="8"/>
  <c r="O22" i="10"/>
  <c r="F23" i="8"/>
  <c r="M23" i="10"/>
  <c r="N23" i="8"/>
  <c r="U23" i="10"/>
  <c r="K12" i="8"/>
  <c r="R12" i="10"/>
  <c r="M15" i="8"/>
  <c r="T15" i="10"/>
  <c r="I17" i="8"/>
  <c r="P17" i="10"/>
  <c r="G19" i="8"/>
  <c r="N19" i="10"/>
  <c r="G23" i="8"/>
  <c r="N23" i="10"/>
  <c r="N17" i="8"/>
  <c r="U17" i="10"/>
  <c r="L8" i="8"/>
  <c r="S8" i="10"/>
  <c r="J9" i="8"/>
  <c r="Q9" i="10"/>
  <c r="H10" i="8"/>
  <c r="O10" i="10"/>
  <c r="F11" i="8"/>
  <c r="M11" i="10"/>
  <c r="N11" i="8"/>
  <c r="U11" i="10"/>
  <c r="L12" i="8"/>
  <c r="S12" i="10"/>
  <c r="J13" i="8"/>
  <c r="Q13" i="10"/>
  <c r="H14" i="8"/>
  <c r="O14" i="10"/>
  <c r="F15" i="8"/>
  <c r="M15" i="10"/>
  <c r="N15" i="8"/>
  <c r="U15" i="10"/>
  <c r="L16" i="8"/>
  <c r="S16" i="10"/>
  <c r="J17" i="8"/>
  <c r="Q17" i="10"/>
  <c r="J18" i="8"/>
  <c r="Q18" i="10"/>
  <c r="H19" i="8"/>
  <c r="O19" i="10"/>
  <c r="F20" i="8"/>
  <c r="M20" i="10"/>
  <c r="N20" i="8"/>
  <c r="U20" i="10"/>
  <c r="L21" i="8"/>
  <c r="S21" i="10"/>
  <c r="J22" i="8"/>
  <c r="Q22" i="10"/>
  <c r="H23" i="8"/>
  <c r="O23" i="10"/>
  <c r="M17" i="8"/>
  <c r="T17" i="10"/>
  <c r="E8" i="8"/>
  <c r="L8" i="10"/>
  <c r="M8" i="8"/>
  <c r="T8" i="10"/>
  <c r="K9" i="8"/>
  <c r="R9" i="10"/>
  <c r="I10" i="8"/>
  <c r="P10" i="10"/>
  <c r="G11" i="8"/>
  <c r="N11" i="10"/>
  <c r="E12" i="8"/>
  <c r="L12" i="10"/>
  <c r="M12" i="8"/>
  <c r="T12" i="10"/>
  <c r="K13" i="8"/>
  <c r="R13" i="10"/>
  <c r="I14" i="8"/>
  <c r="P14" i="10"/>
  <c r="G15" i="8"/>
  <c r="N15" i="10"/>
  <c r="E16" i="8"/>
  <c r="L16" i="10"/>
  <c r="M16" i="8"/>
  <c r="T16" i="10"/>
  <c r="K17" i="8"/>
  <c r="R17" i="10"/>
  <c r="K18" i="8"/>
  <c r="R18" i="10"/>
  <c r="I19" i="8"/>
  <c r="P19" i="10"/>
  <c r="G20" i="8"/>
  <c r="N20" i="10"/>
  <c r="E21" i="8"/>
  <c r="L21" i="10"/>
  <c r="M21" i="8"/>
  <c r="T21" i="10"/>
  <c r="K22" i="8"/>
  <c r="R22" i="10"/>
  <c r="I23" i="8"/>
  <c r="P23" i="10"/>
  <c r="B25" i="6"/>
  <c r="I25" i="10"/>
  <c r="E307" i="10" s="1"/>
  <c r="B19" i="6"/>
  <c r="I19" i="10"/>
  <c r="E205" i="10" s="1"/>
  <c r="B24" i="6"/>
  <c r="I24" i="10"/>
  <c r="E290" i="10" s="1"/>
  <c r="B18" i="6"/>
  <c r="I18" i="10"/>
  <c r="E188" i="10" s="1"/>
  <c r="B20" i="6"/>
  <c r="I20" i="10"/>
  <c r="E222" i="10" s="1"/>
  <c r="B22" i="6"/>
  <c r="I22" i="10"/>
  <c r="E256" i="10" s="1"/>
  <c r="B8" i="6"/>
  <c r="I8" i="10"/>
  <c r="E18" i="10" s="1"/>
  <c r="B9" i="6"/>
  <c r="I9" i="10"/>
  <c r="E35" i="10" s="1"/>
  <c r="B10" i="6"/>
  <c r="I10" i="10"/>
  <c r="E52" i="10" s="1"/>
  <c r="B11" i="6"/>
  <c r="I11" i="10"/>
  <c r="E69" i="10" s="1"/>
  <c r="B21" i="6"/>
  <c r="I21" i="10"/>
  <c r="E239" i="10" s="1"/>
  <c r="B7" i="6"/>
  <c r="B7" i="7" s="1"/>
  <c r="B7" i="8" s="1"/>
  <c r="I7" i="10"/>
  <c r="E1" i="10" s="1"/>
  <c r="B23" i="6"/>
  <c r="I23" i="10"/>
  <c r="E273" i="10" s="1"/>
  <c r="B2059" i="10"/>
  <c r="B2042" i="10"/>
  <c r="B2875" i="10"/>
  <c r="B2994" i="10"/>
  <c r="B2926" i="10"/>
  <c r="B2909" i="10"/>
  <c r="B2824" i="10"/>
  <c r="B2671" i="10"/>
  <c r="B2841" i="10"/>
  <c r="B2552" i="10"/>
  <c r="B2977" i="10"/>
  <c r="B2569" i="10"/>
  <c r="B2858" i="10"/>
  <c r="B2586" i="10"/>
  <c r="B2654" i="10"/>
  <c r="B2637" i="10"/>
  <c r="B2603" i="10"/>
  <c r="B3045" i="10"/>
  <c r="B2620" i="10"/>
  <c r="B2892" i="10"/>
  <c r="B2807" i="10"/>
  <c r="B2790" i="10"/>
  <c r="B2739" i="10"/>
  <c r="B2756" i="10"/>
  <c r="B3028" i="10"/>
  <c r="B2960" i="10"/>
  <c r="B2722" i="10"/>
  <c r="B2705" i="10"/>
  <c r="B2943" i="10"/>
  <c r="B2773" i="10"/>
  <c r="B3011" i="10"/>
  <c r="B2688" i="10"/>
  <c r="B2433" i="10"/>
  <c r="B2450" i="10"/>
  <c r="B2348" i="10"/>
  <c r="B2178" i="10"/>
  <c r="B2484" i="10"/>
  <c r="B2212" i="10"/>
  <c r="B2144" i="10"/>
  <c r="B2365" i="10"/>
  <c r="B2297" i="10"/>
  <c r="B2110" i="10"/>
  <c r="B2093" i="10"/>
  <c r="B2076" i="10"/>
  <c r="B2382" i="10"/>
  <c r="B2501" i="10"/>
  <c r="B2229" i="10"/>
  <c r="B2314" i="10"/>
  <c r="B2399" i="10"/>
  <c r="B2331" i="10"/>
  <c r="B2246" i="10"/>
  <c r="B2467" i="10"/>
  <c r="B2127" i="10"/>
  <c r="B2195" i="10"/>
  <c r="B2518" i="10"/>
  <c r="B2263" i="10"/>
  <c r="B2535" i="10"/>
  <c r="B2161" i="10"/>
  <c r="B2416" i="10"/>
  <c r="B2280" i="10"/>
  <c r="G41" i="6"/>
  <c r="AE41" i="6"/>
  <c r="D41" i="6"/>
  <c r="Y41" i="6"/>
  <c r="V41" i="6"/>
  <c r="S41" i="6"/>
  <c r="P41" i="6"/>
  <c r="M41" i="6"/>
  <c r="J41" i="6"/>
  <c r="AA43" i="8"/>
  <c r="N43" i="7"/>
  <c r="P43" i="8"/>
  <c r="AH44" i="6"/>
  <c r="P44" i="8" s="1"/>
  <c r="B44" i="7"/>
  <c r="AH45" i="6"/>
  <c r="B45" i="7"/>
  <c r="B45" i="8" s="1"/>
  <c r="N46" i="7"/>
  <c r="P46" i="8"/>
  <c r="AA46" i="8" s="1"/>
  <c r="AH52" i="6"/>
  <c r="P52" i="8" s="1"/>
  <c r="B52" i="7"/>
  <c r="B58" i="7"/>
  <c r="AH58" i="6"/>
  <c r="P58" i="8" s="1"/>
  <c r="AH50" i="6"/>
  <c r="P50" i="8" s="1"/>
  <c r="B50" i="7"/>
  <c r="P51" i="8"/>
  <c r="AA51" i="8" s="1"/>
  <c r="N51" i="7"/>
  <c r="B38" i="7"/>
  <c r="AH47" i="6"/>
  <c r="P47" i="8" s="1"/>
  <c r="B47" i="7"/>
  <c r="AH55" i="6"/>
  <c r="P55" i="8" s="1"/>
  <c r="B55" i="7"/>
  <c r="AA59" i="8"/>
  <c r="AH49" i="6"/>
  <c r="P49" i="8" s="1"/>
  <c r="B49" i="7"/>
  <c r="P59" i="8"/>
  <c r="N59" i="7"/>
  <c r="AH48" i="6"/>
  <c r="P48" i="8" s="1"/>
  <c r="B48" i="7"/>
  <c r="AH56" i="6"/>
  <c r="P56" i="8" s="1"/>
  <c r="B56" i="7"/>
  <c r="AH60" i="6"/>
  <c r="P60" i="8" s="1"/>
  <c r="B60" i="7"/>
  <c r="AH53" i="6"/>
  <c r="B53" i="7"/>
  <c r="B53" i="8" s="1"/>
  <c r="P54" i="8"/>
  <c r="AA54" i="8" s="1"/>
  <c r="N54" i="7"/>
  <c r="AH57" i="6"/>
  <c r="P57" i="8" s="1"/>
  <c r="B57" i="7"/>
  <c r="B18" i="7"/>
  <c r="B18" i="8" s="1"/>
  <c r="AH18" i="6"/>
  <c r="AH12" i="3"/>
  <c r="B12" i="4"/>
  <c r="B12" i="5" s="1"/>
  <c r="B20" i="7"/>
  <c r="B20" i="8" s="1"/>
  <c r="AH20" i="6"/>
  <c r="AH28" i="6"/>
  <c r="B28" i="7"/>
  <c r="B28" i="8" s="1"/>
  <c r="AH36" i="3"/>
  <c r="B36" i="4"/>
  <c r="B36" i="5" s="1"/>
  <c r="B36" i="6" s="1"/>
  <c r="AH10" i="6"/>
  <c r="B10" i="7"/>
  <c r="B10" i="8" s="1"/>
  <c r="B29" i="7"/>
  <c r="B29" i="8" s="1"/>
  <c r="AH29" i="6"/>
  <c r="B27" i="7"/>
  <c r="B27" i="8" s="1"/>
  <c r="AH27" i="6"/>
  <c r="AH21" i="6"/>
  <c r="B21" i="7"/>
  <c r="B21" i="8" s="1"/>
  <c r="AH14" i="3"/>
  <c r="B14" i="4"/>
  <c r="B14" i="5" s="1"/>
  <c r="AH30" i="6"/>
  <c r="B30" i="7"/>
  <c r="B30" i="8" s="1"/>
  <c r="B11" i="7"/>
  <c r="B11" i="8" s="1"/>
  <c r="AH11" i="6"/>
  <c r="AH22" i="6"/>
  <c r="B22" i="7"/>
  <c r="B22" i="8" s="1"/>
  <c r="AH15" i="3"/>
  <c r="B15" i="4"/>
  <c r="B15" i="5" s="1"/>
  <c r="B19" i="7"/>
  <c r="B19" i="8" s="1"/>
  <c r="AH19" i="6"/>
  <c r="AH23" i="6"/>
  <c r="B23" i="7"/>
  <c r="B23" i="8" s="1"/>
  <c r="B31" i="7"/>
  <c r="B31" i="8" s="1"/>
  <c r="AH31" i="6"/>
  <c r="AH8" i="6"/>
  <c r="B8" i="7"/>
  <c r="B8" i="8" s="1"/>
  <c r="AH16" i="3"/>
  <c r="B16" i="4"/>
  <c r="B16" i="5" s="1"/>
  <c r="AH24" i="6"/>
  <c r="B24" i="7"/>
  <c r="B24" i="8" s="1"/>
  <c r="B32" i="7"/>
  <c r="B32" i="8" s="1"/>
  <c r="AH32" i="6"/>
  <c r="B35" i="7"/>
  <c r="B35" i="8" s="1"/>
  <c r="AH35" i="6"/>
  <c r="AH13" i="3"/>
  <c r="B13" i="4"/>
  <c r="B13" i="5" s="1"/>
  <c r="B9" i="7"/>
  <c r="B9" i="8" s="1"/>
  <c r="AH9" i="6"/>
  <c r="AH17" i="3"/>
  <c r="B17" i="4"/>
  <c r="B17" i="5" s="1"/>
  <c r="AH25" i="6"/>
  <c r="B25" i="7"/>
  <c r="B25" i="8" s="1"/>
  <c r="AH33" i="6"/>
  <c r="B33" i="7"/>
  <c r="B33" i="8" s="1"/>
  <c r="AH26" i="6"/>
  <c r="B26" i="7"/>
  <c r="B26" i="8" s="1"/>
  <c r="B34" i="7"/>
  <c r="B34" i="8" s="1"/>
  <c r="AH34" i="6"/>
  <c r="AH20" i="3"/>
  <c r="AH24" i="3"/>
  <c r="O32" i="5"/>
  <c r="O32" i="8" s="1"/>
  <c r="AH32" i="3"/>
  <c r="AH25" i="3"/>
  <c r="O33" i="5"/>
  <c r="O33" i="8" s="1"/>
  <c r="AH33" i="3"/>
  <c r="AH18" i="3"/>
  <c r="O26" i="5"/>
  <c r="O26" i="8" s="1"/>
  <c r="AH26" i="3"/>
  <c r="O34" i="5"/>
  <c r="O34" i="8" s="1"/>
  <c r="AH34" i="3"/>
  <c r="O28" i="5"/>
  <c r="O28" i="8" s="1"/>
  <c r="AH28" i="3"/>
  <c r="AH19" i="3"/>
  <c r="O27" i="5"/>
  <c r="O27" i="8" s="1"/>
  <c r="AH27" i="3"/>
  <c r="O35" i="5"/>
  <c r="O35" i="8" s="1"/>
  <c r="AH35" i="3"/>
  <c r="AH21" i="3"/>
  <c r="O29" i="5"/>
  <c r="O29" i="8" s="1"/>
  <c r="AH29" i="3"/>
  <c r="O30" i="5"/>
  <c r="O30" i="8" s="1"/>
  <c r="AH30" i="3"/>
  <c r="AH22" i="3"/>
  <c r="AH23" i="3"/>
  <c r="O31" i="5"/>
  <c r="O31" i="8" s="1"/>
  <c r="AH31" i="3"/>
  <c r="AH11" i="3"/>
  <c r="AH10" i="3"/>
  <c r="AH8" i="3"/>
  <c r="AH9" i="3"/>
  <c r="B16" i="6" l="1"/>
  <c r="I16" i="10"/>
  <c r="E154" i="10" s="1"/>
  <c r="AH7" i="6"/>
  <c r="P7" i="8" s="1"/>
  <c r="B13" i="6"/>
  <c r="B13" i="7" s="1"/>
  <c r="B13" i="8" s="1"/>
  <c r="I13" i="10"/>
  <c r="E103" i="10" s="1"/>
  <c r="B15" i="6"/>
  <c r="AH15" i="6" s="1"/>
  <c r="I15" i="10"/>
  <c r="E137" i="10" s="1"/>
  <c r="B14" i="6"/>
  <c r="I14" i="10"/>
  <c r="E120" i="10" s="1"/>
  <c r="B12" i="6"/>
  <c r="AH12" i="6" s="1"/>
  <c r="I12" i="10"/>
  <c r="E86" i="10" s="1"/>
  <c r="B17" i="6"/>
  <c r="I17" i="10"/>
  <c r="E171" i="10" s="1"/>
  <c r="N60" i="7"/>
  <c r="B60" i="8"/>
  <c r="N49" i="7"/>
  <c r="B49" i="8"/>
  <c r="AA53" i="8"/>
  <c r="N55" i="7"/>
  <c r="B55" i="8"/>
  <c r="N50" i="7"/>
  <c r="B50" i="8"/>
  <c r="AA45" i="8"/>
  <c r="N53" i="7"/>
  <c r="P53" i="8"/>
  <c r="N45" i="7"/>
  <c r="P45" i="8"/>
  <c r="N58" i="7"/>
  <c r="B58" i="8"/>
  <c r="N47" i="7"/>
  <c r="B47" i="8"/>
  <c r="N44" i="7"/>
  <c r="B44" i="8"/>
  <c r="N57" i="7"/>
  <c r="B57" i="8"/>
  <c r="N56" i="7"/>
  <c r="B56" i="8"/>
  <c r="B38" i="8"/>
  <c r="N52" i="7"/>
  <c r="B52" i="8"/>
  <c r="N48" i="7"/>
  <c r="B48" i="8"/>
  <c r="O36" i="5"/>
  <c r="O36" i="8" s="1"/>
  <c r="AB36" i="8" s="1"/>
  <c r="AC36" i="8" s="1"/>
  <c r="AD36" i="8" s="1"/>
  <c r="AE36" i="8" s="1"/>
  <c r="P11" i="8"/>
  <c r="N11" i="7"/>
  <c r="P33" i="8"/>
  <c r="N33" i="7"/>
  <c r="P28" i="8"/>
  <c r="N28" i="7"/>
  <c r="N7" i="7"/>
  <c r="P27" i="8"/>
  <c r="N27" i="7"/>
  <c r="P35" i="8"/>
  <c r="N35" i="7"/>
  <c r="P19" i="8"/>
  <c r="N19" i="7"/>
  <c r="P29" i="8"/>
  <c r="N29" i="7"/>
  <c r="N20" i="7"/>
  <c r="P20" i="8"/>
  <c r="N25" i="7"/>
  <c r="P25" i="8"/>
  <c r="N8" i="7"/>
  <c r="P8" i="8"/>
  <c r="P30" i="8"/>
  <c r="N30" i="7"/>
  <c r="B16" i="7"/>
  <c r="B16" i="8" s="1"/>
  <c r="AH16" i="6"/>
  <c r="P34" i="8"/>
  <c r="N34" i="7"/>
  <c r="AH17" i="6"/>
  <c r="B17" i="7"/>
  <c r="B17" i="8" s="1"/>
  <c r="P32" i="8"/>
  <c r="N32" i="7"/>
  <c r="P31" i="8"/>
  <c r="N31" i="7"/>
  <c r="AH14" i="6"/>
  <c r="B14" i="7"/>
  <c r="B14" i="8" s="1"/>
  <c r="P10" i="8"/>
  <c r="N10" i="7"/>
  <c r="P9" i="8"/>
  <c r="N9" i="7"/>
  <c r="AH36" i="6"/>
  <c r="B36" i="7"/>
  <c r="B36" i="8" s="1"/>
  <c r="P18" i="8"/>
  <c r="N18" i="7"/>
  <c r="N26" i="7"/>
  <c r="P26" i="8"/>
  <c r="P24" i="8"/>
  <c r="N24" i="7"/>
  <c r="P23" i="8"/>
  <c r="N23" i="7"/>
  <c r="N22" i="7"/>
  <c r="P22" i="8"/>
  <c r="P21" i="8"/>
  <c r="N21" i="7"/>
  <c r="N28" i="4"/>
  <c r="N20" i="4"/>
  <c r="N24" i="4"/>
  <c r="N32" i="4"/>
  <c r="N34" i="4"/>
  <c r="N10" i="4"/>
  <c r="N15" i="4"/>
  <c r="N21" i="4"/>
  <c r="N30" i="4"/>
  <c r="N14" i="4"/>
  <c r="N36" i="4"/>
  <c r="N23" i="4"/>
  <c r="N29" i="4"/>
  <c r="N19" i="4"/>
  <c r="N17" i="4"/>
  <c r="N9" i="4"/>
  <c r="N25" i="4"/>
  <c r="N12" i="4"/>
  <c r="N22" i="4"/>
  <c r="N11" i="4"/>
  <c r="N13" i="4"/>
  <c r="N35" i="4"/>
  <c r="N26" i="4"/>
  <c r="N16" i="4"/>
  <c r="N31" i="4"/>
  <c r="N27" i="4"/>
  <c r="N18" i="4"/>
  <c r="N33" i="4"/>
  <c r="N8" i="4"/>
  <c r="D8" i="5"/>
  <c r="D10" i="5"/>
  <c r="D27" i="5"/>
  <c r="D27" i="8" s="1"/>
  <c r="D26" i="5"/>
  <c r="D26" i="8" s="1"/>
  <c r="D25" i="5"/>
  <c r="D24" i="5"/>
  <c r="D11" i="5"/>
  <c r="D9" i="5"/>
  <c r="K9" i="10" s="1"/>
  <c r="D35" i="5"/>
  <c r="D35" i="8" s="1"/>
  <c r="D34" i="5"/>
  <c r="D34" i="8" s="1"/>
  <c r="D33" i="5"/>
  <c r="D33" i="8" s="1"/>
  <c r="D32" i="5"/>
  <c r="D32" i="8" s="1"/>
  <c r="D31" i="5"/>
  <c r="D31" i="8" s="1"/>
  <c r="D30" i="5"/>
  <c r="D30" i="8" s="1"/>
  <c r="D29" i="5"/>
  <c r="D29" i="8" s="1"/>
  <c r="D28" i="5"/>
  <c r="D28" i="8" s="1"/>
  <c r="D23" i="5"/>
  <c r="D22" i="5"/>
  <c r="K22" i="10" s="1"/>
  <c r="D21" i="5"/>
  <c r="K21" i="10" s="1"/>
  <c r="D20" i="5"/>
  <c r="K20" i="10" s="1"/>
  <c r="D19" i="5"/>
  <c r="K19" i="10" s="1"/>
  <c r="D18" i="5"/>
  <c r="K18" i="10" s="1"/>
  <c r="D17" i="5"/>
  <c r="D16" i="5"/>
  <c r="D15" i="5"/>
  <c r="D14" i="5"/>
  <c r="D13" i="5"/>
  <c r="D12" i="5"/>
  <c r="AH7" i="3"/>
  <c r="D7" i="5" s="1"/>
  <c r="K7" i="10" s="1"/>
  <c r="B5" i="3"/>
  <c r="B5" i="4" s="1"/>
  <c r="B5" i="5" s="1"/>
  <c r="B4" i="3"/>
  <c r="B4" i="4" s="1"/>
  <c r="B4" i="5" s="1"/>
  <c r="B3" i="3"/>
  <c r="B3" i="4" s="1"/>
  <c r="B3" i="5" s="1"/>
  <c r="D5" i="3"/>
  <c r="D11" i="8" l="1"/>
  <c r="K11" i="10"/>
  <c r="D25" i="8"/>
  <c r="K25" i="10"/>
  <c r="O25" i="5"/>
  <c r="B15" i="7"/>
  <c r="B15" i="8" s="1"/>
  <c r="AG15" i="8" s="1"/>
  <c r="D17" i="8"/>
  <c r="K17" i="10"/>
  <c r="D24" i="8"/>
  <c r="K24" i="10"/>
  <c r="O24" i="5"/>
  <c r="D13" i="8"/>
  <c r="K13" i="10"/>
  <c r="B4" i="6"/>
  <c r="B4" i="7" s="1"/>
  <c r="B4" i="8" s="1"/>
  <c r="I4" i="10"/>
  <c r="B5" i="6"/>
  <c r="B5" i="7" s="1"/>
  <c r="B5" i="8" s="1"/>
  <c r="AI1" i="8" s="1"/>
  <c r="AI21" i="8" s="1"/>
  <c r="I5" i="10"/>
  <c r="D12" i="8"/>
  <c r="K12" i="10"/>
  <c r="D14" i="8"/>
  <c r="K14" i="10"/>
  <c r="D10" i="8"/>
  <c r="K10" i="10"/>
  <c r="D15" i="8"/>
  <c r="K15" i="10"/>
  <c r="D8" i="8"/>
  <c r="K8" i="10"/>
  <c r="B12" i="7"/>
  <c r="B12" i="8" s="1"/>
  <c r="AH13" i="6"/>
  <c r="P13" i="8" s="1"/>
  <c r="D23" i="8"/>
  <c r="K23" i="10"/>
  <c r="O23" i="5"/>
  <c r="B3" i="6"/>
  <c r="B3" i="7" s="1"/>
  <c r="B3" i="8" s="1"/>
  <c r="AH1" i="8" s="1"/>
  <c r="AH20" i="8" s="1"/>
  <c r="I3" i="10"/>
  <c r="D16" i="8"/>
  <c r="K16" i="10"/>
  <c r="AG1" i="8"/>
  <c r="AG17" i="8" s="1"/>
  <c r="Z41" i="8"/>
  <c r="R41" i="8"/>
  <c r="H41" i="8"/>
  <c r="Y41" i="8"/>
  <c r="Q41" i="8"/>
  <c r="G41" i="8"/>
  <c r="X41" i="8"/>
  <c r="N41" i="8"/>
  <c r="F41" i="8"/>
  <c r="J41" i="8"/>
  <c r="I41" i="8"/>
  <c r="W41" i="8"/>
  <c r="M41" i="8"/>
  <c r="E41" i="8"/>
  <c r="S41" i="8"/>
  <c r="V41" i="8"/>
  <c r="L41" i="8"/>
  <c r="U41" i="8"/>
  <c r="K41" i="8"/>
  <c r="T41" i="8"/>
  <c r="AA56" i="8"/>
  <c r="AA58" i="8"/>
  <c r="AA57" i="8"/>
  <c r="AA50" i="8"/>
  <c r="AA49" i="8"/>
  <c r="AA48" i="8"/>
  <c r="AA44" i="8"/>
  <c r="AA55" i="8"/>
  <c r="AA60" i="8"/>
  <c r="AA47" i="8"/>
  <c r="AA52" i="8"/>
  <c r="D19" i="8"/>
  <c r="O19" i="5"/>
  <c r="D20" i="8"/>
  <c r="O20" i="5"/>
  <c r="D21" i="8"/>
  <c r="O21" i="5"/>
  <c r="D18" i="8"/>
  <c r="O18" i="5"/>
  <c r="D22" i="8"/>
  <c r="O22" i="5"/>
  <c r="D9" i="8"/>
  <c r="O9" i="5"/>
  <c r="V9" i="10" s="1"/>
  <c r="E39" i="10" s="1" a="1"/>
  <c r="P12" i="8"/>
  <c r="N12" i="7"/>
  <c r="B2" i="4"/>
  <c r="P36" i="8"/>
  <c r="N36" i="7"/>
  <c r="N14" i="7"/>
  <c r="P14" i="8"/>
  <c r="P17" i="8"/>
  <c r="N17" i="7"/>
  <c r="P15" i="8"/>
  <c r="P16" i="8"/>
  <c r="N16" i="7"/>
  <c r="AA27" i="8"/>
  <c r="AB27" i="8" s="1"/>
  <c r="AC27" i="8" s="1"/>
  <c r="AD27" i="8" s="1"/>
  <c r="AE27" i="8" s="1"/>
  <c r="AI34" i="8"/>
  <c r="AF35" i="8"/>
  <c r="AI26" i="8"/>
  <c r="AI18" i="8"/>
  <c r="AF19" i="8"/>
  <c r="AI36" i="8"/>
  <c r="AH36" i="8"/>
  <c r="AF36" i="8"/>
  <c r="AH13" i="8"/>
  <c r="AF13" i="8"/>
  <c r="AH32" i="8"/>
  <c r="AF32" i="8"/>
  <c r="AI32" i="8"/>
  <c r="AH12" i="8"/>
  <c r="AF12" i="8"/>
  <c r="AI30" i="8"/>
  <c r="AH30" i="8"/>
  <c r="AF30" i="8"/>
  <c r="AF20" i="8"/>
  <c r="AI33" i="8"/>
  <c r="AH33" i="8"/>
  <c r="AF33" i="8"/>
  <c r="AH23" i="8"/>
  <c r="AF23" i="8"/>
  <c r="AH17" i="8"/>
  <c r="AF17" i="8"/>
  <c r="AH22" i="8"/>
  <c r="AF22" i="8"/>
  <c r="AI25" i="8"/>
  <c r="AH25" i="8"/>
  <c r="AF25" i="8"/>
  <c r="AI29" i="8"/>
  <c r="AH29" i="8"/>
  <c r="AF29" i="8"/>
  <c r="AI9" i="8"/>
  <c r="AH9" i="8"/>
  <c r="AF9" i="8"/>
  <c r="AF24" i="8"/>
  <c r="AH14" i="8"/>
  <c r="AF14" i="8"/>
  <c r="AH21" i="8"/>
  <c r="AF7" i="8"/>
  <c r="AH11" i="8"/>
  <c r="AF11" i="8"/>
  <c r="AF10" i="8"/>
  <c r="AI10" i="8"/>
  <c r="AH10" i="8"/>
  <c r="AI31" i="8"/>
  <c r="AH31" i="8"/>
  <c r="AF31" i="8"/>
  <c r="AH19" i="8"/>
  <c r="AI8" i="8"/>
  <c r="AH8" i="8"/>
  <c r="AF8" i="8"/>
  <c r="AH16" i="8"/>
  <c r="AF16" i="8"/>
  <c r="AI28" i="8"/>
  <c r="AH28" i="8"/>
  <c r="AF28" i="8"/>
  <c r="O8" i="5"/>
  <c r="O11" i="5"/>
  <c r="O10" i="5"/>
  <c r="O17" i="5"/>
  <c r="V17" i="10" s="1"/>
  <c r="O12" i="5"/>
  <c r="V12" i="10" s="1"/>
  <c r="O14" i="5"/>
  <c r="V14" i="10" s="1"/>
  <c r="O15" i="5"/>
  <c r="V15" i="10" s="1"/>
  <c r="O13" i="5"/>
  <c r="V13" i="10" s="1"/>
  <c r="O16" i="5"/>
  <c r="V16" i="10" s="1"/>
  <c r="D7" i="8"/>
  <c r="AA36" i="8"/>
  <c r="AA31" i="8"/>
  <c r="AB31" i="8" s="1"/>
  <c r="AC31" i="8" s="1"/>
  <c r="AD31" i="8" s="1"/>
  <c r="AE31" i="8" s="1"/>
  <c r="AA26" i="8"/>
  <c r="AB26" i="8" s="1"/>
  <c r="AC26" i="8" s="1"/>
  <c r="AD26" i="8" s="1"/>
  <c r="AE26" i="8" s="1"/>
  <c r="AA23" i="8"/>
  <c r="AA32" i="8"/>
  <c r="AB32" i="8" s="1"/>
  <c r="AC32" i="8" s="1"/>
  <c r="AD32" i="8" s="1"/>
  <c r="AE32" i="8" s="1"/>
  <c r="AA33" i="8"/>
  <c r="AB33" i="8" s="1"/>
  <c r="AC33" i="8" s="1"/>
  <c r="AD33" i="8" s="1"/>
  <c r="AE33" i="8" s="1"/>
  <c r="AA19" i="8"/>
  <c r="AA22" i="8"/>
  <c r="AA20" i="8"/>
  <c r="AA24" i="8"/>
  <c r="AA30" i="8"/>
  <c r="AB30" i="8" s="1"/>
  <c r="AC30" i="8" s="1"/>
  <c r="AD30" i="8" s="1"/>
  <c r="AE30" i="8" s="1"/>
  <c r="AA28" i="8"/>
  <c r="AB28" i="8" s="1"/>
  <c r="AC28" i="8" s="1"/>
  <c r="AD28" i="8" s="1"/>
  <c r="AE28" i="8" s="1"/>
  <c r="AA29" i="8"/>
  <c r="AB29" i="8" s="1"/>
  <c r="AC29" i="8" s="1"/>
  <c r="AD29" i="8" s="1"/>
  <c r="AE29" i="8" s="1"/>
  <c r="AA25" i="8"/>
  <c r="N7" i="4"/>
  <c r="O7" i="5" s="1"/>
  <c r="V7" i="10" s="1"/>
  <c r="E5" i="10" s="1" a="1"/>
  <c r="D36" i="5"/>
  <c r="D36" i="8" s="1"/>
  <c r="E39" i="10" l="1"/>
  <c r="F39" i="10" s="1"/>
  <c r="F46" i="10"/>
  <c r="F47" i="10"/>
  <c r="F40" i="10"/>
  <c r="F48" i="10"/>
  <c r="F41" i="10"/>
  <c r="F49" i="10"/>
  <c r="F42" i="10"/>
  <c r="F50" i="10"/>
  <c r="F44" i="10"/>
  <c r="F45" i="10"/>
  <c r="F43" i="10"/>
  <c r="O25" i="8"/>
  <c r="AB25" i="8" s="1"/>
  <c r="AC25" i="8" s="1"/>
  <c r="AD25" i="8" s="1"/>
  <c r="AE25" i="8" s="1"/>
  <c r="V25" i="10"/>
  <c r="E311" i="10" s="1" a="1"/>
  <c r="AI22" i="8"/>
  <c r="AI13" i="8"/>
  <c r="O21" i="8"/>
  <c r="V21" i="10"/>
  <c r="E243" i="10" s="1" a="1"/>
  <c r="E124" i="10" a="1"/>
  <c r="O18" i="8"/>
  <c r="V18" i="10"/>
  <c r="E192" i="10" s="1" a="1"/>
  <c r="E158" i="10" a="1"/>
  <c r="AG12" i="8"/>
  <c r="E5" i="10"/>
  <c r="F5" i="10" s="1"/>
  <c r="F6" i="10"/>
  <c r="F14" i="10"/>
  <c r="F7" i="10"/>
  <c r="F15" i="10"/>
  <c r="F11" i="10"/>
  <c r="F16" i="10"/>
  <c r="F13" i="10"/>
  <c r="F10" i="10"/>
  <c r="F8" i="10"/>
  <c r="F12" i="10"/>
  <c r="F9" i="10"/>
  <c r="AG16" i="8"/>
  <c r="AI14" i="8"/>
  <c r="AI7" i="8"/>
  <c r="O20" i="8"/>
  <c r="V20" i="10"/>
  <c r="E226" i="10" s="1" a="1"/>
  <c r="E90" i="10" a="1"/>
  <c r="E73" i="10" a="1"/>
  <c r="O8" i="8"/>
  <c r="AB8" i="8" s="1"/>
  <c r="AC8" i="8" s="1"/>
  <c r="AD8" i="8" s="1"/>
  <c r="AE8" i="8" s="1"/>
  <c r="V8" i="10"/>
  <c r="E22" i="10" s="1" a="1"/>
  <c r="AG7" i="8"/>
  <c r="AG23" i="8"/>
  <c r="AG22" i="8"/>
  <c r="AG24" i="8"/>
  <c r="AG18" i="8"/>
  <c r="AG8" i="8"/>
  <c r="AG19" i="8"/>
  <c r="AG10" i="8"/>
  <c r="AG11" i="8"/>
  <c r="AG20" i="8"/>
  <c r="AG25" i="8"/>
  <c r="AG9" i="8"/>
  <c r="AG21" i="8"/>
  <c r="AG14" i="8"/>
  <c r="O24" i="8"/>
  <c r="AB24" i="8" s="1"/>
  <c r="AC24" i="8" s="1"/>
  <c r="AD24" i="8" s="1"/>
  <c r="AE24" i="8" s="1"/>
  <c r="V24" i="10"/>
  <c r="E294" i="10" s="1" a="1"/>
  <c r="H5" i="4"/>
  <c r="M5" i="4"/>
  <c r="L5" i="4"/>
  <c r="K5" i="4"/>
  <c r="J5" i="4"/>
  <c r="I5" i="4"/>
  <c r="AI19" i="8"/>
  <c r="AI15" i="8"/>
  <c r="AI12" i="8"/>
  <c r="AH7" i="8"/>
  <c r="O10" i="8"/>
  <c r="V10" i="10"/>
  <c r="E56" i="10" s="1" a="1"/>
  <c r="AI16" i="8"/>
  <c r="AF15" i="8"/>
  <c r="AH24" i="8"/>
  <c r="AI17" i="8"/>
  <c r="N13" i="7"/>
  <c r="O23" i="8"/>
  <c r="AB23" i="8" s="1"/>
  <c r="AC23" i="8" s="1"/>
  <c r="AD23" i="8" s="1"/>
  <c r="AE23" i="8" s="1"/>
  <c r="V23" i="10"/>
  <c r="E107" i="10" a="1"/>
  <c r="E175" i="10" a="1"/>
  <c r="N15" i="7"/>
  <c r="AI11" i="8"/>
  <c r="O11" i="8"/>
  <c r="V11" i="10"/>
  <c r="AH15" i="8"/>
  <c r="AI24" i="8"/>
  <c r="AI23" i="8"/>
  <c r="AI20" i="8"/>
  <c r="O22" i="8"/>
  <c r="AB22" i="8" s="1"/>
  <c r="AC22" i="8" s="1"/>
  <c r="AD22" i="8" s="1"/>
  <c r="AE22" i="8" s="1"/>
  <c r="V22" i="10"/>
  <c r="E260" i="10" s="1" a="1"/>
  <c r="O19" i="8"/>
  <c r="AB19" i="8" s="1"/>
  <c r="AC19" i="8" s="1"/>
  <c r="AD19" i="8" s="1"/>
  <c r="AE19" i="8" s="1"/>
  <c r="V19" i="10"/>
  <c r="E209" i="10" s="1" a="1"/>
  <c r="E277" i="10" a="1"/>
  <c r="E141" i="10" a="1"/>
  <c r="AG13" i="8"/>
  <c r="D5" i="4"/>
  <c r="G5" i="4"/>
  <c r="F5" i="4"/>
  <c r="E5" i="4"/>
  <c r="AB20" i="8"/>
  <c r="AC20" i="8" s="1"/>
  <c r="AD20" i="8" s="1"/>
  <c r="AE20" i="8" s="1"/>
  <c r="B2" i="5"/>
  <c r="AF18" i="8"/>
  <c r="AA18" i="8"/>
  <c r="AH26" i="8"/>
  <c r="AA21" i="8"/>
  <c r="AF26" i="8"/>
  <c r="AA34" i="8"/>
  <c r="AB34" i="8" s="1"/>
  <c r="AC34" i="8" s="1"/>
  <c r="AD34" i="8" s="1"/>
  <c r="AE34" i="8" s="1"/>
  <c r="AF34" i="8"/>
  <c r="AH34" i="8"/>
  <c r="AF27" i="8"/>
  <c r="AH27" i="8"/>
  <c r="AI27" i="8"/>
  <c r="AH35" i="8"/>
  <c r="AI35" i="8"/>
  <c r="AA35" i="8"/>
  <c r="AB35" i="8" s="1"/>
  <c r="AC35" i="8" s="1"/>
  <c r="AD35" i="8" s="1"/>
  <c r="AE35" i="8" s="1"/>
  <c r="AH18" i="8"/>
  <c r="AF21" i="8"/>
  <c r="O17" i="8"/>
  <c r="O15" i="8"/>
  <c r="O9" i="8"/>
  <c r="O14" i="8"/>
  <c r="O13" i="8"/>
  <c r="O7" i="8"/>
  <c r="O16" i="8"/>
  <c r="AB16" i="8" s="1"/>
  <c r="AC16" i="8" s="1"/>
  <c r="AD16" i="8" s="1"/>
  <c r="AE16" i="8" s="1"/>
  <c r="O12" i="8"/>
  <c r="AB12" i="8" s="1"/>
  <c r="AC12" i="8" s="1"/>
  <c r="AD12" i="8" s="1"/>
  <c r="AE12" i="8" s="1"/>
  <c r="AB21" i="8" l="1"/>
  <c r="AC21" i="8" s="1"/>
  <c r="AD21" i="8" s="1"/>
  <c r="AE21" i="8" s="1"/>
  <c r="F31" i="10"/>
  <c r="F33" i="10"/>
  <c r="F30" i="10"/>
  <c r="F24" i="10"/>
  <c r="F25" i="10"/>
  <c r="F28" i="10"/>
  <c r="E22" i="10"/>
  <c r="F22" i="10" s="1"/>
  <c r="F32" i="10"/>
  <c r="F23" i="10"/>
  <c r="F27" i="10"/>
  <c r="F26" i="10"/>
  <c r="F29" i="10"/>
  <c r="F301" i="10"/>
  <c r="F302" i="10"/>
  <c r="F295" i="10"/>
  <c r="F303" i="10"/>
  <c r="F296" i="10"/>
  <c r="F304" i="10"/>
  <c r="F297" i="10"/>
  <c r="F305" i="10"/>
  <c r="F298" i="10"/>
  <c r="F299" i="10"/>
  <c r="F300" i="10"/>
  <c r="E294" i="10"/>
  <c r="F294" i="10" s="1"/>
  <c r="E90" i="10"/>
  <c r="F90" i="10" s="1"/>
  <c r="F97" i="10"/>
  <c r="F98" i="10"/>
  <c r="F91" i="10"/>
  <c r="F99" i="10"/>
  <c r="F92" i="10"/>
  <c r="F100" i="10"/>
  <c r="F93" i="10"/>
  <c r="F101" i="10"/>
  <c r="F96" i="10"/>
  <c r="F94" i="10"/>
  <c r="F95" i="10"/>
  <c r="E192" i="10"/>
  <c r="F192" i="10" s="1"/>
  <c r="F199" i="10"/>
  <c r="F200" i="10"/>
  <c r="F195" i="10"/>
  <c r="F193" i="10"/>
  <c r="F201" i="10"/>
  <c r="F194" i="10"/>
  <c r="F202" i="10"/>
  <c r="F203" i="10"/>
  <c r="F196" i="10"/>
  <c r="F197" i="10"/>
  <c r="F198" i="10"/>
  <c r="I2" i="10"/>
  <c r="I5" i="5"/>
  <c r="N5" i="5"/>
  <c r="M5" i="5"/>
  <c r="T5" i="10" s="1"/>
  <c r="L5" i="5"/>
  <c r="J5" i="5"/>
  <c r="K5" i="5"/>
  <c r="E73" i="10"/>
  <c r="F73" i="10" s="1"/>
  <c r="F80" i="10"/>
  <c r="F81" i="10"/>
  <c r="F74" i="10"/>
  <c r="F82" i="10"/>
  <c r="F75" i="10"/>
  <c r="F83" i="10"/>
  <c r="F76" i="10"/>
  <c r="F84" i="10"/>
  <c r="F79" i="10"/>
  <c r="F77" i="10"/>
  <c r="F78" i="10"/>
  <c r="E107" i="10"/>
  <c r="F107" i="10" s="1"/>
  <c r="F110" i="10"/>
  <c r="F118" i="10"/>
  <c r="F111" i="10"/>
  <c r="F112" i="10"/>
  <c r="F113" i="10"/>
  <c r="F114" i="10"/>
  <c r="F108" i="10"/>
  <c r="F109" i="10"/>
  <c r="F115" i="10"/>
  <c r="F116" i="10"/>
  <c r="F117" i="10"/>
  <c r="E209" i="10"/>
  <c r="F209" i="10" s="1"/>
  <c r="F212" i="10"/>
  <c r="F220" i="10"/>
  <c r="F216" i="10"/>
  <c r="F213" i="10"/>
  <c r="F214" i="10"/>
  <c r="F215" i="10"/>
  <c r="F217" i="10"/>
  <c r="F218" i="10"/>
  <c r="F219" i="10"/>
  <c r="F210" i="10"/>
  <c r="F211" i="10"/>
  <c r="E311" i="10"/>
  <c r="F311" i="10" s="1"/>
  <c r="F314" i="10"/>
  <c r="F322" i="10"/>
  <c r="F315" i="10"/>
  <c r="F316" i="10"/>
  <c r="F317" i="10"/>
  <c r="F318" i="10"/>
  <c r="F319" i="10"/>
  <c r="F312" i="10"/>
  <c r="F313" i="10"/>
  <c r="F320" i="10"/>
  <c r="F321" i="10"/>
  <c r="E141" i="10"/>
  <c r="F141" i="10" s="1"/>
  <c r="F144" i="10"/>
  <c r="F152" i="10"/>
  <c r="F145" i="10"/>
  <c r="F146" i="10"/>
  <c r="F147" i="10"/>
  <c r="F148" i="10"/>
  <c r="F142" i="10"/>
  <c r="F143" i="10"/>
  <c r="F149" i="10"/>
  <c r="F150" i="10"/>
  <c r="F151" i="10"/>
  <c r="F233" i="10"/>
  <c r="F234" i="10"/>
  <c r="F227" i="10"/>
  <c r="F235" i="10"/>
  <c r="F228" i="10"/>
  <c r="F236" i="10"/>
  <c r="F229" i="10"/>
  <c r="F237" i="10"/>
  <c r="F230" i="10"/>
  <c r="F231" i="10"/>
  <c r="F232" i="10"/>
  <c r="E226" i="10"/>
  <c r="F226" i="10" s="1"/>
  <c r="E124" i="10"/>
  <c r="F124" i="10" s="1"/>
  <c r="F131" i="10"/>
  <c r="F132" i="10"/>
  <c r="F125" i="10"/>
  <c r="F133" i="10"/>
  <c r="F126" i="10"/>
  <c r="F134" i="10"/>
  <c r="F127" i="10"/>
  <c r="F135" i="10"/>
  <c r="F129" i="10"/>
  <c r="F130" i="10"/>
  <c r="F128" i="10"/>
  <c r="E158" i="10"/>
  <c r="F158" i="10" s="1"/>
  <c r="F165" i="10"/>
  <c r="F166" i="10"/>
  <c r="F159" i="10"/>
  <c r="F167" i="10"/>
  <c r="F160" i="10"/>
  <c r="F168" i="10"/>
  <c r="F161" i="10"/>
  <c r="F169" i="10"/>
  <c r="F163" i="10"/>
  <c r="F162" i="10"/>
  <c r="F164" i="10"/>
  <c r="E175" i="10"/>
  <c r="F175" i="10" s="1"/>
  <c r="F178" i="10"/>
  <c r="F186" i="10"/>
  <c r="F179" i="10"/>
  <c r="F180" i="10"/>
  <c r="F182" i="10"/>
  <c r="F181" i="10"/>
  <c r="F177" i="10"/>
  <c r="F183" i="10"/>
  <c r="F184" i="10"/>
  <c r="F185" i="10"/>
  <c r="F176" i="10"/>
  <c r="E277" i="10"/>
  <c r="F277" i="10" s="1"/>
  <c r="F280" i="10"/>
  <c r="F288" i="10"/>
  <c r="F281" i="10"/>
  <c r="F282" i="10"/>
  <c r="F283" i="10"/>
  <c r="F284" i="10"/>
  <c r="F285" i="10"/>
  <c r="F278" i="10"/>
  <c r="F279" i="10"/>
  <c r="F286" i="10"/>
  <c r="F287" i="10"/>
  <c r="F246" i="10"/>
  <c r="F254" i="10"/>
  <c r="F247" i="10"/>
  <c r="F248" i="10"/>
  <c r="F249" i="10"/>
  <c r="F250" i="10"/>
  <c r="F251" i="10"/>
  <c r="F252" i="10"/>
  <c r="F253" i="10"/>
  <c r="F244" i="10"/>
  <c r="F245" i="10"/>
  <c r="E243" i="10"/>
  <c r="F243" i="10" s="1"/>
  <c r="E56" i="10"/>
  <c r="F56" i="10" s="1"/>
  <c r="F59" i="10"/>
  <c r="F67" i="10"/>
  <c r="F60" i="10"/>
  <c r="F61" i="10"/>
  <c r="F62" i="10"/>
  <c r="F63" i="10"/>
  <c r="F57" i="10"/>
  <c r="F58" i="10"/>
  <c r="F64" i="10"/>
  <c r="F65" i="10"/>
  <c r="F66" i="10"/>
  <c r="F267" i="10"/>
  <c r="F268" i="10"/>
  <c r="F261" i="10"/>
  <c r="F269" i="10"/>
  <c r="F262" i="10"/>
  <c r="F270" i="10"/>
  <c r="F263" i="10"/>
  <c r="F271" i="10"/>
  <c r="F264" i="10"/>
  <c r="F265" i="10"/>
  <c r="F266" i="10"/>
  <c r="E260" i="10"/>
  <c r="F260" i="10" s="1"/>
  <c r="AB18" i="8"/>
  <c r="AC18" i="8" s="1"/>
  <c r="AD18" i="8" s="1"/>
  <c r="AE18" i="8" s="1"/>
  <c r="E342" i="10"/>
  <c r="E70" i="10"/>
  <c r="E138" i="10"/>
  <c r="E223" i="10"/>
  <c r="E240" i="10"/>
  <c r="E359" i="10"/>
  <c r="E325" i="10"/>
  <c r="E393" i="10"/>
  <c r="E19" i="10"/>
  <c r="E36" i="10"/>
  <c r="E172" i="10"/>
  <c r="E495" i="10"/>
  <c r="E155" i="10"/>
  <c r="E410" i="10"/>
  <c r="E444" i="10"/>
  <c r="E478" i="10"/>
  <c r="E427" i="10"/>
  <c r="E308" i="10"/>
  <c r="E376" i="10"/>
  <c r="E53" i="10"/>
  <c r="E104" i="10"/>
  <c r="E206" i="10"/>
  <c r="E257" i="10"/>
  <c r="E189" i="10"/>
  <c r="E274" i="10"/>
  <c r="E461" i="10"/>
  <c r="E121" i="10"/>
  <c r="E291" i="10"/>
  <c r="E87" i="10"/>
  <c r="E2" i="10"/>
  <c r="F5" i="5"/>
  <c r="M5" i="10" s="1"/>
  <c r="U5" i="10"/>
  <c r="E5" i="5"/>
  <c r="L5" i="10" s="1"/>
  <c r="S5" i="10"/>
  <c r="R5" i="10"/>
  <c r="Q5" i="10"/>
  <c r="H5" i="5"/>
  <c r="O5" i="10" s="1"/>
  <c r="G5" i="5"/>
  <c r="N5" i="10" s="1"/>
  <c r="P5" i="10"/>
  <c r="B2" i="6"/>
  <c r="AA8" i="8"/>
  <c r="AA10" i="8"/>
  <c r="AB10" i="8" s="1"/>
  <c r="AC10" i="8" s="1"/>
  <c r="AD10" i="8" s="1"/>
  <c r="AE10" i="8" s="1"/>
  <c r="C74" i="10" l="1" a="1"/>
  <c r="C74" i="10" s="1"/>
  <c r="C159" i="10" a="1"/>
  <c r="C159" i="10" s="1"/>
  <c r="C108" i="10" a="1"/>
  <c r="C108" i="10" s="1"/>
  <c r="C261" i="10" a="1"/>
  <c r="C261" i="10" s="1"/>
  <c r="C210" i="10" a="1"/>
  <c r="C210" i="10" s="1"/>
  <c r="C244" i="10" a="1"/>
  <c r="C244" i="10" s="1"/>
  <c r="C363" i="10" a="1"/>
  <c r="C363" i="10" s="1"/>
  <c r="C482" i="10" a="1"/>
  <c r="C482" i="10" s="1"/>
  <c r="C397" i="10" a="1"/>
  <c r="C397" i="10" s="1"/>
  <c r="C431" i="10" a="1"/>
  <c r="C431" i="10" s="1"/>
  <c r="C329" i="10" a="1"/>
  <c r="C329" i="10" s="1"/>
  <c r="C57" i="10" a="1"/>
  <c r="C57" i="10" s="1"/>
  <c r="C193" i="10" a="1"/>
  <c r="C193" i="10" s="1"/>
  <c r="C499" i="10" a="1"/>
  <c r="C499" i="10" s="1"/>
  <c r="C414" i="10" a="1"/>
  <c r="C414" i="10" s="1"/>
  <c r="C465" i="10" a="1"/>
  <c r="C465" i="10" s="1"/>
  <c r="C312" i="10" a="1"/>
  <c r="C312" i="10" s="1"/>
  <c r="C23" i="10" a="1"/>
  <c r="C23" i="10" s="1"/>
  <c r="C6" i="10" a="1"/>
  <c r="C6" i="10" s="1"/>
  <c r="C346" i="10" a="1"/>
  <c r="C346" i="10" s="1"/>
  <c r="C448" i="10" a="1"/>
  <c r="C448" i="10" s="1"/>
  <c r="C278" i="10" a="1"/>
  <c r="C278" i="10" s="1"/>
  <c r="C295" i="10" a="1"/>
  <c r="C295" i="10" s="1"/>
  <c r="C125" i="10" a="1"/>
  <c r="C125" i="10" s="1"/>
  <c r="C91" i="10" a="1"/>
  <c r="C91" i="10" s="1"/>
  <c r="C227" i="10" a="1"/>
  <c r="C227" i="10" s="1"/>
  <c r="C142" i="10" a="1"/>
  <c r="C142" i="10" s="1"/>
  <c r="C176" i="10" a="1"/>
  <c r="C176" i="10" s="1"/>
  <c r="C380" i="10" a="1"/>
  <c r="C380" i="10" s="1"/>
  <c r="C40" i="10" a="1"/>
  <c r="C40" i="10" s="1"/>
  <c r="M5" i="6"/>
  <c r="P5" i="6"/>
  <c r="J5" i="6"/>
  <c r="G5" i="6"/>
  <c r="AE5" i="6"/>
  <c r="D5" i="6"/>
  <c r="Y5" i="6"/>
  <c r="S5" i="6"/>
  <c r="V5" i="6"/>
  <c r="B2" i="7"/>
  <c r="AA9" i="8"/>
  <c r="AB9" i="8" s="1"/>
  <c r="AC9" i="8" s="1"/>
  <c r="AD9" i="8" s="1"/>
  <c r="AE9" i="8" s="1"/>
  <c r="AA7" i="8"/>
  <c r="AB7" i="8" s="1"/>
  <c r="AC7" i="8" s="1"/>
  <c r="AD7" i="8" s="1"/>
  <c r="AE7" i="8" s="1"/>
  <c r="AA14" i="8"/>
  <c r="AB14" i="8" s="1"/>
  <c r="AC14" i="8" s="1"/>
  <c r="AD14" i="8" s="1"/>
  <c r="AE14" i="8" s="1"/>
  <c r="AA15" i="8"/>
  <c r="AB15" i="8" s="1"/>
  <c r="AC15" i="8" s="1"/>
  <c r="AD15" i="8" s="1"/>
  <c r="AE15" i="8" s="1"/>
  <c r="AA11" i="8"/>
  <c r="AB11" i="8" s="1"/>
  <c r="AC11" i="8" s="1"/>
  <c r="AD11" i="8" s="1"/>
  <c r="AE11" i="8" s="1"/>
  <c r="AA17" i="8"/>
  <c r="AB17" i="8" s="1"/>
  <c r="AC17" i="8" s="1"/>
  <c r="AD17" i="8" s="1"/>
  <c r="AE17" i="8" s="1"/>
  <c r="AA13" i="8"/>
  <c r="AB13" i="8" s="1"/>
  <c r="AC13" i="8" s="1"/>
  <c r="AD13" i="8" s="1"/>
  <c r="AE13" i="8" s="1"/>
  <c r="AA12" i="8"/>
  <c r="AA16" i="8"/>
  <c r="H5" i="7" l="1"/>
  <c r="M5" i="7"/>
  <c r="L5" i="7"/>
  <c r="K5" i="7"/>
  <c r="J5" i="7"/>
  <c r="I5" i="7"/>
  <c r="G5" i="7"/>
  <c r="F5" i="7"/>
  <c r="E5" i="7"/>
  <c r="D5" i="7"/>
  <c r="B2" i="8"/>
  <c r="V5" i="8" l="1"/>
  <c r="L5" i="8"/>
  <c r="X5" i="8"/>
  <c r="U5" i="8"/>
  <c r="K5" i="8"/>
  <c r="T5" i="8"/>
  <c r="J5" i="8"/>
  <c r="E5" i="8"/>
  <c r="S5" i="8"/>
  <c r="I5" i="8"/>
  <c r="Z5" i="8"/>
  <c r="R5" i="8"/>
  <c r="H5" i="8"/>
  <c r="Y5" i="8"/>
  <c r="Q5" i="8"/>
  <c r="G5" i="8"/>
  <c r="N5" i="8"/>
  <c r="F5" i="8"/>
  <c r="W5" i="8"/>
  <c r="M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<sst xmlns="http://schemas.openxmlformats.org/spreadsheetml/2006/main" count="3603" uniqueCount="177">
  <si>
    <t>Br:</t>
  </si>
  <si>
    <t>Level:</t>
  </si>
  <si>
    <t>Time:</t>
  </si>
  <si>
    <t>Room:</t>
  </si>
  <si>
    <t>Tr:</t>
  </si>
  <si>
    <t>NO</t>
  </si>
  <si>
    <t>NAME</t>
  </si>
  <si>
    <t>SEX</t>
  </si>
  <si>
    <t>PHONE</t>
  </si>
  <si>
    <t>10 points</t>
  </si>
  <si>
    <t>Science</t>
  </si>
  <si>
    <t>Change</t>
  </si>
  <si>
    <t>Stop</t>
  </si>
  <si>
    <t>Late Exam</t>
  </si>
  <si>
    <t>MIDTERM</t>
  </si>
  <si>
    <t>DAILY</t>
  </si>
  <si>
    <t>TOTAL</t>
  </si>
  <si>
    <t>SCORES</t>
  </si>
  <si>
    <t>Daily</t>
  </si>
  <si>
    <t>Mid</t>
  </si>
  <si>
    <t>BACKGROUND INFORMATION</t>
  </si>
  <si>
    <t>Branch</t>
  </si>
  <si>
    <t>Translation</t>
  </si>
  <si>
    <t>Final</t>
  </si>
  <si>
    <t>Scores</t>
  </si>
  <si>
    <t>Grade</t>
  </si>
  <si>
    <t>Meaning</t>
  </si>
  <si>
    <t>PROMOTION RESULTS</t>
  </si>
  <si>
    <t>Attendance</t>
  </si>
  <si>
    <t>200 hrs</t>
  </si>
  <si>
    <t>*** Midterm Results (Total Scores) = Midterm Daily (20%) + Midterm Exam (80%) ***</t>
  </si>
  <si>
    <t>Pro</t>
  </si>
  <si>
    <t>Study Time</t>
  </si>
  <si>
    <t>Teacher</t>
  </si>
  <si>
    <t>SCORE SHEET for KID PROGRAM</t>
  </si>
  <si>
    <t></t>
  </si>
  <si>
    <t>Beside teaching, evaluating learners' performance is necessary.</t>
  </si>
  <si>
    <t>For the student performance evaluation at our center, we have score sheet as a tool for our teachers to record their kids' performance</t>
  </si>
  <si>
    <t>including class participation, oral or written work and exams, and other activities such as projects and presentations.</t>
  </si>
  <si>
    <r>
      <t xml:space="preserve">(1). Classes </t>
    </r>
    <r>
      <rPr>
        <b/>
        <sz val="10"/>
        <color rgb="FF002060"/>
        <rFont val="Arial"/>
        <family val="2"/>
      </rPr>
      <t>is where you can add more kids when they are officially allowed to move in and correct the kid's name in terms of speeling</t>
    </r>
  </si>
  <si>
    <r>
      <t xml:space="preserve">(2). Midterm Daily </t>
    </r>
    <r>
      <rPr>
        <b/>
        <sz val="10"/>
        <color rgb="FF002060"/>
        <rFont val="Arial"/>
        <family val="2"/>
      </rPr>
      <t>is the score sheet for teacher to record students' daily scores in the period of midterm's time</t>
    </r>
  </si>
  <si>
    <r>
      <t xml:space="preserve">(3). Midterm Exam </t>
    </r>
    <r>
      <rPr>
        <b/>
        <sz val="10"/>
        <color rgb="FF002060"/>
        <rFont val="Arial"/>
        <family val="2"/>
      </rPr>
      <t>is for teacher to record the scores of Midterm exam</t>
    </r>
  </si>
  <si>
    <t>OPERATION</t>
  </si>
  <si>
    <t>(1). Classes</t>
  </si>
  <si>
    <t>Below is a class of K1 from 8:00 to 10:00 in the morning. From the beginning, this class has 10 kids from KID 1 to KID 10.</t>
  </si>
  <si>
    <t>(2). Midterm Daily</t>
  </si>
  <si>
    <r>
      <t xml:space="preserve">Why are KID 2, KID 5, and KID 9 </t>
    </r>
    <r>
      <rPr>
        <b/>
        <sz val="10"/>
        <color rgb="FFFF0000"/>
        <rFont val="Arial"/>
        <family val="2"/>
      </rPr>
      <t>incomplete</t>
    </r>
    <r>
      <rPr>
        <b/>
        <sz val="10"/>
        <color rgb="FF002060"/>
        <rFont val="Arial"/>
        <family val="2"/>
      </rPr>
      <t>?</t>
    </r>
  </si>
  <si>
    <t>KID 5 is incomplete because the TEACHER misses his Science and Tracing scores. If he changes time, you should mark Change like KID 6.</t>
  </si>
  <si>
    <t>Û</t>
  </si>
  <si>
    <t>Please use only the terms "Change" or "Stop" given to mark your students in case they change time or stop and other cases alike.</t>
  </si>
  <si>
    <t>(3). Midterm Exam</t>
  </si>
  <si>
    <r>
      <t xml:space="preserve">Why are KID 3 and KID 7 </t>
    </r>
    <r>
      <rPr>
        <b/>
        <sz val="10"/>
        <color rgb="FFFF0000"/>
        <rFont val="Arial"/>
        <family val="2"/>
      </rPr>
      <t>incomplete</t>
    </r>
    <r>
      <rPr>
        <b/>
        <sz val="10"/>
        <color rgb="FF002060"/>
        <rFont val="Arial"/>
        <family val="2"/>
      </rPr>
      <t>?</t>
    </r>
  </si>
  <si>
    <t>KID 3 is incomplete because he did not take midterm exam. If he stops, you should mark Stop like KID 4.</t>
  </si>
  <si>
    <t>do them later, so you should mark Late Exam like KID 8.</t>
  </si>
  <si>
    <t>Please use only the terms "Stop" or "Late Exam" given to mark your students in case they stop or will do midterm exam later.</t>
  </si>
  <si>
    <t>Midterm scores</t>
  </si>
  <si>
    <t>Midterm dialy</t>
  </si>
  <si>
    <t>+</t>
  </si>
  <si>
    <t>Midterm exam</t>
  </si>
  <si>
    <t>=</t>
  </si>
  <si>
    <t>Pass / Fail</t>
  </si>
  <si>
    <t>Thank you so much for reading and please do not hesitate to ask for more explaination!</t>
  </si>
  <si>
    <t>Our score sheet file contains 7 main worksheets as follows:</t>
  </si>
  <si>
    <r>
      <t xml:space="preserve">(5). Promotion Daily </t>
    </r>
    <r>
      <rPr>
        <b/>
        <sz val="10"/>
        <color rgb="FF002060"/>
        <rFont val="Arial"/>
        <family val="2"/>
      </rPr>
      <t>is the score sheet for teacher to record students' daily socres in the period of promotion's time</t>
    </r>
  </si>
  <si>
    <r>
      <t xml:space="preserve">(6). Promotion Exam </t>
    </r>
    <r>
      <rPr>
        <b/>
        <sz val="10"/>
        <color rgb="FF002060"/>
        <rFont val="Arial"/>
        <family val="2"/>
      </rPr>
      <t>is for teacher to record the scores of Promotion exam</t>
    </r>
  </si>
  <si>
    <r>
      <t xml:space="preserve">(4). Midterm Results </t>
    </r>
    <r>
      <rPr>
        <b/>
        <sz val="10"/>
        <color rgb="FF002060"/>
        <rFont val="Arial"/>
        <family val="2"/>
      </rPr>
      <t>is a worksheet which covers both midterm daily scores and midterm exam scores</t>
    </r>
  </si>
  <si>
    <r>
      <t xml:space="preserve">(7). Promotion Results </t>
    </r>
    <r>
      <rPr>
        <b/>
        <sz val="10"/>
        <color rgb="FF002060"/>
        <rFont val="Arial"/>
        <family val="2"/>
      </rPr>
      <t>is the worksheet that covers all scores from Midterm Daily to Promotion Exam.</t>
    </r>
  </si>
  <si>
    <t>The operation below shows how to use each worksheet along with some examples of problems frequently happen and solutions for them</t>
  </si>
  <si>
    <t>Later on, the office allows one new kid to move in. The TEACHER adds her after KID 10 in the (1).Classes worksheet.</t>
  </si>
  <si>
    <r>
      <t xml:space="preserve">KID 2 is incomplete because the TEACHER misses his Sprouts score. You should give </t>
    </r>
    <r>
      <rPr>
        <b/>
        <sz val="10"/>
        <color rgb="FFFF0000"/>
        <rFont val="Arial"/>
        <family val="2"/>
      </rPr>
      <t>0</t>
    </r>
    <r>
      <rPr>
        <b/>
        <sz val="10"/>
        <color rgb="FF002060"/>
        <rFont val="Arial"/>
        <family val="2"/>
      </rPr>
      <t xml:space="preserve"> like KID 3 if he doesn't do it.</t>
    </r>
  </si>
  <si>
    <t>KID 9 is incomplete because the TEACHER misses her scores of Phonics, Math, Shape, Science, and Tracing scores. If she stops, you</t>
  </si>
  <si>
    <t>should mark Stop like KID 10.</t>
  </si>
  <si>
    <t>KID 7 is incomplete because she misses two tests of midterm exam - Science and Tracing. He asks for permission and will come back to</t>
  </si>
  <si>
    <t>(4). Midterm Results</t>
  </si>
  <si>
    <t>Midterm result worksheet is designed for our students to see the results of their study for around three months.</t>
  </si>
  <si>
    <t>Midterm result covers both midterm daily score and midterm exam score.</t>
  </si>
  <si>
    <t>We consider the total of midterm daily score as 20% and the total of midterm exam score as 80%, so the total score of midterm result is</t>
  </si>
  <si>
    <t>100%. Please have a look at the formula as follows:</t>
  </si>
  <si>
    <t>Midterm Result</t>
  </si>
  <si>
    <r>
      <t xml:space="preserve">(5). Promotion Daily </t>
    </r>
    <r>
      <rPr>
        <b/>
        <sz val="10"/>
        <color rgb="FF002060"/>
        <rFont val="Arial"/>
        <family val="2"/>
      </rPr>
      <t>(the same as Midterm Daily)</t>
    </r>
  </si>
  <si>
    <r>
      <t xml:space="preserve">(6). Promotion Exam </t>
    </r>
    <r>
      <rPr>
        <b/>
        <sz val="10"/>
        <color rgb="FF002060"/>
        <rFont val="Arial"/>
        <family val="2"/>
      </rPr>
      <t>(the same as Promotion Exam)</t>
    </r>
  </si>
  <si>
    <t>(7). Promotion Results</t>
  </si>
  <si>
    <t>Unlike midterm result, the promotion result covers all scores from midterm daily to promotion exam.</t>
  </si>
  <si>
    <t>It is a fact that promotion result is the final score of the combination of midterm scores and promotion scores.</t>
  </si>
  <si>
    <t>Promotion Result</t>
  </si>
  <si>
    <t>(Final score)</t>
  </si>
  <si>
    <t>Promotion scores</t>
  </si>
  <si>
    <t>The calculation of the promotion result or final score is as follows:</t>
  </si>
  <si>
    <t xml:space="preserve">  Midterm daily + Midterm exam        Promotion daily + Promotion exam</t>
  </si>
  <si>
    <t>(In our formula stytem is that kids receiving less than 60% of the final scores fail or repeat, but this can be changed by each K committee)</t>
  </si>
  <si>
    <t>MIDTERM DAILY SCORE SHEET</t>
  </si>
  <si>
    <t>PROMOTION DAILY SCORE SHEET</t>
  </si>
  <si>
    <t>100 points</t>
  </si>
  <si>
    <t>MIDTERM EXAM</t>
  </si>
  <si>
    <t>MIDTERM RESULTS</t>
  </si>
  <si>
    <t>Total</t>
  </si>
  <si>
    <t>PROMOTION EXAM</t>
  </si>
  <si>
    <t>Name</t>
  </si>
  <si>
    <t>Sex</t>
  </si>
  <si>
    <t>Phone</t>
  </si>
  <si>
    <t>Student 1 gets 6.75</t>
  </si>
  <si>
    <t>Student 2 gets 7.25</t>
  </si>
  <si>
    <t>Student 3 gets 7.75</t>
  </si>
  <si>
    <t>HOW TO RECORD THE SCORES INTO SCORE SHEET</t>
  </si>
  <si>
    <t>Our score sheet is designed to show only integers, not decimals.</t>
  </si>
  <si>
    <t>The real score, here, means the score that a student gets from an assignment, a quiz, or a test.</t>
  </si>
  <si>
    <r>
      <t xml:space="preserve">However, our teachers are required to record the </t>
    </r>
    <r>
      <rPr>
        <b/>
        <sz val="14"/>
        <color rgb="FFFF0000"/>
        <rFont val="Arial"/>
        <family val="2"/>
      </rPr>
      <t>real scores</t>
    </r>
    <r>
      <rPr>
        <b/>
        <sz val="14"/>
        <color rgb="FF002060"/>
        <rFont val="Arial"/>
        <family val="2"/>
      </rPr>
      <t>.</t>
    </r>
  </si>
  <si>
    <t>Please do not worry about how it appears.</t>
  </si>
  <si>
    <t>Real Score</t>
  </si>
  <si>
    <t>Example: Listening</t>
  </si>
  <si>
    <t>The score</t>
  </si>
  <si>
    <t>you MUST record</t>
  </si>
  <si>
    <t xml:space="preserve">The score </t>
  </si>
  <si>
    <t>that excel determines</t>
  </si>
  <si>
    <r>
      <rPr>
        <b/>
        <sz val="16"/>
        <color rgb="FFFF0000"/>
        <rFont val="Wingdings 3"/>
        <family val="1"/>
        <charset val="2"/>
      </rPr>
      <t>Ç</t>
    </r>
    <r>
      <rPr>
        <b/>
        <sz val="12"/>
        <color rgb="FFFF0000"/>
        <rFont val="Arial"/>
        <family val="2"/>
      </rPr>
      <t xml:space="preserve">Don't worry about it </t>
    </r>
    <r>
      <rPr>
        <b/>
        <sz val="16"/>
        <color rgb="FFFF0000"/>
        <rFont val="Wingdings 3"/>
        <family val="1"/>
        <charset val="2"/>
      </rPr>
      <t>Ç</t>
    </r>
  </si>
  <si>
    <t>that appears</t>
  </si>
  <si>
    <t>The explanation above is very short, so please call me if you are still not clear.</t>
  </si>
  <si>
    <t>It is always my pleasure to answer your questions.</t>
  </si>
  <si>
    <t>MIDTERM EXAM SCORE SHEET</t>
  </si>
  <si>
    <t>Class</t>
  </si>
  <si>
    <t>PROMOTION EXAM SCORE SHEET</t>
  </si>
  <si>
    <t>COERR Language Skills Center</t>
  </si>
  <si>
    <t xml:space="preserve">SESSION : </t>
  </si>
  <si>
    <t>NAME :</t>
  </si>
  <si>
    <t>LEVEL :</t>
  </si>
  <si>
    <t>SUBJECTS</t>
  </si>
  <si>
    <t>MAXIMUM</t>
  </si>
  <si>
    <t>OBTAINED</t>
  </si>
  <si>
    <t>REMARKS</t>
  </si>
  <si>
    <t>DAILY SCORE</t>
  </si>
  <si>
    <t>* Total scores = Daily score (20%) + Exam scores (80%) ; "Try harder" because the obtained is less than 60% *</t>
  </si>
  <si>
    <t>RESULT</t>
  </si>
  <si>
    <t>EXAM SCORE</t>
  </si>
  <si>
    <t>TOTAL SCORE</t>
  </si>
  <si>
    <t>To update</t>
  </si>
  <si>
    <t>FEBRUARY - JULY 2026</t>
  </si>
  <si>
    <t>C2</t>
  </si>
  <si>
    <t>K1B</t>
  </si>
  <si>
    <t>3:00-5:30</t>
  </si>
  <si>
    <t>Hong Leeheng</t>
  </si>
  <si>
    <t>Chhim Chansithika</t>
  </si>
  <si>
    <t>F</t>
  </si>
  <si>
    <t>012 447681</t>
  </si>
  <si>
    <t>Chhout Senghour</t>
  </si>
  <si>
    <t>M</t>
  </si>
  <si>
    <t>078 886898</t>
  </si>
  <si>
    <t>Det Phouri</t>
  </si>
  <si>
    <t>010 222025</t>
  </si>
  <si>
    <t>Dy Chanto</t>
  </si>
  <si>
    <t>086 944449</t>
  </si>
  <si>
    <t>Dy Meyly</t>
  </si>
  <si>
    <t>Heang Limhak</t>
  </si>
  <si>
    <t>086 606067</t>
  </si>
  <si>
    <t>Keo Tepsatsjak</t>
  </si>
  <si>
    <t>092 609960</t>
  </si>
  <si>
    <t>Kong Yonghae</t>
  </si>
  <si>
    <t>Lim Davymulika</t>
  </si>
  <si>
    <t>069 332143</t>
  </si>
  <si>
    <t>Lot SamAngvichara</t>
  </si>
  <si>
    <t>096 3933822</t>
  </si>
  <si>
    <t>Lot Vichheka</t>
  </si>
  <si>
    <t>Ly Kanha</t>
  </si>
  <si>
    <t>098 339928</t>
  </si>
  <si>
    <t>Ly Sanmoniroth</t>
  </si>
  <si>
    <t>077 630577</t>
  </si>
  <si>
    <t>Noun Thoreakrith</t>
  </si>
  <si>
    <t>090 934444</t>
  </si>
  <si>
    <t>OL Amara</t>
  </si>
  <si>
    <t>016 213706</t>
  </si>
  <si>
    <t>Prom Monometa</t>
  </si>
  <si>
    <t>011 999239</t>
  </si>
  <si>
    <t>Seng Moamunyriangsey</t>
  </si>
  <si>
    <t>012 446232</t>
  </si>
  <si>
    <t>Thuy Chanmeylinh</t>
  </si>
  <si>
    <t>081 788855</t>
  </si>
  <si>
    <t>Vy Monineath</t>
  </si>
  <si>
    <t>096 2979797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</si>
</sst>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9"/>
      <color rgb="FF002060"/>
      <name val="Arial"/>
      <family val="2"/>
    </font>
    <font>
      <sz val="9"/>
      <color theme="1"/>
      <name val="Arial"/>
      <family val="2"/>
    </font>
    <font>
      <b/>
      <u/>
      <sz val="9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rgb="FFFF0000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2060"/>
      <name val="Arial"/>
      <family val="2"/>
    </font>
    <font>
      <sz val="9"/>
      <name val="Arial"/>
      <family val="2"/>
    </font>
    <font>
      <b/>
      <sz val="10"/>
      <color rgb="FF0070C0"/>
      <name val="Arial"/>
      <family val="2"/>
    </font>
    <font>
      <b/>
      <sz val="20"/>
      <color rgb="FFFFC000"/>
      <name val="Arial"/>
      <family val="2"/>
    </font>
    <font>
      <b/>
      <u/>
      <sz val="10"/>
      <color rgb="FF0070C0"/>
      <name val="Arial"/>
      <family val="2"/>
    </font>
    <font>
      <b/>
      <sz val="10"/>
      <color rgb="FFFF0000"/>
      <name val="Wingdings 2"/>
      <family val="1"/>
      <charset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6"/>
      <color rgb="FFFFC000"/>
      <name val="Arial"/>
      <family val="2"/>
    </font>
    <font>
      <b/>
      <sz val="10"/>
      <color rgb="FF002060"/>
      <name val="Wingdings 3"/>
      <family val="1"/>
      <charset val="2"/>
    </font>
    <font>
      <sz val="10"/>
      <color rgb="FF002060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u/>
      <sz val="16"/>
      <color rgb="FFFF0000"/>
      <name val="Arial"/>
      <family val="2"/>
    </font>
    <font>
      <b/>
      <sz val="14"/>
      <color rgb="FF002060"/>
      <name val="Arial"/>
      <family val="2"/>
    </font>
    <font>
      <b/>
      <sz val="14"/>
      <color rgb="FFFF0000"/>
      <name val="Arial"/>
      <family val="2"/>
    </font>
    <font>
      <b/>
      <sz val="12"/>
      <color theme="0"/>
      <name val="Arial"/>
      <family val="2"/>
    </font>
    <font>
      <b/>
      <sz val="16"/>
      <color rgb="FFFF0000"/>
      <name val="Wingdings 3"/>
      <family val="1"/>
      <charset val="2"/>
    </font>
    <font>
      <b/>
      <sz val="12"/>
      <color rgb="FFFF0000"/>
      <name val="Arial"/>
      <family val="1"/>
      <charset val="2"/>
    </font>
    <font>
      <b/>
      <sz val="9"/>
      <color theme="1"/>
      <name val="Arial"/>
      <family val="2"/>
    </font>
    <font>
      <sz val="9"/>
      <color theme="9" tint="-0.499984740745262"/>
      <name val="Arial"/>
      <family val="2"/>
    </font>
    <font>
      <b/>
      <sz val="20"/>
      <color rgb="FFFF0000"/>
      <name val="Arial"/>
      <family val="2"/>
    </font>
    <font>
      <b/>
      <sz val="1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11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4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3" fillId="5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4" borderId="21" xfId="0" applyNumberFormat="1" applyFont="1" applyFill="1" applyBorder="1" applyAlignment="1">
      <alignment horizontal="center" vertical="center"/>
    </xf>
    <xf numFmtId="1" fontId="4" fillId="4" borderId="22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1" fontId="2" fillId="0" borderId="27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" fontId="10" fillId="0" borderId="26" xfId="0" applyNumberFormat="1" applyFont="1" applyBorder="1" applyAlignment="1">
      <alignment horizontal="center"/>
    </xf>
    <xf numFmtId="1" fontId="10" fillId="0" borderId="27" xfId="0" applyNumberFormat="1" applyFont="1" applyBorder="1" applyAlignment="1">
      <alignment horizontal="center"/>
    </xf>
    <xf numFmtId="1" fontId="10" fillId="0" borderId="28" xfId="0" applyNumberFormat="1" applyFont="1" applyBorder="1" applyAlignment="1">
      <alignment horizontal="center"/>
    </xf>
    <xf numFmtId="1" fontId="4" fillId="4" borderId="26" xfId="0" applyNumberFormat="1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1" fontId="2" fillId="0" borderId="22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1" fontId="5" fillId="3" borderId="31" xfId="0" applyNumberFormat="1" applyFont="1" applyFill="1" applyBorder="1" applyAlignment="1">
      <alignment horizontal="center" vertical="center"/>
    </xf>
    <xf numFmtId="1" fontId="7" fillId="3" borderId="31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/>
    </xf>
    <xf numFmtId="1" fontId="10" fillId="0" borderId="24" xfId="0" applyNumberFormat="1" applyFont="1" applyBorder="1" applyAlignment="1">
      <alignment horizontal="center"/>
    </xf>
    <xf numFmtId="1" fontId="2" fillId="0" borderId="39" xfId="0" applyNumberFormat="1" applyFont="1" applyBorder="1" applyAlignment="1">
      <alignment horizontal="center"/>
    </xf>
    <xf numFmtId="1" fontId="7" fillId="3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/>
    </xf>
    <xf numFmtId="1" fontId="8" fillId="3" borderId="9" xfId="0" applyNumberFormat="1" applyFont="1" applyFill="1" applyBorder="1" applyAlignment="1">
      <alignment horizontal="center"/>
    </xf>
    <xf numFmtId="1" fontId="5" fillId="3" borderId="30" xfId="0" applyNumberFormat="1" applyFont="1" applyFill="1" applyBorder="1" applyAlignment="1">
      <alignment horizontal="center" vertical="center"/>
    </xf>
    <xf numFmtId="1" fontId="4" fillId="3" borderId="3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0" fillId="0" borderId="40" xfId="0" applyFont="1" applyBorder="1" applyAlignment="1">
      <alignment horizontal="center"/>
    </xf>
    <xf numFmtId="1" fontId="4" fillId="4" borderId="22" xfId="0" applyNumberFormat="1" applyFont="1" applyFill="1" applyBorder="1" applyAlignment="1">
      <alignment horizontal="center"/>
    </xf>
    <xf numFmtId="1" fontId="5" fillId="3" borderId="10" xfId="0" applyNumberFormat="1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29" fillId="10" borderId="0" xfId="0" applyFont="1" applyFill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8" fillId="0" borderId="17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5" fillId="3" borderId="31" xfId="0" applyNumberFormat="1" applyFont="1" applyFill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3" borderId="9" xfId="0" applyNumberFormat="1" applyFont="1" applyFill="1" applyBorder="1" applyAlignment="1">
      <alignment horizontal="center"/>
    </xf>
    <xf numFmtId="2" fontId="8" fillId="3" borderId="9" xfId="0" applyNumberFormat="1" applyFont="1" applyFill="1" applyBorder="1" applyAlignment="1">
      <alignment horizontal="center"/>
    </xf>
    <xf numFmtId="2" fontId="4" fillId="3" borderId="30" xfId="0" applyNumberFormat="1" applyFont="1" applyFill="1" applyBorder="1" applyAlignment="1">
      <alignment horizontal="center" vertical="top"/>
    </xf>
    <xf numFmtId="2" fontId="5" fillId="3" borderId="30" xfId="0" applyNumberFormat="1" applyFont="1" applyFill="1" applyBorder="1" applyAlignment="1">
      <alignment horizontal="center" vertical="top"/>
    </xf>
    <xf numFmtId="2" fontId="2" fillId="0" borderId="6" xfId="0" applyNumberFormat="1" applyFont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2" fontId="5" fillId="0" borderId="20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42" xfId="0" applyFont="1" applyBorder="1" applyAlignment="1">
      <alignment horizontal="left" vertical="center" indent="1"/>
    </xf>
    <xf numFmtId="0" fontId="2" fillId="0" borderId="42" xfId="0" applyFont="1" applyBorder="1" applyAlignment="1">
      <alignment horizontal="center" vertical="center"/>
    </xf>
    <xf numFmtId="2" fontId="28" fillId="0" borderId="42" xfId="0" applyNumberFormat="1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 indent="1"/>
    </xf>
    <xf numFmtId="0" fontId="2" fillId="0" borderId="43" xfId="0" applyFont="1" applyBorder="1" applyAlignment="1">
      <alignment horizontal="center" vertical="center"/>
    </xf>
    <xf numFmtId="2" fontId="28" fillId="0" borderId="43" xfId="0" applyNumberFormat="1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 indent="1"/>
    </xf>
    <xf numFmtId="0" fontId="2" fillId="0" borderId="44" xfId="0" applyFont="1" applyBorder="1" applyAlignment="1">
      <alignment horizontal="center" vertical="center"/>
    </xf>
    <xf numFmtId="2" fontId="28" fillId="0" borderId="44" xfId="0" applyNumberFormat="1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0" fontId="9" fillId="3" borderId="6" xfId="0" applyFont="1" applyFill="1" applyBorder="1" applyAlignment="1">
      <alignment horizontal="center" vertical="top"/>
    </xf>
    <xf numFmtId="0" fontId="9" fillId="3" borderId="7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0" xfId="0" applyFont="1" applyFill="1" applyAlignment="1">
      <alignment horizontal="left" vertical="center" indent="27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9" fontId="8" fillId="7" borderId="7" xfId="0" applyNumberFormat="1" applyFont="1" applyFill="1" applyBorder="1" applyAlignment="1">
      <alignment horizontal="center" vertical="top"/>
    </xf>
    <xf numFmtId="0" fontId="8" fillId="7" borderId="7" xfId="0" applyFont="1" applyFill="1" applyBorder="1" applyAlignment="1">
      <alignment horizontal="center" vertical="top"/>
    </xf>
    <xf numFmtId="0" fontId="8" fillId="7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top"/>
    </xf>
    <xf numFmtId="0" fontId="21" fillId="9" borderId="1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1" fillId="9" borderId="3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21" fillId="9" borderId="5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 vertical="top"/>
    </xf>
    <xf numFmtId="0" fontId="21" fillId="9" borderId="0" xfId="0" applyFont="1" applyFill="1" applyAlignment="1">
      <alignment horizontal="center" vertical="top"/>
    </xf>
    <xf numFmtId="0" fontId="21" fillId="9" borderId="5" xfId="0" applyFont="1" applyFill="1" applyBorder="1" applyAlignment="1">
      <alignment horizontal="center" vertical="top"/>
    </xf>
    <xf numFmtId="0" fontId="21" fillId="9" borderId="6" xfId="0" applyFont="1" applyFill="1" applyBorder="1" applyAlignment="1">
      <alignment horizontal="center" vertical="top"/>
    </xf>
    <xf numFmtId="0" fontId="21" fillId="9" borderId="7" xfId="0" applyFont="1" applyFill="1" applyBorder="1" applyAlignment="1">
      <alignment horizontal="center" vertical="top"/>
    </xf>
    <xf numFmtId="0" fontId="21" fillId="9" borderId="8" xfId="0" applyFont="1" applyFill="1" applyBorder="1" applyAlignment="1">
      <alignment horizontal="center" vertical="top"/>
    </xf>
    <xf numFmtId="0" fontId="20" fillId="9" borderId="18" xfId="0" applyFont="1" applyFill="1" applyBorder="1" applyAlignment="1">
      <alignment horizontal="center" vertical="center"/>
    </xf>
    <xf numFmtId="0" fontId="20" fillId="9" borderId="19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top"/>
    </xf>
    <xf numFmtId="0" fontId="25" fillId="2" borderId="0" xfId="0" applyFont="1" applyFill="1" applyAlignment="1">
      <alignment horizontal="center" vertical="top"/>
    </xf>
    <xf numFmtId="0" fontId="25" fillId="2" borderId="5" xfId="0" applyFont="1" applyFill="1" applyBorder="1" applyAlignment="1">
      <alignment horizontal="center" vertical="top"/>
    </xf>
    <xf numFmtId="0" fontId="25" fillId="2" borderId="6" xfId="0" applyFont="1" applyFill="1" applyBorder="1" applyAlignment="1">
      <alignment horizontal="center" vertical="top"/>
    </xf>
    <xf numFmtId="0" fontId="25" fillId="2" borderId="7" xfId="0" applyFont="1" applyFill="1" applyBorder="1" applyAlignment="1">
      <alignment horizontal="center" vertical="top"/>
    </xf>
    <xf numFmtId="0" fontId="25" fillId="2" borderId="8" xfId="0" applyFont="1" applyFill="1" applyBorder="1" applyAlignment="1">
      <alignment horizontal="center" vertical="top"/>
    </xf>
    <xf numFmtId="1" fontId="4" fillId="0" borderId="9" xfId="0" applyNumberFormat="1" applyFont="1" applyBorder="1" applyAlignment="1">
      <alignment horizontal="center" vertical="center"/>
    </xf>
    <xf numFmtId="1" fontId="5" fillId="3" borderId="31" xfId="0" applyNumberFormat="1" applyFont="1" applyFill="1" applyBorder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top"/>
    </xf>
    <xf numFmtId="1" fontId="4" fillId="3" borderId="7" xfId="0" applyNumberFormat="1" applyFont="1" applyFill="1" applyBorder="1" applyAlignment="1">
      <alignment horizontal="center" vertical="top"/>
    </xf>
    <xf numFmtId="2" fontId="9" fillId="3" borderId="0" xfId="0" applyNumberFormat="1" applyFont="1" applyFill="1" applyAlignment="1">
      <alignment horizontal="center" vertical="center"/>
    </xf>
    <xf numFmtId="2" fontId="5" fillId="8" borderId="0" xfId="0" applyNumberFormat="1" applyFont="1" applyFill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2" fontId="4" fillId="3" borderId="19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8" fillId="0" borderId="2" xfId="0" applyFont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3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" fontId="4" fillId="3" borderId="18" xfId="0" applyNumberFormat="1" applyFont="1" applyFill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/>
    </xf>
    <xf numFmtId="1" fontId="9" fillId="3" borderId="5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50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ont>
        <b val="0"/>
        <i val="0"/>
        <color auto="1"/>
      </font>
      <fill>
        <patternFill>
          <bgColor theme="2" tint="-9.9948118533890809E-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19</xdr:row>
      <xdr:rowOff>0</xdr:rowOff>
    </xdr:from>
    <xdr:to>
      <xdr:col>17</xdr:col>
      <xdr:colOff>186691</xdr:colOff>
      <xdr:row>28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5DC303-597B-6FA8-6E8F-650F6C76C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4705350"/>
          <a:ext cx="8321040" cy="24574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209550</xdr:colOff>
      <xdr:row>36</xdr:row>
      <xdr:rowOff>161929</xdr:rowOff>
    </xdr:from>
    <xdr:to>
      <xdr:col>18</xdr:col>
      <xdr:colOff>19050</xdr:colOff>
      <xdr:row>49</xdr:row>
      <xdr:rowOff>78161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1B4D62-DFB6-7265-EAF7-299D21AD3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8829679"/>
          <a:ext cx="8686800" cy="31356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219075</xdr:colOff>
      <xdr:row>58</xdr:row>
      <xdr:rowOff>19050</xdr:rowOff>
    </xdr:from>
    <xdr:to>
      <xdr:col>18</xdr:col>
      <xdr:colOff>28575</xdr:colOff>
      <xdr:row>70</xdr:row>
      <xdr:rowOff>172752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D32070-7D03-8E46-147B-7B75F7F21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14382750"/>
          <a:ext cx="8686800" cy="3125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228600</xdr:colOff>
      <xdr:row>73</xdr:row>
      <xdr:rowOff>171454</xdr:rowOff>
    </xdr:from>
    <xdr:to>
      <xdr:col>18</xdr:col>
      <xdr:colOff>38100</xdr:colOff>
      <xdr:row>86</xdr:row>
      <xdr:rowOff>60687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B82CC9-2EB5-9E71-783D-CE04C9C4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900" y="18745204"/>
          <a:ext cx="8686800" cy="31086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476250</xdr:colOff>
      <xdr:row>102</xdr:row>
      <xdr:rowOff>9525</xdr:rowOff>
    </xdr:from>
    <xdr:to>
      <xdr:col>10</xdr:col>
      <xdr:colOff>209550</xdr:colOff>
      <xdr:row>103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28B8B64-6493-78AF-01CB-F564694A453A}"/>
            </a:ext>
          </a:extLst>
        </xdr:cNvPr>
        <xdr:cNvSpPr/>
      </xdr:nvSpPr>
      <xdr:spPr>
        <a:xfrm>
          <a:off x="2828925" y="25269825"/>
          <a:ext cx="2057400" cy="2381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361950</xdr:colOff>
      <xdr:row>102</xdr:row>
      <xdr:rowOff>19050</xdr:rowOff>
    </xdr:from>
    <xdr:to>
      <xdr:col>14</xdr:col>
      <xdr:colOff>323850</xdr:colOff>
      <xdr:row>103</xdr:row>
      <xdr:rowOff>9525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671CD25-F15D-4102-9AFB-F59CC4CE6E5B}"/>
            </a:ext>
          </a:extLst>
        </xdr:cNvPr>
        <xdr:cNvSpPr/>
      </xdr:nvSpPr>
      <xdr:spPr>
        <a:xfrm>
          <a:off x="5038725" y="25279350"/>
          <a:ext cx="2286000" cy="2381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342900</xdr:colOff>
      <xdr:row>103</xdr:row>
      <xdr:rowOff>0</xdr:rowOff>
    </xdr:from>
    <xdr:to>
      <xdr:col>8</xdr:col>
      <xdr:colOff>342900</xdr:colOff>
      <xdr:row>104</xdr:row>
      <xdr:rowOff>47625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59FD0AC-29E3-C668-5292-4CD735978C3D}"/>
            </a:ext>
          </a:extLst>
        </xdr:cNvPr>
        <xdr:cNvCxnSpPr>
          <a:stCxn id="8" idx="2"/>
        </xdr:cNvCxnSpPr>
      </xdr:nvCxnSpPr>
      <xdr:spPr>
        <a:xfrm>
          <a:off x="3857625" y="25507950"/>
          <a:ext cx="0" cy="2952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103</xdr:row>
      <xdr:rowOff>0</xdr:rowOff>
    </xdr:from>
    <xdr:to>
      <xdr:col>11</xdr:col>
      <xdr:colOff>476250</xdr:colOff>
      <xdr:row>104</xdr:row>
      <xdr:rowOff>47625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F322016-DC46-404E-9279-464EF75EE9BD}"/>
            </a:ext>
          </a:extLst>
        </xdr:cNvPr>
        <xdr:cNvCxnSpPr/>
      </xdr:nvCxnSpPr>
      <xdr:spPr>
        <a:xfrm>
          <a:off x="5734050" y="25507950"/>
          <a:ext cx="0" cy="2952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110"/>
  <sheetViews>
    <sheetView topLeftCell="A100" workbookViewId="0">
      <selection activeCell="Y46" sqref="Y46"/>
    </sheetView>
  </sheetViews>
  <sheetFormatPr defaultColWidth="8.7109375" defaultRowHeight="20.100000000000001" customHeight="1"/>
  <cols>
    <col min="1" max="1" width="1.7109375" style="27" customWidth="1"/>
    <col min="2" max="2" width="3.7109375" style="27" customWidth="1"/>
    <col min="3" max="3" width="3.7109375" style="40" customWidth="1"/>
    <col min="4" max="17" width="8.7109375" style="27"/>
    <col min="18" max="19" width="3.7109375" style="40" customWidth="1"/>
    <col min="20" max="20" width="1.7109375" style="27" customWidth="1"/>
    <col min="21" max="16384" width="8.7109375" style="27"/>
  </cols>
  <sheetData>
    <row r="1" spans="1:20" ht="20.100000000000001" customHeight="1">
      <c r="A1" s="25"/>
      <c r="B1" s="171" t="s">
        <v>34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26"/>
    </row>
    <row r="2" spans="1:20" ht="20.100000000000001" customHeight="1">
      <c r="A2" s="25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26"/>
    </row>
    <row r="3" spans="1:20" ht="20.100000000000001" customHeight="1">
      <c r="A3" s="25"/>
      <c r="B3" s="28"/>
      <c r="C3" s="29" t="s">
        <v>35</v>
      </c>
      <c r="D3" s="155" t="s">
        <v>36</v>
      </c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30"/>
      <c r="T3" s="31"/>
    </row>
    <row r="4" spans="1:20" ht="20.100000000000001" customHeight="1">
      <c r="A4" s="25"/>
      <c r="B4" s="28"/>
      <c r="C4" s="29" t="s">
        <v>35</v>
      </c>
      <c r="D4" s="155" t="s">
        <v>37</v>
      </c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30"/>
      <c r="T4" s="31"/>
    </row>
    <row r="5" spans="1:20" ht="20.100000000000001" customHeight="1">
      <c r="A5" s="25"/>
      <c r="B5" s="32"/>
      <c r="C5" s="33"/>
      <c r="D5" s="155" t="s">
        <v>38</v>
      </c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30"/>
      <c r="T5" s="31"/>
    </row>
    <row r="6" spans="1:20" ht="20.100000000000001" customHeight="1">
      <c r="A6" s="25"/>
      <c r="B6" s="32"/>
      <c r="C6" s="29" t="s">
        <v>35</v>
      </c>
      <c r="D6" s="155" t="s">
        <v>62</v>
      </c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30"/>
      <c r="T6" s="31"/>
    </row>
    <row r="7" spans="1:20" s="37" customFormat="1" ht="20.100000000000001" customHeight="1">
      <c r="A7" s="34"/>
      <c r="B7" s="30"/>
      <c r="C7" s="20"/>
      <c r="D7" s="168" t="s">
        <v>39</v>
      </c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20"/>
      <c r="T7" s="36"/>
    </row>
    <row r="8" spans="1:20" ht="20.100000000000001" customHeight="1">
      <c r="A8" s="25"/>
      <c r="B8" s="32"/>
      <c r="C8" s="33"/>
      <c r="D8" s="168" t="s">
        <v>40</v>
      </c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35"/>
      <c r="T8" s="38"/>
    </row>
    <row r="9" spans="1:20" ht="20.100000000000001" customHeight="1">
      <c r="A9" s="25"/>
      <c r="B9" s="32"/>
      <c r="C9" s="33"/>
      <c r="D9" s="169" t="s">
        <v>41</v>
      </c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39"/>
      <c r="T9" s="31"/>
    </row>
    <row r="10" spans="1:20" ht="20.100000000000001" customHeight="1">
      <c r="A10" s="25"/>
      <c r="B10" s="32"/>
      <c r="C10" s="33"/>
      <c r="D10" s="168" t="s">
        <v>65</v>
      </c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39"/>
      <c r="T10" s="31"/>
    </row>
    <row r="11" spans="1:20" ht="20.100000000000001" customHeight="1">
      <c r="A11" s="25"/>
      <c r="B11" s="32"/>
      <c r="C11" s="33"/>
      <c r="D11" s="168" t="s">
        <v>63</v>
      </c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21"/>
      <c r="T11" s="31"/>
    </row>
    <row r="12" spans="1:20" ht="20.100000000000001" customHeight="1">
      <c r="A12" s="25"/>
      <c r="B12" s="32"/>
      <c r="C12" s="33"/>
      <c r="D12" s="168" t="s">
        <v>64</v>
      </c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21"/>
      <c r="T12" s="31"/>
    </row>
    <row r="13" spans="1:20" ht="20.100000000000001" customHeight="1">
      <c r="A13" s="25"/>
      <c r="B13" s="32"/>
      <c r="C13" s="33"/>
      <c r="D13" s="168" t="s">
        <v>66</v>
      </c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21"/>
      <c r="T13" s="31"/>
    </row>
    <row r="14" spans="1:20" ht="20.100000000000001" customHeight="1">
      <c r="A14" s="25"/>
      <c r="B14" s="32"/>
      <c r="C14" s="29" t="s">
        <v>35</v>
      </c>
      <c r="D14" s="155" t="s">
        <v>67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21"/>
      <c r="T14" s="31"/>
    </row>
    <row r="15" spans="1:20" ht="20.100000000000001" customHeight="1">
      <c r="A15" s="25"/>
      <c r="B15" s="32"/>
      <c r="C15" s="3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31"/>
    </row>
    <row r="16" spans="1:20" ht="20.100000000000001" customHeight="1">
      <c r="A16" s="25"/>
      <c r="B16" s="32"/>
      <c r="C16" s="170" t="s">
        <v>42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21"/>
      <c r="T16" s="31"/>
    </row>
    <row r="17" spans="1:20" ht="20.100000000000001" customHeight="1">
      <c r="A17" s="25"/>
      <c r="B17" s="32"/>
      <c r="C17" s="168" t="s">
        <v>43</v>
      </c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21"/>
      <c r="T17" s="31"/>
    </row>
    <row r="18" spans="1:20" ht="20.100000000000001" customHeight="1">
      <c r="A18" s="25"/>
      <c r="B18" s="32"/>
      <c r="C18" s="29" t="s">
        <v>35</v>
      </c>
      <c r="D18" s="155" t="s">
        <v>44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21"/>
      <c r="T18" s="31"/>
    </row>
    <row r="19" spans="1:20" ht="20.100000000000001" customHeight="1">
      <c r="A19" s="25"/>
      <c r="B19" s="32"/>
      <c r="C19" s="29" t="s">
        <v>35</v>
      </c>
      <c r="D19" s="155" t="s">
        <v>68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21"/>
      <c r="T19" s="31"/>
    </row>
    <row r="20" spans="1:20" ht="20.100000000000001" customHeight="1">
      <c r="A20" s="25"/>
      <c r="B20" s="32"/>
      <c r="C20" s="33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21"/>
      <c r="T20" s="31"/>
    </row>
    <row r="21" spans="1:20" ht="20.100000000000001" customHeight="1">
      <c r="A21" s="25"/>
      <c r="B21" s="32"/>
      <c r="C21" s="33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21"/>
      <c r="S21" s="21"/>
      <c r="T21" s="31"/>
    </row>
    <row r="22" spans="1:20" ht="20.100000000000001" customHeight="1">
      <c r="A22" s="25"/>
      <c r="B22" s="32"/>
      <c r="C22" s="33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21"/>
      <c r="S22" s="21"/>
      <c r="T22" s="31"/>
    </row>
    <row r="23" spans="1:20" ht="20.100000000000001" customHeight="1">
      <c r="A23" s="25"/>
      <c r="B23" s="32"/>
      <c r="C23" s="33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21"/>
      <c r="S23" s="21"/>
      <c r="T23" s="31"/>
    </row>
    <row r="24" spans="1:20" ht="20.100000000000001" customHeight="1">
      <c r="A24" s="25"/>
      <c r="B24" s="32"/>
      <c r="C24" s="33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21"/>
      <c r="S24" s="21"/>
      <c r="T24" s="31"/>
    </row>
    <row r="25" spans="1:20" ht="20.100000000000001" customHeight="1">
      <c r="A25" s="25"/>
      <c r="B25" s="32"/>
      <c r="C25" s="33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21"/>
      <c r="S25" s="21"/>
      <c r="T25" s="31"/>
    </row>
    <row r="26" spans="1:20" ht="20.100000000000001" customHeight="1">
      <c r="A26" s="25"/>
      <c r="B26" s="32"/>
      <c r="C26" s="33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21"/>
      <c r="S26" s="21"/>
      <c r="T26" s="31"/>
    </row>
    <row r="27" spans="1:20" ht="20.100000000000001" customHeight="1">
      <c r="A27" s="25"/>
      <c r="B27" s="32"/>
      <c r="C27" s="33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1"/>
      <c r="S27" s="21"/>
      <c r="T27" s="31"/>
    </row>
    <row r="28" spans="1:20" ht="20.100000000000001" customHeight="1">
      <c r="A28" s="25"/>
      <c r="B28" s="32"/>
      <c r="C28" s="33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21"/>
      <c r="S28" s="21"/>
      <c r="T28" s="31"/>
    </row>
    <row r="29" spans="1:20" ht="20.100000000000001" customHeight="1">
      <c r="A29" s="25"/>
      <c r="B29" s="32"/>
      <c r="C29" s="33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21"/>
      <c r="S29" s="21"/>
      <c r="T29" s="31"/>
    </row>
    <row r="30" spans="1:20" ht="20.100000000000001" customHeight="1">
      <c r="A30" s="25"/>
      <c r="B30" s="32"/>
      <c r="C30" s="168" t="s">
        <v>45</v>
      </c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21"/>
      <c r="T30" s="31"/>
    </row>
    <row r="31" spans="1:20" ht="20.100000000000001" customHeight="1">
      <c r="A31" s="25"/>
      <c r="B31" s="32"/>
      <c r="C31" s="29"/>
      <c r="D31" s="155" t="s">
        <v>46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21"/>
      <c r="T31" s="31"/>
    </row>
    <row r="32" spans="1:20" ht="20.100000000000001" customHeight="1">
      <c r="A32" s="25"/>
      <c r="B32" s="32"/>
      <c r="C32" s="29" t="s">
        <v>35</v>
      </c>
      <c r="D32" s="155" t="s">
        <v>69</v>
      </c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21"/>
      <c r="T32" s="31"/>
    </row>
    <row r="33" spans="1:20" ht="20.100000000000001" customHeight="1">
      <c r="A33" s="25"/>
      <c r="B33" s="32"/>
      <c r="C33" s="29" t="s">
        <v>35</v>
      </c>
      <c r="D33" s="155" t="s">
        <v>47</v>
      </c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21"/>
      <c r="T33" s="31"/>
    </row>
    <row r="34" spans="1:20" ht="20.100000000000001" customHeight="1">
      <c r="A34" s="25"/>
      <c r="B34" s="32"/>
      <c r="C34" s="29" t="s">
        <v>35</v>
      </c>
      <c r="D34" s="155" t="s">
        <v>70</v>
      </c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21"/>
      <c r="T34" s="31"/>
    </row>
    <row r="35" spans="1:20" ht="20.100000000000001" customHeight="1">
      <c r="A35" s="25"/>
      <c r="B35" s="32"/>
      <c r="C35" s="29"/>
      <c r="D35" s="155" t="s">
        <v>71</v>
      </c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21"/>
      <c r="T35" s="31"/>
    </row>
    <row r="36" spans="1:20" ht="20.100000000000001" customHeight="1">
      <c r="A36" s="25"/>
      <c r="B36" s="32"/>
      <c r="C36" s="29" t="s">
        <v>48</v>
      </c>
      <c r="D36" s="155" t="s">
        <v>49</v>
      </c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21"/>
      <c r="T36" s="31"/>
    </row>
    <row r="37" spans="1:20" ht="20.100000000000001" customHeight="1">
      <c r="A37" s="25"/>
      <c r="B37" s="32"/>
      <c r="C37" s="29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21"/>
      <c r="S37" s="21"/>
      <c r="T37" s="31"/>
    </row>
    <row r="38" spans="1:20" ht="20.100000000000001" customHeight="1">
      <c r="A38" s="25"/>
      <c r="B38" s="32"/>
      <c r="C38" s="29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21"/>
      <c r="S38" s="21"/>
      <c r="T38" s="31"/>
    </row>
    <row r="39" spans="1:20" ht="20.100000000000001" customHeight="1">
      <c r="A39" s="25"/>
      <c r="B39" s="32"/>
      <c r="C39" s="29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21"/>
      <c r="S39" s="21"/>
      <c r="T39" s="31"/>
    </row>
    <row r="40" spans="1:20" ht="20.100000000000001" customHeight="1">
      <c r="A40" s="25"/>
      <c r="B40" s="32"/>
      <c r="C40" s="29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21"/>
      <c r="S40" s="21"/>
      <c r="T40" s="31"/>
    </row>
    <row r="41" spans="1:20" ht="20.100000000000001" customHeight="1">
      <c r="A41" s="25"/>
      <c r="B41" s="32"/>
      <c r="C41" s="29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21"/>
      <c r="S41" s="21"/>
      <c r="T41" s="31"/>
    </row>
    <row r="42" spans="1:20" ht="20.100000000000001" customHeight="1">
      <c r="A42" s="25"/>
      <c r="B42" s="32"/>
      <c r="C42" s="29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21"/>
      <c r="S42" s="21"/>
      <c r="T42" s="31"/>
    </row>
    <row r="43" spans="1:20" ht="20.100000000000001" customHeight="1">
      <c r="A43" s="25"/>
      <c r="B43" s="32"/>
      <c r="C43" s="29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21"/>
      <c r="S43" s="21"/>
      <c r="T43" s="31"/>
    </row>
    <row r="44" spans="1:20" ht="20.100000000000001" customHeight="1">
      <c r="A44" s="25"/>
      <c r="B44" s="32"/>
      <c r="C44" s="33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21"/>
      <c r="S44" s="21"/>
      <c r="T44" s="31"/>
    </row>
    <row r="45" spans="1:20" ht="20.100000000000001" customHeight="1">
      <c r="A45" s="25"/>
      <c r="B45" s="32"/>
      <c r="C45" s="33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21"/>
      <c r="S45" s="21"/>
      <c r="T45" s="31"/>
    </row>
    <row r="46" spans="1:20" ht="20.100000000000001" customHeight="1">
      <c r="A46" s="25"/>
      <c r="B46" s="32"/>
      <c r="C46" s="33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21"/>
      <c r="S46" s="21"/>
      <c r="T46" s="31"/>
    </row>
    <row r="47" spans="1:20" ht="20.100000000000001" customHeight="1">
      <c r="A47" s="25"/>
      <c r="B47" s="32"/>
      <c r="C47" s="33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21"/>
      <c r="S47" s="21"/>
      <c r="T47" s="31"/>
    </row>
    <row r="48" spans="1:20" ht="20.100000000000001" customHeight="1">
      <c r="A48" s="25"/>
      <c r="B48" s="32"/>
      <c r="C48" s="33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21"/>
      <c r="S48" s="21"/>
      <c r="T48" s="31"/>
    </row>
    <row r="49" spans="1:20" ht="20.100000000000001" customHeight="1">
      <c r="A49" s="25"/>
      <c r="B49" s="32"/>
      <c r="C49" s="33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21"/>
      <c r="S49" s="21"/>
      <c r="T49" s="31"/>
    </row>
    <row r="50" spans="1:20" ht="20.100000000000001" customHeight="1">
      <c r="A50" s="25"/>
      <c r="B50" s="32"/>
      <c r="C50" s="33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21"/>
      <c r="S50" s="21"/>
      <c r="T50" s="31"/>
    </row>
    <row r="51" spans="1:20" ht="20.100000000000001" customHeight="1">
      <c r="A51" s="25"/>
      <c r="B51" s="32"/>
      <c r="C51" s="168" t="s">
        <v>50</v>
      </c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21"/>
      <c r="T51" s="31"/>
    </row>
    <row r="52" spans="1:20" ht="20.100000000000001" customHeight="1">
      <c r="A52" s="25"/>
      <c r="B52" s="32"/>
      <c r="C52" s="29"/>
      <c r="D52" s="155" t="s">
        <v>51</v>
      </c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21"/>
      <c r="T52" s="31"/>
    </row>
    <row r="53" spans="1:20" ht="20.100000000000001" customHeight="1">
      <c r="A53" s="25"/>
      <c r="B53" s="32"/>
      <c r="C53" s="29" t="s">
        <v>35</v>
      </c>
      <c r="D53" s="155" t="s">
        <v>52</v>
      </c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21"/>
      <c r="T53" s="31"/>
    </row>
    <row r="54" spans="1:20" ht="20.100000000000001" customHeight="1">
      <c r="A54" s="25"/>
      <c r="B54" s="32"/>
      <c r="C54" s="29" t="s">
        <v>35</v>
      </c>
      <c r="D54" s="155" t="s">
        <v>72</v>
      </c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21"/>
      <c r="T54" s="31"/>
    </row>
    <row r="55" spans="1:20" ht="20.100000000000001" customHeight="1">
      <c r="A55" s="25"/>
      <c r="B55" s="32"/>
      <c r="C55" s="29"/>
      <c r="D55" s="155" t="s">
        <v>53</v>
      </c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21"/>
      <c r="T55" s="31"/>
    </row>
    <row r="56" spans="1:20" ht="20.100000000000001" customHeight="1">
      <c r="A56" s="25"/>
      <c r="B56" s="32"/>
      <c r="C56" s="29" t="s">
        <v>48</v>
      </c>
      <c r="D56" s="155" t="s">
        <v>54</v>
      </c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21"/>
      <c r="T56" s="31"/>
    </row>
    <row r="57" spans="1:20" ht="20.100000000000001" customHeight="1">
      <c r="A57" s="25"/>
      <c r="B57" s="32"/>
      <c r="C57" s="33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21"/>
      <c r="S57" s="21"/>
      <c r="T57" s="31"/>
    </row>
    <row r="58" spans="1:20" ht="20.100000000000001" customHeight="1">
      <c r="A58" s="25"/>
      <c r="B58" s="32"/>
      <c r="C58" s="33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21"/>
      <c r="S58" s="21"/>
      <c r="T58" s="31"/>
    </row>
    <row r="59" spans="1:20" ht="20.100000000000001" customHeight="1">
      <c r="A59" s="25"/>
      <c r="B59" s="32"/>
      <c r="C59" s="33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21"/>
      <c r="S59" s="21"/>
      <c r="T59" s="31"/>
    </row>
    <row r="60" spans="1:20" ht="20.100000000000001" customHeight="1">
      <c r="A60" s="25"/>
      <c r="B60" s="32"/>
      <c r="C60" s="33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21"/>
      <c r="S60" s="21"/>
      <c r="T60" s="31"/>
    </row>
    <row r="61" spans="1:20" ht="20.100000000000001" customHeight="1">
      <c r="A61" s="25"/>
      <c r="B61" s="32"/>
      <c r="C61" s="33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21"/>
      <c r="S61" s="21"/>
      <c r="T61" s="31"/>
    </row>
    <row r="62" spans="1:20" ht="20.100000000000001" customHeight="1">
      <c r="A62" s="25"/>
      <c r="B62" s="32"/>
      <c r="C62" s="33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21"/>
      <c r="S62" s="21"/>
      <c r="T62" s="31"/>
    </row>
    <row r="63" spans="1:20" ht="20.100000000000001" customHeight="1">
      <c r="A63" s="25"/>
      <c r="B63" s="32"/>
      <c r="C63" s="33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21"/>
      <c r="S63" s="21"/>
      <c r="T63" s="31"/>
    </row>
    <row r="64" spans="1:20" ht="20.100000000000001" customHeight="1">
      <c r="A64" s="25"/>
      <c r="B64" s="32"/>
      <c r="C64" s="33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21"/>
      <c r="S64" s="21"/>
      <c r="T64" s="31"/>
    </row>
    <row r="65" spans="1:20" ht="20.100000000000001" customHeight="1">
      <c r="A65" s="25"/>
      <c r="B65" s="32"/>
      <c r="C65" s="33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21"/>
      <c r="S65" s="21"/>
      <c r="T65" s="31"/>
    </row>
    <row r="66" spans="1:20" ht="20.100000000000001" customHeight="1">
      <c r="A66" s="25"/>
      <c r="B66" s="32"/>
      <c r="C66" s="33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21"/>
      <c r="S66" s="21"/>
      <c r="T66" s="31"/>
    </row>
    <row r="67" spans="1:20" ht="20.100000000000001" customHeight="1">
      <c r="A67" s="25"/>
      <c r="B67" s="32"/>
      <c r="C67" s="33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21"/>
      <c r="S67" s="21"/>
      <c r="T67" s="31"/>
    </row>
    <row r="68" spans="1:20" ht="20.100000000000001" customHeight="1">
      <c r="A68" s="25"/>
      <c r="B68" s="32"/>
      <c r="C68" s="33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21"/>
      <c r="S68" s="21"/>
      <c r="T68" s="31"/>
    </row>
    <row r="69" spans="1:20" ht="20.100000000000001" customHeight="1">
      <c r="A69" s="25"/>
      <c r="B69" s="32"/>
      <c r="C69" s="33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21"/>
      <c r="S69" s="21"/>
      <c r="T69" s="31"/>
    </row>
    <row r="70" spans="1:20" ht="20.100000000000001" customHeight="1">
      <c r="A70" s="25"/>
      <c r="B70" s="32"/>
      <c r="C70" s="33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21"/>
      <c r="S70" s="21"/>
      <c r="T70" s="31"/>
    </row>
    <row r="71" spans="1:20" ht="20.100000000000001" customHeight="1">
      <c r="A71" s="25"/>
      <c r="B71" s="32"/>
      <c r="C71" s="33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21"/>
      <c r="S71" s="21"/>
      <c r="T71" s="31"/>
    </row>
    <row r="72" spans="1:20" ht="20.100000000000001" customHeight="1">
      <c r="A72" s="25"/>
      <c r="B72" s="32"/>
      <c r="C72" s="33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21"/>
      <c r="S72" s="21"/>
      <c r="T72" s="31"/>
    </row>
    <row r="73" spans="1:20" ht="20.100000000000001" customHeight="1">
      <c r="A73" s="25"/>
      <c r="B73" s="32"/>
      <c r="C73" s="168" t="s">
        <v>73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21"/>
      <c r="T73" s="31"/>
    </row>
    <row r="74" spans="1:20" ht="20.100000000000001" customHeight="1">
      <c r="A74" s="25"/>
      <c r="B74" s="32"/>
      <c r="C74" s="33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21"/>
      <c r="S74" s="21"/>
      <c r="T74" s="31"/>
    </row>
    <row r="75" spans="1:20" ht="20.100000000000001" customHeight="1">
      <c r="A75" s="25"/>
      <c r="B75" s="32"/>
      <c r="C75" s="33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21"/>
      <c r="S75" s="21"/>
      <c r="T75" s="31"/>
    </row>
    <row r="76" spans="1:20" ht="20.100000000000001" customHeight="1">
      <c r="A76" s="25"/>
      <c r="B76" s="32"/>
      <c r="C76" s="33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21"/>
      <c r="S76" s="21"/>
      <c r="T76" s="31"/>
    </row>
    <row r="77" spans="1:20" ht="20.100000000000001" customHeight="1">
      <c r="A77" s="25"/>
      <c r="B77" s="32"/>
      <c r="C77" s="33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21"/>
      <c r="S77" s="21"/>
      <c r="T77" s="31"/>
    </row>
    <row r="78" spans="1:20" ht="20.100000000000001" customHeight="1">
      <c r="A78" s="25"/>
      <c r="B78" s="32"/>
      <c r="C78" s="33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21"/>
      <c r="S78" s="21"/>
      <c r="T78" s="31"/>
    </row>
    <row r="79" spans="1:20" ht="20.100000000000001" customHeight="1">
      <c r="A79" s="25"/>
      <c r="B79" s="32"/>
      <c r="C79" s="33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21"/>
      <c r="S79" s="21"/>
      <c r="T79" s="31"/>
    </row>
    <row r="80" spans="1:20" ht="20.100000000000001" customHeight="1">
      <c r="A80" s="25"/>
      <c r="B80" s="32"/>
      <c r="C80" s="33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21"/>
      <c r="S80" s="21"/>
      <c r="T80" s="31"/>
    </row>
    <row r="81" spans="1:20" ht="20.100000000000001" customHeight="1">
      <c r="A81" s="25"/>
      <c r="B81" s="32"/>
      <c r="C81" s="33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21"/>
      <c r="S81" s="21"/>
      <c r="T81" s="31"/>
    </row>
    <row r="82" spans="1:20" ht="20.100000000000001" customHeight="1">
      <c r="A82" s="25"/>
      <c r="B82" s="32"/>
      <c r="C82" s="33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21"/>
      <c r="S82" s="21"/>
      <c r="T82" s="31"/>
    </row>
    <row r="83" spans="1:20" ht="20.100000000000001" customHeight="1">
      <c r="A83" s="25"/>
      <c r="B83" s="32"/>
      <c r="C83" s="33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21"/>
      <c r="S83" s="21"/>
      <c r="T83" s="31"/>
    </row>
    <row r="84" spans="1:20" ht="20.100000000000001" customHeight="1">
      <c r="A84" s="25"/>
      <c r="B84" s="32"/>
      <c r="C84" s="33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21"/>
      <c r="S84" s="21"/>
      <c r="T84" s="31"/>
    </row>
    <row r="85" spans="1:20" ht="20.100000000000001" customHeight="1">
      <c r="A85" s="25"/>
      <c r="B85" s="32"/>
      <c r="C85" s="33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21"/>
      <c r="S85" s="21"/>
      <c r="T85" s="31"/>
    </row>
    <row r="86" spans="1:20" ht="20.100000000000001" customHeight="1">
      <c r="A86" s="25"/>
      <c r="B86" s="32"/>
      <c r="C86" s="33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21"/>
      <c r="S86" s="21"/>
      <c r="T86" s="31"/>
    </row>
    <row r="87" spans="1:20" ht="20.100000000000001" customHeight="1">
      <c r="A87" s="25"/>
      <c r="B87" s="32"/>
      <c r="C87" s="33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21"/>
      <c r="S87" s="21"/>
      <c r="T87" s="31"/>
    </row>
    <row r="88" spans="1:20" ht="20.100000000000001" customHeight="1">
      <c r="A88" s="25"/>
      <c r="B88" s="32"/>
      <c r="C88" s="29" t="s">
        <v>35</v>
      </c>
      <c r="D88" s="155" t="s">
        <v>74</v>
      </c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21"/>
      <c r="T88" s="31"/>
    </row>
    <row r="89" spans="1:20" ht="20.100000000000001" customHeight="1">
      <c r="A89" s="25"/>
      <c r="B89" s="32"/>
      <c r="C89" s="29" t="s">
        <v>35</v>
      </c>
      <c r="D89" s="155" t="s">
        <v>75</v>
      </c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21"/>
      <c r="T89" s="31"/>
    </row>
    <row r="90" spans="1:20" ht="20.100000000000001" customHeight="1">
      <c r="A90" s="25"/>
      <c r="B90" s="32"/>
      <c r="C90" s="29" t="s">
        <v>35</v>
      </c>
      <c r="D90" s="155" t="s">
        <v>76</v>
      </c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21"/>
      <c r="T90" s="31"/>
    </row>
    <row r="91" spans="1:20" ht="20.100000000000001" customHeight="1">
      <c r="A91" s="25"/>
      <c r="B91" s="32"/>
      <c r="C91" s="33"/>
      <c r="D91" s="155" t="s">
        <v>77</v>
      </c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21"/>
      <c r="T91" s="31"/>
    </row>
    <row r="92" spans="1:20" ht="20.100000000000001" customHeight="1">
      <c r="A92" s="25"/>
      <c r="B92" s="32"/>
      <c r="C92" s="33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21"/>
      <c r="S92" s="21"/>
      <c r="T92" s="31"/>
    </row>
    <row r="93" spans="1:20" ht="20.100000000000001" customHeight="1">
      <c r="A93" s="25"/>
      <c r="B93" s="32"/>
      <c r="C93" s="33"/>
      <c r="D93" s="30"/>
      <c r="E93" s="156" t="s">
        <v>78</v>
      </c>
      <c r="F93" s="157"/>
      <c r="G93" s="157"/>
      <c r="H93" s="157" t="s">
        <v>59</v>
      </c>
      <c r="I93" s="163" t="s">
        <v>56</v>
      </c>
      <c r="J93" s="163"/>
      <c r="K93" s="157" t="s">
        <v>57</v>
      </c>
      <c r="L93" s="163" t="s">
        <v>58</v>
      </c>
      <c r="M93" s="163"/>
      <c r="N93" s="157" t="s">
        <v>59</v>
      </c>
      <c r="O93" s="163" t="s">
        <v>16</v>
      </c>
      <c r="P93" s="164"/>
      <c r="Q93" s="30"/>
      <c r="R93" s="30"/>
      <c r="S93" s="21"/>
      <c r="T93" s="31"/>
    </row>
    <row r="94" spans="1:20" ht="20.100000000000001" customHeight="1">
      <c r="A94" s="25"/>
      <c r="B94" s="32"/>
      <c r="C94" s="33"/>
      <c r="D94" s="30"/>
      <c r="E94" s="158"/>
      <c r="F94" s="159"/>
      <c r="G94" s="159"/>
      <c r="H94" s="159"/>
      <c r="I94" s="165">
        <v>0.2</v>
      </c>
      <c r="J94" s="166"/>
      <c r="K94" s="159"/>
      <c r="L94" s="165">
        <v>0.8</v>
      </c>
      <c r="M94" s="166"/>
      <c r="N94" s="159"/>
      <c r="O94" s="165">
        <v>1</v>
      </c>
      <c r="P94" s="167"/>
      <c r="Q94" s="30"/>
      <c r="R94" s="30"/>
      <c r="S94" s="21"/>
      <c r="T94" s="31"/>
    </row>
    <row r="95" spans="1:20" ht="20.100000000000001" customHeight="1">
      <c r="A95" s="25"/>
      <c r="B95" s="32"/>
      <c r="C95" s="29"/>
      <c r="D95" s="173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21"/>
      <c r="T95" s="31"/>
    </row>
    <row r="96" spans="1:20" ht="20.100000000000001" customHeight="1">
      <c r="A96" s="25"/>
      <c r="B96" s="32"/>
      <c r="C96" s="168" t="s">
        <v>79</v>
      </c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21"/>
      <c r="T96" s="31"/>
    </row>
    <row r="97" spans="1:20" ht="20.100000000000001" customHeight="1">
      <c r="A97" s="25"/>
      <c r="B97" s="32"/>
      <c r="C97" s="168" t="s">
        <v>80</v>
      </c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21"/>
      <c r="T97" s="31"/>
    </row>
    <row r="98" spans="1:20" ht="20.100000000000001" customHeight="1">
      <c r="A98" s="25"/>
      <c r="B98" s="32"/>
      <c r="C98" s="168" t="s">
        <v>81</v>
      </c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21"/>
      <c r="T98" s="31"/>
    </row>
    <row r="99" spans="1:20" ht="20.100000000000001" customHeight="1">
      <c r="A99" s="25"/>
      <c r="B99" s="32"/>
      <c r="C99" s="29" t="s">
        <v>35</v>
      </c>
      <c r="D99" s="155" t="s">
        <v>82</v>
      </c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21"/>
      <c r="T99" s="31"/>
    </row>
    <row r="100" spans="1:20" ht="20.100000000000001" customHeight="1">
      <c r="A100" s="25"/>
      <c r="B100" s="32"/>
      <c r="C100" s="29" t="s">
        <v>35</v>
      </c>
      <c r="D100" s="155" t="s">
        <v>83</v>
      </c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21"/>
      <c r="T100" s="31"/>
    </row>
    <row r="101" spans="1:20" ht="20.100000000000001" customHeight="1">
      <c r="A101" s="25"/>
      <c r="B101" s="32"/>
      <c r="C101" s="29" t="s">
        <v>35</v>
      </c>
      <c r="D101" s="155" t="s">
        <v>87</v>
      </c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21"/>
      <c r="T101" s="31"/>
    </row>
    <row r="102" spans="1:20" ht="20.100000000000001" customHeight="1">
      <c r="A102" s="25"/>
      <c r="B102" s="32"/>
      <c r="C102" s="33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21"/>
      <c r="T102" s="31"/>
    </row>
    <row r="103" spans="1:20" ht="20.100000000000001" customHeight="1">
      <c r="A103" s="25"/>
      <c r="B103" s="32"/>
      <c r="C103" s="33"/>
      <c r="D103" s="162" t="s">
        <v>88</v>
      </c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30"/>
      <c r="S103" s="21"/>
      <c r="T103" s="31"/>
    </row>
    <row r="104" spans="1:20" ht="20.100000000000001" customHeight="1">
      <c r="A104" s="25"/>
      <c r="B104" s="32"/>
      <c r="C104" s="33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21"/>
      <c r="T104" s="31"/>
    </row>
    <row r="105" spans="1:20" ht="20.100000000000001" customHeight="1">
      <c r="A105" s="25"/>
      <c r="B105" s="32"/>
      <c r="C105" s="33"/>
      <c r="D105" s="30"/>
      <c r="E105" s="160" t="s">
        <v>84</v>
      </c>
      <c r="F105" s="161"/>
      <c r="G105" s="161"/>
      <c r="H105" s="150" t="s">
        <v>59</v>
      </c>
      <c r="I105" s="150" t="s">
        <v>55</v>
      </c>
      <c r="J105" s="150"/>
      <c r="K105" s="41" t="s">
        <v>57</v>
      </c>
      <c r="L105" s="150" t="s">
        <v>86</v>
      </c>
      <c r="M105" s="150"/>
      <c r="N105" s="150" t="s">
        <v>59</v>
      </c>
      <c r="O105" s="150" t="s">
        <v>60</v>
      </c>
      <c r="P105" s="152"/>
      <c r="Q105" s="30"/>
      <c r="R105" s="30"/>
      <c r="S105" s="21"/>
      <c r="T105" s="31"/>
    </row>
    <row r="106" spans="1:20" ht="20.100000000000001" customHeight="1">
      <c r="A106" s="25"/>
      <c r="B106" s="32"/>
      <c r="C106" s="33"/>
      <c r="D106" s="30"/>
      <c r="E106" s="148" t="s">
        <v>85</v>
      </c>
      <c r="F106" s="149"/>
      <c r="G106" s="149"/>
      <c r="H106" s="151"/>
      <c r="I106" s="154">
        <v>2</v>
      </c>
      <c r="J106" s="154"/>
      <c r="K106" s="154"/>
      <c r="L106" s="154"/>
      <c r="M106" s="154"/>
      <c r="N106" s="151"/>
      <c r="O106" s="151"/>
      <c r="P106" s="153"/>
      <c r="Q106" s="30"/>
      <c r="R106" s="30"/>
      <c r="S106" s="21"/>
      <c r="T106" s="31"/>
    </row>
    <row r="107" spans="1:20" ht="20.100000000000001" customHeight="1">
      <c r="A107" s="25"/>
      <c r="B107" s="32"/>
      <c r="C107" s="147" t="s">
        <v>89</v>
      </c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21"/>
      <c r="T107" s="31"/>
    </row>
    <row r="108" spans="1:20" ht="20.100000000000001" customHeight="1">
      <c r="A108" s="25"/>
      <c r="B108" s="32"/>
      <c r="C108" s="3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31"/>
    </row>
    <row r="109" spans="1:20" ht="20.100000000000001" customHeight="1">
      <c r="A109" s="25"/>
      <c r="B109" s="172" t="s">
        <v>61</v>
      </c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25"/>
    </row>
    <row r="110" spans="1:20" ht="20.100000000000001" customHeight="1">
      <c r="A110" s="25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25"/>
    </row>
  </sheetData>
  <mergeCells count="64">
    <mergeCell ref="B109:S110"/>
    <mergeCell ref="D56:R56"/>
    <mergeCell ref="D35:R35"/>
    <mergeCell ref="C73:R73"/>
    <mergeCell ref="C97:R97"/>
    <mergeCell ref="D95:R95"/>
    <mergeCell ref="D88:R88"/>
    <mergeCell ref="D89:R89"/>
    <mergeCell ref="D90:R90"/>
    <mergeCell ref="D91:R91"/>
    <mergeCell ref="H93:H94"/>
    <mergeCell ref="I93:J93"/>
    <mergeCell ref="C51:R51"/>
    <mergeCell ref="D52:R52"/>
    <mergeCell ref="D53:R53"/>
    <mergeCell ref="D54:R54"/>
    <mergeCell ref="D55:R55"/>
    <mergeCell ref="D31:R31"/>
    <mergeCell ref="D32:R32"/>
    <mergeCell ref="D33:R33"/>
    <mergeCell ref="D34:R34"/>
    <mergeCell ref="D36:R36"/>
    <mergeCell ref="D7:R7"/>
    <mergeCell ref="D10:R10"/>
    <mergeCell ref="B1:S2"/>
    <mergeCell ref="D3:R3"/>
    <mergeCell ref="D4:R4"/>
    <mergeCell ref="D5:R5"/>
    <mergeCell ref="D6:R6"/>
    <mergeCell ref="C30:R30"/>
    <mergeCell ref="D8:R8"/>
    <mergeCell ref="D9:R9"/>
    <mergeCell ref="D11:R11"/>
    <mergeCell ref="D12:R12"/>
    <mergeCell ref="D13:R13"/>
    <mergeCell ref="C16:R16"/>
    <mergeCell ref="C17:R17"/>
    <mergeCell ref="D18:R18"/>
    <mergeCell ref="D19:R19"/>
    <mergeCell ref="D20:R20"/>
    <mergeCell ref="D14:R14"/>
    <mergeCell ref="D99:R99"/>
    <mergeCell ref="D100:R100"/>
    <mergeCell ref="D101:R101"/>
    <mergeCell ref="E93:G94"/>
    <mergeCell ref="E105:G105"/>
    <mergeCell ref="D103:Q103"/>
    <mergeCell ref="K93:K94"/>
    <mergeCell ref="L93:M93"/>
    <mergeCell ref="N93:N94"/>
    <mergeCell ref="O93:P93"/>
    <mergeCell ref="I94:J94"/>
    <mergeCell ref="L94:M94"/>
    <mergeCell ref="O94:P94"/>
    <mergeCell ref="C96:R96"/>
    <mergeCell ref="C98:R98"/>
    <mergeCell ref="C107:R107"/>
    <mergeCell ref="E106:G106"/>
    <mergeCell ref="H105:H106"/>
    <mergeCell ref="N105:N106"/>
    <mergeCell ref="O105:P106"/>
    <mergeCell ref="L105:M105"/>
    <mergeCell ref="I105:J105"/>
    <mergeCell ref="I106:M106"/>
  </mergeCells>
  <printOptions horizontalCentered="1"/>
  <pageMargins left="0" right="0" top="0.25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1577-5A6E-4435-8E79-990955D974BF}">
  <sheetPr>
    <tabColor rgb="FFFF0000"/>
  </sheetPr>
  <dimension ref="A1:AP29"/>
  <sheetViews>
    <sheetView workbookViewId="0">
      <selection activeCell="AS20" sqref="AS20"/>
    </sheetView>
  </sheetViews>
  <sheetFormatPr defaultColWidth="3.42578125" defaultRowHeight="15.95" customHeight="1"/>
  <cols>
    <col min="1" max="16384" width="3.42578125" style="5"/>
  </cols>
  <sheetData>
    <row r="1" spans="1:42" ht="15.95" customHeight="1">
      <c r="A1" s="187" t="s">
        <v>103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</row>
    <row r="2" spans="1:42" ht="15.95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</row>
    <row r="3" spans="1:42" ht="15.95" customHeight="1">
      <c r="A3" s="188" t="s">
        <v>104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</row>
    <row r="4" spans="1:42" ht="15.95" customHeight="1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</row>
    <row r="5" spans="1:42" ht="15.95" customHeight="1">
      <c r="A5" s="188" t="s">
        <v>106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</row>
    <row r="6" spans="1:42" ht="15.9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</row>
    <row r="7" spans="1:42" ht="15.95" customHeight="1">
      <c r="A7" s="188" t="s">
        <v>105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</row>
    <row r="8" spans="1:42" ht="15.95" customHeight="1">
      <c r="A8" s="188"/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</row>
    <row r="9" spans="1:42" ht="15.95" customHeight="1">
      <c r="A9" s="188" t="s">
        <v>107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</row>
    <row r="10" spans="1:42" ht="15.95" customHeight="1">
      <c r="A10" s="18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</row>
    <row r="11" spans="1:42" ht="15.95" customHeight="1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</row>
    <row r="12" spans="1:42" s="12" customFormat="1" ht="15.95" customHeight="1"/>
    <row r="13" spans="1:42" ht="15.95" customHeight="1">
      <c r="D13" s="190" t="s">
        <v>108</v>
      </c>
      <c r="E13" s="191"/>
      <c r="F13" s="191"/>
      <c r="G13" s="191"/>
      <c r="H13" s="191"/>
      <c r="I13" s="191"/>
      <c r="J13" s="191"/>
      <c r="K13" s="191"/>
      <c r="L13" s="192"/>
      <c r="M13" s="208" t="s">
        <v>110</v>
      </c>
      <c r="N13" s="209"/>
      <c r="O13" s="209"/>
      <c r="P13" s="209"/>
      <c r="Q13" s="209"/>
      <c r="R13" s="209"/>
      <c r="S13" s="209"/>
      <c r="T13" s="209"/>
      <c r="U13" s="210"/>
      <c r="V13" s="190" t="s">
        <v>110</v>
      </c>
      <c r="W13" s="191"/>
      <c r="X13" s="191"/>
      <c r="Y13" s="191"/>
      <c r="Z13" s="191"/>
      <c r="AA13" s="191"/>
      <c r="AB13" s="191"/>
      <c r="AC13" s="191"/>
      <c r="AD13" s="192"/>
      <c r="AE13" s="190" t="s">
        <v>112</v>
      </c>
      <c r="AF13" s="191"/>
      <c r="AG13" s="191"/>
      <c r="AH13" s="191"/>
      <c r="AI13" s="191"/>
      <c r="AJ13" s="191"/>
      <c r="AK13" s="191"/>
      <c r="AL13" s="191"/>
      <c r="AM13" s="192"/>
    </row>
    <row r="14" spans="1:42" ht="15.95" customHeight="1">
      <c r="D14" s="193"/>
      <c r="E14" s="194"/>
      <c r="F14" s="194"/>
      <c r="G14" s="194"/>
      <c r="H14" s="194"/>
      <c r="I14" s="194"/>
      <c r="J14" s="194"/>
      <c r="K14" s="194"/>
      <c r="L14" s="195"/>
      <c r="M14" s="211"/>
      <c r="N14" s="212"/>
      <c r="O14" s="212"/>
      <c r="P14" s="212"/>
      <c r="Q14" s="212"/>
      <c r="R14" s="212"/>
      <c r="S14" s="212"/>
      <c r="T14" s="212"/>
      <c r="U14" s="213"/>
      <c r="V14" s="193"/>
      <c r="W14" s="194"/>
      <c r="X14" s="194"/>
      <c r="Y14" s="194"/>
      <c r="Z14" s="194"/>
      <c r="AA14" s="194"/>
      <c r="AB14" s="194"/>
      <c r="AC14" s="194"/>
      <c r="AD14" s="195"/>
      <c r="AE14" s="193"/>
      <c r="AF14" s="194"/>
      <c r="AG14" s="194"/>
      <c r="AH14" s="194"/>
      <c r="AI14" s="194"/>
      <c r="AJ14" s="194"/>
      <c r="AK14" s="194"/>
      <c r="AL14" s="194"/>
      <c r="AM14" s="195"/>
    </row>
    <row r="15" spans="1:42" ht="15.95" customHeight="1">
      <c r="D15" s="196" t="s">
        <v>109</v>
      </c>
      <c r="E15" s="197"/>
      <c r="F15" s="197"/>
      <c r="G15" s="197"/>
      <c r="H15" s="197"/>
      <c r="I15" s="197"/>
      <c r="J15" s="197"/>
      <c r="K15" s="197"/>
      <c r="L15" s="198"/>
      <c r="M15" s="214" t="s">
        <v>111</v>
      </c>
      <c r="N15" s="215"/>
      <c r="O15" s="215"/>
      <c r="P15" s="215"/>
      <c r="Q15" s="215"/>
      <c r="R15" s="215"/>
      <c r="S15" s="215"/>
      <c r="T15" s="215"/>
      <c r="U15" s="216"/>
      <c r="V15" s="196" t="s">
        <v>115</v>
      </c>
      <c r="W15" s="197"/>
      <c r="X15" s="197"/>
      <c r="Y15" s="197"/>
      <c r="Z15" s="197"/>
      <c r="AA15" s="197"/>
      <c r="AB15" s="197"/>
      <c r="AC15" s="197"/>
      <c r="AD15" s="198"/>
      <c r="AE15" s="196" t="s">
        <v>113</v>
      </c>
      <c r="AF15" s="197"/>
      <c r="AG15" s="197"/>
      <c r="AH15" s="197"/>
      <c r="AI15" s="197"/>
      <c r="AJ15" s="197"/>
      <c r="AK15" s="197"/>
      <c r="AL15" s="197"/>
      <c r="AM15" s="198"/>
    </row>
    <row r="16" spans="1:42" ht="15.95" customHeight="1">
      <c r="D16" s="199"/>
      <c r="E16" s="200"/>
      <c r="F16" s="200"/>
      <c r="G16" s="200"/>
      <c r="H16" s="200"/>
      <c r="I16" s="200"/>
      <c r="J16" s="200"/>
      <c r="K16" s="200"/>
      <c r="L16" s="201"/>
      <c r="M16" s="217"/>
      <c r="N16" s="218"/>
      <c r="O16" s="218"/>
      <c r="P16" s="218"/>
      <c r="Q16" s="218"/>
      <c r="R16" s="218"/>
      <c r="S16" s="218"/>
      <c r="T16" s="218"/>
      <c r="U16" s="219"/>
      <c r="V16" s="199"/>
      <c r="W16" s="200"/>
      <c r="X16" s="200"/>
      <c r="Y16" s="200"/>
      <c r="Z16" s="200"/>
      <c r="AA16" s="200"/>
      <c r="AB16" s="200"/>
      <c r="AC16" s="200"/>
      <c r="AD16" s="201"/>
      <c r="AE16" s="199"/>
      <c r="AF16" s="200"/>
      <c r="AG16" s="200"/>
      <c r="AH16" s="200"/>
      <c r="AI16" s="200"/>
      <c r="AJ16" s="200"/>
      <c r="AK16" s="200"/>
      <c r="AL16" s="200"/>
      <c r="AM16" s="201"/>
    </row>
    <row r="17" spans="1:42" ht="15.95" customHeight="1">
      <c r="D17" s="202" t="s">
        <v>100</v>
      </c>
      <c r="E17" s="203"/>
      <c r="F17" s="203"/>
      <c r="G17" s="203"/>
      <c r="H17" s="203"/>
      <c r="I17" s="203"/>
      <c r="J17" s="203"/>
      <c r="K17" s="203"/>
      <c r="L17" s="204"/>
      <c r="M17" s="205">
        <v>6.75</v>
      </c>
      <c r="N17" s="206"/>
      <c r="O17" s="206"/>
      <c r="P17" s="206"/>
      <c r="Q17" s="206"/>
      <c r="R17" s="206"/>
      <c r="S17" s="206"/>
      <c r="T17" s="206"/>
      <c r="U17" s="207"/>
      <c r="V17" s="175">
        <v>7</v>
      </c>
      <c r="W17" s="176"/>
      <c r="X17" s="176"/>
      <c r="Y17" s="176"/>
      <c r="Z17" s="176"/>
      <c r="AA17" s="176"/>
      <c r="AB17" s="176"/>
      <c r="AC17" s="176"/>
      <c r="AD17" s="177"/>
      <c r="AE17" s="175">
        <v>6.75</v>
      </c>
      <c r="AF17" s="176"/>
      <c r="AG17" s="176"/>
      <c r="AH17" s="176"/>
      <c r="AI17" s="176"/>
      <c r="AJ17" s="176"/>
      <c r="AK17" s="176"/>
      <c r="AL17" s="176"/>
      <c r="AM17" s="177"/>
    </row>
    <row r="18" spans="1:42" ht="15.95" customHeight="1">
      <c r="D18" s="202"/>
      <c r="E18" s="203"/>
      <c r="F18" s="203"/>
      <c r="G18" s="203"/>
      <c r="H18" s="203"/>
      <c r="I18" s="203"/>
      <c r="J18" s="203"/>
      <c r="K18" s="203"/>
      <c r="L18" s="204"/>
      <c r="M18" s="184"/>
      <c r="N18" s="185"/>
      <c r="O18" s="185"/>
      <c r="P18" s="185"/>
      <c r="Q18" s="185"/>
      <c r="R18" s="185"/>
      <c r="S18" s="185"/>
      <c r="T18" s="185"/>
      <c r="U18" s="186"/>
      <c r="V18" s="178"/>
      <c r="W18" s="179"/>
      <c r="X18" s="179"/>
      <c r="Y18" s="179"/>
      <c r="Z18" s="179"/>
      <c r="AA18" s="179"/>
      <c r="AB18" s="179"/>
      <c r="AC18" s="179"/>
      <c r="AD18" s="180"/>
      <c r="AE18" s="178"/>
      <c r="AF18" s="179"/>
      <c r="AG18" s="179"/>
      <c r="AH18" s="179"/>
      <c r="AI18" s="179"/>
      <c r="AJ18" s="179"/>
      <c r="AK18" s="179"/>
      <c r="AL18" s="179"/>
      <c r="AM18" s="180"/>
    </row>
    <row r="19" spans="1:42" ht="15.95" customHeight="1">
      <c r="D19" s="202" t="s">
        <v>101</v>
      </c>
      <c r="E19" s="203"/>
      <c r="F19" s="203"/>
      <c r="G19" s="203"/>
      <c r="H19" s="203"/>
      <c r="I19" s="203"/>
      <c r="J19" s="203"/>
      <c r="K19" s="203"/>
      <c r="L19" s="204"/>
      <c r="M19" s="205">
        <v>7.25</v>
      </c>
      <c r="N19" s="206"/>
      <c r="O19" s="206"/>
      <c r="P19" s="206"/>
      <c r="Q19" s="206"/>
      <c r="R19" s="206"/>
      <c r="S19" s="206"/>
      <c r="T19" s="206"/>
      <c r="U19" s="207"/>
      <c r="V19" s="175">
        <v>7</v>
      </c>
      <c r="W19" s="176"/>
      <c r="X19" s="176"/>
      <c r="Y19" s="176"/>
      <c r="Z19" s="176"/>
      <c r="AA19" s="176"/>
      <c r="AB19" s="176"/>
      <c r="AC19" s="176"/>
      <c r="AD19" s="177"/>
      <c r="AE19" s="175">
        <v>7.25</v>
      </c>
      <c r="AF19" s="176"/>
      <c r="AG19" s="176"/>
      <c r="AH19" s="176"/>
      <c r="AI19" s="176"/>
      <c r="AJ19" s="176"/>
      <c r="AK19" s="176"/>
      <c r="AL19" s="176"/>
      <c r="AM19" s="177"/>
    </row>
    <row r="20" spans="1:42" ht="15.95" customHeight="1">
      <c r="D20" s="202"/>
      <c r="E20" s="203"/>
      <c r="F20" s="203"/>
      <c r="G20" s="203"/>
      <c r="H20" s="203"/>
      <c r="I20" s="203"/>
      <c r="J20" s="203"/>
      <c r="K20" s="203"/>
      <c r="L20" s="204"/>
      <c r="M20" s="184"/>
      <c r="N20" s="185"/>
      <c r="O20" s="185"/>
      <c r="P20" s="185"/>
      <c r="Q20" s="185"/>
      <c r="R20" s="185"/>
      <c r="S20" s="185"/>
      <c r="T20" s="185"/>
      <c r="U20" s="186"/>
      <c r="V20" s="178"/>
      <c r="W20" s="179"/>
      <c r="X20" s="179"/>
      <c r="Y20" s="179"/>
      <c r="Z20" s="179"/>
      <c r="AA20" s="179"/>
      <c r="AB20" s="179"/>
      <c r="AC20" s="179"/>
      <c r="AD20" s="180"/>
      <c r="AE20" s="178"/>
      <c r="AF20" s="179"/>
      <c r="AG20" s="179"/>
      <c r="AH20" s="179"/>
      <c r="AI20" s="179"/>
      <c r="AJ20" s="179"/>
      <c r="AK20" s="179"/>
      <c r="AL20" s="179"/>
      <c r="AM20" s="180"/>
    </row>
    <row r="21" spans="1:42" ht="15.95" customHeight="1">
      <c r="D21" s="202" t="s">
        <v>102</v>
      </c>
      <c r="E21" s="203"/>
      <c r="F21" s="203"/>
      <c r="G21" s="203"/>
      <c r="H21" s="203"/>
      <c r="I21" s="203"/>
      <c r="J21" s="203"/>
      <c r="K21" s="203"/>
      <c r="L21" s="204"/>
      <c r="M21" s="205">
        <v>7.75</v>
      </c>
      <c r="N21" s="206"/>
      <c r="O21" s="206"/>
      <c r="P21" s="206"/>
      <c r="Q21" s="206"/>
      <c r="R21" s="206"/>
      <c r="S21" s="206"/>
      <c r="T21" s="206"/>
      <c r="U21" s="207"/>
      <c r="V21" s="175">
        <v>8</v>
      </c>
      <c r="W21" s="176"/>
      <c r="X21" s="176"/>
      <c r="Y21" s="176"/>
      <c r="Z21" s="176"/>
      <c r="AA21" s="176"/>
      <c r="AB21" s="176"/>
      <c r="AC21" s="176"/>
      <c r="AD21" s="177"/>
      <c r="AE21" s="175">
        <v>7.75</v>
      </c>
      <c r="AF21" s="176"/>
      <c r="AG21" s="176"/>
      <c r="AH21" s="176"/>
      <c r="AI21" s="176"/>
      <c r="AJ21" s="176"/>
      <c r="AK21" s="176"/>
      <c r="AL21" s="176"/>
      <c r="AM21" s="177"/>
    </row>
    <row r="22" spans="1:42" ht="15.95" customHeight="1">
      <c r="D22" s="202"/>
      <c r="E22" s="203"/>
      <c r="F22" s="203"/>
      <c r="G22" s="203"/>
      <c r="H22" s="203"/>
      <c r="I22" s="203"/>
      <c r="J22" s="203"/>
      <c r="K22" s="203"/>
      <c r="L22" s="204"/>
      <c r="M22" s="184"/>
      <c r="N22" s="185"/>
      <c r="O22" s="185"/>
      <c r="P22" s="185"/>
      <c r="Q22" s="185"/>
      <c r="R22" s="185"/>
      <c r="S22" s="185"/>
      <c r="T22" s="185"/>
      <c r="U22" s="186"/>
      <c r="V22" s="178"/>
      <c r="W22" s="179"/>
      <c r="X22" s="179"/>
      <c r="Y22" s="179"/>
      <c r="Z22" s="179"/>
      <c r="AA22" s="179"/>
      <c r="AB22" s="179"/>
      <c r="AC22" s="179"/>
      <c r="AD22" s="180"/>
      <c r="AE22" s="178"/>
      <c r="AF22" s="179"/>
      <c r="AG22" s="179"/>
      <c r="AH22" s="179"/>
      <c r="AI22" s="179"/>
      <c r="AJ22" s="179"/>
      <c r="AK22" s="179"/>
      <c r="AL22" s="179"/>
      <c r="AM22" s="180"/>
    </row>
    <row r="23" spans="1:42" ht="15.95" customHeight="1">
      <c r="V23" s="181" t="s">
        <v>114</v>
      </c>
      <c r="W23" s="182"/>
      <c r="X23" s="182"/>
      <c r="Y23" s="182"/>
      <c r="Z23" s="182"/>
      <c r="AA23" s="182"/>
      <c r="AB23" s="182"/>
      <c r="AC23" s="182"/>
      <c r="AD23" s="183"/>
    </row>
    <row r="24" spans="1:42" ht="15.95" customHeight="1">
      <c r="V24" s="184"/>
      <c r="W24" s="185"/>
      <c r="X24" s="185"/>
      <c r="Y24" s="185"/>
      <c r="Z24" s="185"/>
      <c r="AA24" s="185"/>
      <c r="AB24" s="185"/>
      <c r="AC24" s="185"/>
      <c r="AD24" s="186"/>
    </row>
    <row r="26" spans="1:42" ht="15.95" customHeight="1">
      <c r="A26" s="174" t="s">
        <v>116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</row>
    <row r="27" spans="1:42" ht="15.95" customHeight="1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</row>
    <row r="28" spans="1:42" ht="15.95" customHeight="1">
      <c r="A28" s="189" t="s">
        <v>117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</row>
    <row r="29" spans="1:42" ht="15.95" customHeight="1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</row>
  </sheetData>
  <mergeCells count="28">
    <mergeCell ref="A28:AP29"/>
    <mergeCell ref="AE13:AM14"/>
    <mergeCell ref="AE15:AM16"/>
    <mergeCell ref="D21:L22"/>
    <mergeCell ref="D17:L18"/>
    <mergeCell ref="D19:L20"/>
    <mergeCell ref="M17:U18"/>
    <mergeCell ref="M19:U20"/>
    <mergeCell ref="M21:U22"/>
    <mergeCell ref="V17:AD18"/>
    <mergeCell ref="D13:L14"/>
    <mergeCell ref="D15:L16"/>
    <mergeCell ref="M13:U14"/>
    <mergeCell ref="M15:U16"/>
    <mergeCell ref="V13:AD14"/>
    <mergeCell ref="V15:AD16"/>
    <mergeCell ref="A1:AP2"/>
    <mergeCell ref="A3:AP4"/>
    <mergeCell ref="A5:AP6"/>
    <mergeCell ref="A7:AP8"/>
    <mergeCell ref="A9:AP10"/>
    <mergeCell ref="A26:AP27"/>
    <mergeCell ref="V19:AD20"/>
    <mergeCell ref="V21:AD22"/>
    <mergeCell ref="AE17:AM18"/>
    <mergeCell ref="AE19:AM20"/>
    <mergeCell ref="V23:AD24"/>
    <mergeCell ref="AE21:AM22"/>
  </mergeCells>
  <phoneticPr fontId="6" type="noConversion"/>
  <conditionalFormatting sqref="M17 V17 AE17 M19 V19 AE19 M21 V21 AE21">
    <cfRule type="cellIs" dxfId="349" priority="1" operator="equal">
      <formula>0</formula>
    </cfRule>
  </conditionalFormatting>
  <conditionalFormatting sqref="AN13:AN21">
    <cfRule type="containsText" dxfId="348" priority="35" operator="containsText" text="Incomplete">
      <formula>NOT(ISERROR(SEARCH("Incomplete",AN13)))</formula>
    </cfRule>
  </conditionalFormatting>
  <dataValidations count="1">
    <dataValidation type="decimal" allowBlank="1" showErrorMessage="1" errorTitle="Impossible!" error="Cancel it and then type the correct score." sqref="M21 M19 AE19 M17 V21 V19 AE17 V17 AE21" xr:uid="{955FE258-2A03-46AE-B1AD-DE99AF891D32}">
      <formula1>0</formula1>
      <formula2>10</formula2>
    </dataValidation>
  </dataValidations>
  <printOptions horizontalCentered="1"/>
  <pageMargins left="0" right="0" top="0.25" bottom="0" header="0" footer="0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F8F7-43AA-41FE-B1C5-99D43CF0FFBF}">
  <dimension ref="A1:S72"/>
  <sheetViews>
    <sheetView workbookViewId="0">
      <selection activeCell="F1" sqref="F1"/>
    </sheetView>
  </sheetViews>
  <sheetFormatPr defaultColWidth="9.140625" defaultRowHeight="15.95" customHeight="1"/>
  <cols>
    <col min="1" max="1" width="6.7109375" style="17" customWidth="1"/>
    <col min="2" max="2" width="20.7109375" style="7" customWidth="1"/>
    <col min="3" max="3" width="5.7109375" style="5" customWidth="1"/>
    <col min="4" max="4" width="12.7109375" style="5" customWidth="1"/>
    <col min="5" max="5" width="6.7109375" style="17" customWidth="1"/>
    <col min="6" max="6" width="20.7109375" style="7" customWidth="1"/>
    <col min="7" max="7" width="5.7109375" style="5" customWidth="1"/>
    <col min="8" max="8" width="12.7109375" style="5" customWidth="1"/>
    <col min="9" max="9" width="6.7109375" style="17" customWidth="1"/>
    <col min="10" max="10" width="20.7109375" style="7" customWidth="1"/>
    <col min="11" max="11" width="5.7109375" style="5" customWidth="1"/>
    <col min="12" max="12" width="12.7109375" style="5" customWidth="1"/>
    <col min="13" max="16384" width="9.140625" style="5"/>
  </cols>
  <sheetData>
    <row r="1" spans="1:19" ht="15.95" customHeight="1">
      <c r="A1" s="1" t="s">
        <v>0</v>
      </c>
      <c r="B1" s="2" t="s">
        <v>136</v>
      </c>
      <c r="C1" s="3"/>
      <c r="D1" s="4"/>
      <c r="E1" s="1" t="s">
        <v>0</v>
      </c>
      <c r="F1" s="2"/>
      <c r="G1" s="3"/>
      <c r="H1" s="4"/>
      <c r="I1" s="1" t="s">
        <v>0</v>
      </c>
      <c r="J1" s="2"/>
      <c r="K1" s="3"/>
      <c r="L1" s="4"/>
      <c r="N1" s="146" t="s">
        <v>134</v>
      </c>
      <c r="O1" s="146"/>
      <c r="P1" s="146"/>
      <c r="Q1" s="146"/>
      <c r="R1" s="146"/>
      <c r="S1" s="146"/>
    </row>
    <row r="2" spans="1:19" ht="15.95" customHeight="1">
      <c r="A2" s="6" t="s">
        <v>1</v>
      </c>
      <c r="B2" s="7" t="s">
        <v>137</v>
      </c>
      <c r="D2" s="8"/>
      <c r="E2" s="6" t="s">
        <v>1</v>
      </c>
      <c r="H2" s="8"/>
      <c r="I2" s="6" t="s">
        <v>1</v>
      </c>
      <c r="L2" s="8"/>
      <c r="N2" s="146"/>
      <c r="O2" s="146"/>
      <c r="P2" s="146"/>
      <c r="Q2" s="146"/>
      <c r="R2" s="146"/>
      <c r="S2" s="146"/>
    </row>
    <row r="3" spans="1:19" ht="15.95" customHeight="1">
      <c r="A3" s="6" t="s">
        <v>2</v>
      </c>
      <c r="B3" s="7" t="s">
        <v>138</v>
      </c>
      <c r="D3" s="8"/>
      <c r="E3" s="6" t="s">
        <v>2</v>
      </c>
      <c r="H3" s="8"/>
      <c r="I3" s="6" t="s">
        <v>2</v>
      </c>
      <c r="L3" s="8"/>
      <c r="N3" s="145" t="s">
        <v>135</v>
      </c>
      <c r="O3" s="145"/>
      <c r="P3" s="145"/>
      <c r="Q3" s="145"/>
      <c r="R3" s="145"/>
      <c r="S3" s="145"/>
    </row>
    <row r="4" spans="1:19" ht="15.95" customHeight="1">
      <c r="A4" s="6" t="s">
        <v>3</v>
      </c>
      <c r="B4" s="7">
        <v>5</v>
      </c>
      <c r="D4" s="8"/>
      <c r="E4" s="6" t="s">
        <v>3</v>
      </c>
      <c r="H4" s="8"/>
      <c r="I4" s="6" t="s">
        <v>3</v>
      </c>
      <c r="L4" s="8"/>
      <c r="N4" s="145"/>
      <c r="O4" s="145"/>
      <c r="P4" s="145"/>
      <c r="Q4" s="145"/>
      <c r="R4" s="145"/>
      <c r="S4" s="145"/>
    </row>
    <row r="5" spans="1:19" ht="15.95" customHeight="1">
      <c r="A5" s="6" t="s">
        <v>4</v>
      </c>
      <c r="B5" s="7" t="s">
        <v>139</v>
      </c>
      <c r="D5" s="8"/>
      <c r="E5" s="6" t="s">
        <v>4</v>
      </c>
      <c r="H5" s="8"/>
      <c r="I5" s="6" t="s">
        <v>4</v>
      </c>
      <c r="L5" s="8"/>
    </row>
    <row r="6" spans="1:19" s="12" customFormat="1" ht="15.95" customHeight="1">
      <c r="A6" s="9" t="s">
        <v>5</v>
      </c>
      <c r="B6" s="10" t="s">
        <v>97</v>
      </c>
      <c r="C6" s="10" t="s">
        <v>98</v>
      </c>
      <c r="D6" s="11" t="s">
        <v>99</v>
      </c>
      <c r="E6" s="9" t="s">
        <v>5</v>
      </c>
      <c r="F6" s="10" t="s">
        <v>97</v>
      </c>
      <c r="G6" s="10" t="s">
        <v>98</v>
      </c>
      <c r="H6" s="11" t="s">
        <v>99</v>
      </c>
      <c r="I6" s="9" t="s">
        <v>5</v>
      </c>
      <c r="J6" s="10" t="s">
        <v>6</v>
      </c>
      <c r="K6" s="10" t="s">
        <v>7</v>
      </c>
      <c r="L6" s="11" t="s">
        <v>8</v>
      </c>
    </row>
    <row r="7" spans="1:19" ht="15.95" customHeight="1">
      <c r="A7" s="13">
        <v>1</v>
      </c>
      <c r="B7" s="7" t="s">
        <v>140</v>
      </c>
      <c r="C7" s="5" t="s">
        <v>141</v>
      </c>
      <c r="D7" s="8" t="s">
        <v>142</v>
      </c>
      <c r="E7" s="13">
        <v>1</v>
      </c>
      <c r="H7" s="8"/>
      <c r="I7" s="13">
        <v>1</v>
      </c>
      <c r="L7" s="8"/>
    </row>
    <row r="8" spans="1:19" ht="15.95" customHeight="1">
      <c r="A8" s="13">
        <v>2</v>
      </c>
      <c r="B8" s="7" t="s">
        <v>143</v>
      </c>
      <c r="C8" s="5" t="s">
        <v>144</v>
      </c>
      <c r="D8" s="8" t="s">
        <v>145</v>
      </c>
      <c r="E8" s="13">
        <v>2</v>
      </c>
      <c r="H8" s="8"/>
      <c r="I8" s="13">
        <v>2</v>
      </c>
      <c r="L8" s="8"/>
    </row>
    <row r="9" spans="1:19" ht="15.95" customHeight="1">
      <c r="A9" s="13">
        <v>3</v>
      </c>
      <c r="B9" s="7" t="s">
        <v>146</v>
      </c>
      <c r="C9" s="5" t="s">
        <v>144</v>
      </c>
      <c r="D9" s="8" t="s">
        <v>147</v>
      </c>
      <c r="E9" s="13">
        <v>3</v>
      </c>
      <c r="H9" s="8"/>
      <c r="I9" s="13">
        <v>3</v>
      </c>
      <c r="L9" s="8"/>
    </row>
    <row r="10" spans="1:19" ht="15.95" customHeight="1">
      <c r="A10" s="13">
        <v>4</v>
      </c>
      <c r="B10" s="7" t="s">
        <v>148</v>
      </c>
      <c r="C10" s="5" t="s">
        <v>144</v>
      </c>
      <c r="D10" s="8" t="s">
        <v>149</v>
      </c>
      <c r="E10" s="13">
        <v>4</v>
      </c>
      <c r="H10" s="8"/>
      <c r="I10" s="13">
        <v>4</v>
      </c>
      <c r="L10" s="8"/>
    </row>
    <row r="11" spans="1:19" ht="15.95" customHeight="1">
      <c r="A11" s="13">
        <v>5</v>
      </c>
      <c r="B11" s="7" t="s">
        <v>150</v>
      </c>
      <c r="C11" s="5" t="s">
        <v>141</v>
      </c>
      <c r="D11" s="8" t="s">
        <v>149</v>
      </c>
      <c r="E11" s="13">
        <v>5</v>
      </c>
      <c r="H11" s="8"/>
      <c r="I11" s="13">
        <v>5</v>
      </c>
      <c r="L11" s="8"/>
    </row>
    <row r="12" spans="1:19" ht="15.95" customHeight="1">
      <c r="A12" s="13">
        <v>6</v>
      </c>
      <c r="B12" s="7" t="s">
        <v>151</v>
      </c>
      <c r="C12" s="5" t="s">
        <v>144</v>
      </c>
      <c r="D12" s="8" t="s">
        <v>152</v>
      </c>
      <c r="E12" s="13">
        <v>6</v>
      </c>
      <c r="H12" s="8"/>
      <c r="I12" s="13">
        <v>6</v>
      </c>
      <c r="L12" s="8"/>
    </row>
    <row r="13" spans="1:19" ht="15.95" customHeight="1">
      <c r="A13" s="13">
        <v>7</v>
      </c>
      <c r="B13" s="7" t="s">
        <v>153</v>
      </c>
      <c r="C13" s="5" t="s">
        <v>144</v>
      </c>
      <c r="D13" s="8" t="s">
        <v>154</v>
      </c>
      <c r="E13" s="13">
        <v>7</v>
      </c>
      <c r="H13" s="8"/>
      <c r="I13" s="13">
        <v>7</v>
      </c>
      <c r="L13" s="8"/>
    </row>
    <row r="14" spans="1:19" ht="15.95" customHeight="1">
      <c r="A14" s="13">
        <v>8</v>
      </c>
      <c r="B14" s="7" t="s">
        <v>155</v>
      </c>
      <c r="C14" s="5" t="s">
        <v>144</v>
      </c>
      <c r="D14" s="8"/>
      <c r="E14" s="13">
        <v>8</v>
      </c>
      <c r="H14" s="8"/>
      <c r="I14" s="13">
        <v>8</v>
      </c>
      <c r="L14" s="8"/>
    </row>
    <row r="15" spans="1:19" ht="15.95" customHeight="1">
      <c r="A15" s="13">
        <v>9</v>
      </c>
      <c r="B15" s="7" t="s">
        <v>156</v>
      </c>
      <c r="C15" s="5" t="s">
        <v>141</v>
      </c>
      <c r="D15" s="8" t="s">
        <v>157</v>
      </c>
      <c r="E15" s="13">
        <v>9</v>
      </c>
      <c r="H15" s="8"/>
      <c r="I15" s="13">
        <v>9</v>
      </c>
      <c r="L15" s="8"/>
    </row>
    <row r="16" spans="1:19" ht="15.95" customHeight="1">
      <c r="A16" s="13">
        <v>10</v>
      </c>
      <c r="B16" s="7" t="s">
        <v>158</v>
      </c>
      <c r="C16" s="5" t="s">
        <v>141</v>
      </c>
      <c r="D16" s="8" t="s">
        <v>159</v>
      </c>
      <c r="E16" s="13">
        <v>10</v>
      </c>
      <c r="H16" s="8"/>
      <c r="I16" s="13">
        <v>10</v>
      </c>
      <c r="L16" s="8"/>
    </row>
    <row r="17" spans="1:12" ht="15.95" customHeight="1">
      <c r="A17" s="13">
        <v>11</v>
      </c>
      <c r="B17" s="7" t="s">
        <v>160</v>
      </c>
      <c r="C17" s="5" t="s">
        <v>144</v>
      </c>
      <c r="D17" s="8" t="s">
        <v>159</v>
      </c>
      <c r="E17" s="13">
        <v>11</v>
      </c>
      <c r="H17" s="8"/>
      <c r="I17" s="13">
        <v>11</v>
      </c>
      <c r="L17" s="8"/>
    </row>
    <row r="18" spans="1:12" ht="15.95" customHeight="1">
      <c r="A18" s="13">
        <v>12</v>
      </c>
      <c r="B18" s="7" t="s">
        <v>161</v>
      </c>
      <c r="C18" s="5" t="s">
        <v>141</v>
      </c>
      <c r="D18" s="8" t="s">
        <v>162</v>
      </c>
      <c r="E18" s="13">
        <v>12</v>
      </c>
      <c r="H18" s="8"/>
      <c r="I18" s="13">
        <v>12</v>
      </c>
      <c r="L18" s="8"/>
    </row>
    <row r="19" spans="1:12" ht="15.95" customHeight="1">
      <c r="A19" s="13">
        <v>13</v>
      </c>
      <c r="B19" s="7" t="s">
        <v>163</v>
      </c>
      <c r="C19" s="5" t="s">
        <v>141</v>
      </c>
      <c r="D19" s="8" t="s">
        <v>164</v>
      </c>
      <c r="E19" s="13">
        <v>13</v>
      </c>
      <c r="H19" s="8"/>
      <c r="I19" s="13">
        <v>13</v>
      </c>
      <c r="L19" s="8"/>
    </row>
    <row r="20" spans="1:12" ht="15.95" customHeight="1">
      <c r="A20" s="13">
        <v>14</v>
      </c>
      <c r="B20" s="7" t="s">
        <v>165</v>
      </c>
      <c r="C20" s="5" t="s">
        <v>144</v>
      </c>
      <c r="D20" s="8" t="s">
        <v>166</v>
      </c>
      <c r="E20" s="13">
        <v>14</v>
      </c>
      <c r="H20" s="8"/>
      <c r="I20" s="13">
        <v>14</v>
      </c>
      <c r="L20" s="8"/>
    </row>
    <row r="21" spans="1:12" ht="15.95" customHeight="1">
      <c r="A21" s="13">
        <v>15</v>
      </c>
      <c r="B21" s="7" t="s">
        <v>167</v>
      </c>
      <c r="C21" s="5" t="s">
        <v>141</v>
      </c>
      <c r="D21" s="8" t="s">
        <v>168</v>
      </c>
      <c r="E21" s="13">
        <v>15</v>
      </c>
      <c r="H21" s="8"/>
      <c r="I21" s="13">
        <v>15</v>
      </c>
      <c r="L21" s="8"/>
    </row>
    <row r="22" spans="1:12" ht="15.95" customHeight="1">
      <c r="A22" s="13">
        <v>16</v>
      </c>
      <c r="B22" s="7" t="s">
        <v>169</v>
      </c>
      <c r="C22" s="5" t="s">
        <v>144</v>
      </c>
      <c r="D22" s="8" t="s">
        <v>170</v>
      </c>
      <c r="E22" s="13">
        <v>16</v>
      </c>
      <c r="H22" s="8"/>
      <c r="I22" s="13">
        <v>16</v>
      </c>
      <c r="L22" s="8"/>
    </row>
    <row r="23" spans="1:12" ht="15.95" customHeight="1">
      <c r="A23" s="13">
        <v>17</v>
      </c>
      <c r="B23" s="7" t="s">
        <v>171</v>
      </c>
      <c r="C23" s="5" t="s">
        <v>141</v>
      </c>
      <c r="D23" s="8" t="s">
        <v>172</v>
      </c>
      <c r="E23" s="13">
        <v>17</v>
      </c>
      <c r="H23" s="8"/>
      <c r="I23" s="13">
        <v>17</v>
      </c>
      <c r="L23" s="8"/>
    </row>
    <row r="24" spans="1:12" ht="15.95" customHeight="1">
      <c r="A24" s="13">
        <v>18</v>
      </c>
      <c r="B24" s="7" t="s">
        <v>173</v>
      </c>
      <c r="C24" s="5" t="s">
        <v>141</v>
      </c>
      <c r="D24" s="8" t="s">
        <v>174</v>
      </c>
      <c r="E24" s="13">
        <v>18</v>
      </c>
      <c r="H24" s="8"/>
      <c r="I24" s="13">
        <v>18</v>
      </c>
      <c r="L24" s="8"/>
    </row>
    <row r="25" spans="1:12" ht="15.95" customHeight="1">
      <c r="A25" s="13">
        <v>19</v>
      </c>
      <c r="B25" s="7" t="s">
        <v>175</v>
      </c>
      <c r="C25" s="5" t="s">
        <v>141</v>
      </c>
      <c r="D25" s="8" t="s">
        <v>176</v>
      </c>
      <c r="E25" s="13">
        <v>19</v>
      </c>
      <c r="H25" s="8"/>
      <c r="I25" s="13">
        <v>19</v>
      </c>
      <c r="L25" s="8"/>
    </row>
    <row r="26" spans="1:12" ht="15.95" customHeight="1">
      <c r="A26" s="13">
        <v>20</v>
      </c>
      <c r="D26" s="8"/>
      <c r="E26" s="13">
        <v>20</v>
      </c>
      <c r="H26" s="8"/>
      <c r="I26" s="13">
        <v>20</v>
      </c>
      <c r="L26" s="8"/>
    </row>
    <row r="27" spans="1:12" ht="15.95" customHeight="1">
      <c r="A27" s="13">
        <v>21</v>
      </c>
      <c r="D27" s="8"/>
      <c r="E27" s="13">
        <v>21</v>
      </c>
      <c r="H27" s="8"/>
      <c r="I27" s="13">
        <v>21</v>
      </c>
      <c r="L27" s="8"/>
    </row>
    <row r="28" spans="1:12" ht="15.95" customHeight="1">
      <c r="A28" s="13">
        <v>22</v>
      </c>
      <c r="D28" s="8"/>
      <c r="E28" s="13">
        <v>22</v>
      </c>
      <c r="H28" s="8"/>
      <c r="I28" s="13">
        <v>22</v>
      </c>
      <c r="L28" s="8"/>
    </row>
    <row r="29" spans="1:12" ht="15.95" customHeight="1">
      <c r="A29" s="13">
        <v>23</v>
      </c>
      <c r="D29" s="8"/>
      <c r="E29" s="13">
        <v>23</v>
      </c>
      <c r="H29" s="8"/>
      <c r="I29" s="13">
        <v>23</v>
      </c>
      <c r="L29" s="8"/>
    </row>
    <row r="30" spans="1:12" ht="15.95" customHeight="1">
      <c r="A30" s="13">
        <v>24</v>
      </c>
      <c r="D30" s="8"/>
      <c r="E30" s="13">
        <v>24</v>
      </c>
      <c r="H30" s="8"/>
      <c r="I30" s="13">
        <v>24</v>
      </c>
      <c r="L30" s="8"/>
    </row>
    <row r="31" spans="1:12" ht="15.95" customHeight="1">
      <c r="A31" s="13">
        <v>25</v>
      </c>
      <c r="D31" s="8"/>
      <c r="E31" s="13">
        <v>25</v>
      </c>
      <c r="H31" s="8"/>
      <c r="I31" s="13">
        <v>25</v>
      </c>
      <c r="L31" s="8"/>
    </row>
    <row r="32" spans="1:12" ht="15.95" customHeight="1">
      <c r="A32" s="13">
        <v>26</v>
      </c>
      <c r="D32" s="8"/>
      <c r="E32" s="13">
        <v>26</v>
      </c>
      <c r="H32" s="8"/>
      <c r="I32" s="13">
        <v>26</v>
      </c>
      <c r="L32" s="8"/>
    </row>
    <row r="33" spans="1:12" ht="15.95" customHeight="1">
      <c r="A33" s="13">
        <v>27</v>
      </c>
      <c r="D33" s="8"/>
      <c r="E33" s="13">
        <v>27</v>
      </c>
      <c r="H33" s="8"/>
      <c r="I33" s="13">
        <v>27</v>
      </c>
      <c r="L33" s="8"/>
    </row>
    <row r="34" spans="1:12" ht="15.95" customHeight="1">
      <c r="A34" s="13">
        <v>28</v>
      </c>
      <c r="D34" s="8"/>
      <c r="E34" s="13">
        <v>28</v>
      </c>
      <c r="H34" s="8"/>
      <c r="I34" s="13">
        <v>28</v>
      </c>
      <c r="L34" s="8"/>
    </row>
    <row r="35" spans="1:12" ht="15.95" customHeight="1">
      <c r="A35" s="13">
        <v>29</v>
      </c>
      <c r="D35" s="8"/>
      <c r="E35" s="13">
        <v>29</v>
      </c>
      <c r="H35" s="8"/>
      <c r="I35" s="13">
        <v>29</v>
      </c>
      <c r="L35" s="8"/>
    </row>
    <row r="36" spans="1:12" ht="15.95" customHeight="1">
      <c r="A36" s="14">
        <v>30</v>
      </c>
      <c r="B36" s="24"/>
      <c r="C36" s="15"/>
      <c r="D36" s="16"/>
      <c r="E36" s="14">
        <v>30</v>
      </c>
      <c r="F36" s="24"/>
      <c r="G36" s="15"/>
      <c r="H36" s="16"/>
      <c r="I36" s="14">
        <v>30</v>
      </c>
      <c r="J36" s="24"/>
      <c r="K36" s="15"/>
      <c r="L36" s="16"/>
    </row>
    <row r="37" spans="1:12" ht="15.95" customHeight="1">
      <c r="A37" s="1" t="s">
        <v>0</v>
      </c>
      <c r="B37" s="2"/>
      <c r="C37" s="3"/>
      <c r="D37" s="4"/>
      <c r="E37" s="1" t="s">
        <v>0</v>
      </c>
      <c r="F37" s="2"/>
      <c r="G37" s="3"/>
      <c r="H37" s="4"/>
      <c r="I37" s="1" t="s">
        <v>0</v>
      </c>
      <c r="J37" s="2"/>
      <c r="K37" s="3"/>
      <c r="L37" s="4"/>
    </row>
    <row r="38" spans="1:12" ht="15.95" customHeight="1">
      <c r="A38" s="6" t="s">
        <v>1</v>
      </c>
      <c r="D38" s="8"/>
      <c r="E38" s="6" t="s">
        <v>1</v>
      </c>
      <c r="H38" s="8"/>
      <c r="I38" s="6" t="s">
        <v>1</v>
      </c>
      <c r="L38" s="8"/>
    </row>
    <row r="39" spans="1:12" ht="15.95" customHeight="1">
      <c r="A39" s="6" t="s">
        <v>2</v>
      </c>
      <c r="D39" s="8"/>
      <c r="E39" s="6" t="s">
        <v>2</v>
      </c>
      <c r="H39" s="8"/>
      <c r="I39" s="6" t="s">
        <v>2</v>
      </c>
      <c r="L39" s="8"/>
    </row>
    <row r="40" spans="1:12" ht="15.95" customHeight="1">
      <c r="A40" s="6" t="s">
        <v>3</v>
      </c>
      <c r="D40" s="8"/>
      <c r="E40" s="6" t="s">
        <v>3</v>
      </c>
      <c r="H40" s="8"/>
      <c r="I40" s="6" t="s">
        <v>3</v>
      </c>
      <c r="L40" s="8"/>
    </row>
    <row r="41" spans="1:12" ht="15.95" customHeight="1">
      <c r="A41" s="6" t="s">
        <v>4</v>
      </c>
      <c r="D41" s="8"/>
      <c r="E41" s="6" t="s">
        <v>4</v>
      </c>
      <c r="H41" s="8"/>
      <c r="I41" s="6" t="s">
        <v>4</v>
      </c>
      <c r="L41" s="8"/>
    </row>
    <row r="42" spans="1:12" ht="15.95" customHeight="1">
      <c r="A42" s="9" t="s">
        <v>5</v>
      </c>
      <c r="B42" s="10" t="s">
        <v>6</v>
      </c>
      <c r="C42" s="10" t="s">
        <v>7</v>
      </c>
      <c r="D42" s="11" t="s">
        <v>8</v>
      </c>
      <c r="E42" s="9" t="s">
        <v>5</v>
      </c>
      <c r="F42" s="10" t="s">
        <v>6</v>
      </c>
      <c r="G42" s="10" t="s">
        <v>7</v>
      </c>
      <c r="H42" s="11" t="s">
        <v>8</v>
      </c>
      <c r="I42" s="9" t="s">
        <v>5</v>
      </c>
      <c r="J42" s="10" t="s">
        <v>6</v>
      </c>
      <c r="K42" s="10" t="s">
        <v>7</v>
      </c>
      <c r="L42" s="11" t="s">
        <v>8</v>
      </c>
    </row>
    <row r="43" spans="1:12" ht="15.95" customHeight="1">
      <c r="A43" s="13">
        <v>1</v>
      </c>
      <c r="D43" s="8"/>
      <c r="E43" s="13">
        <v>1</v>
      </c>
      <c r="H43" s="8"/>
      <c r="I43" s="13">
        <v>1</v>
      </c>
      <c r="L43" s="8"/>
    </row>
    <row r="44" spans="1:12" ht="15.95" customHeight="1">
      <c r="A44" s="13">
        <v>2</v>
      </c>
      <c r="D44" s="8"/>
      <c r="E44" s="13">
        <v>2</v>
      </c>
      <c r="H44" s="8"/>
      <c r="I44" s="13">
        <v>2</v>
      </c>
      <c r="L44" s="8"/>
    </row>
    <row r="45" spans="1:12" ht="15.95" customHeight="1">
      <c r="A45" s="13">
        <v>3</v>
      </c>
      <c r="D45" s="8"/>
      <c r="E45" s="13">
        <v>3</v>
      </c>
      <c r="H45" s="8"/>
      <c r="I45" s="13">
        <v>3</v>
      </c>
      <c r="L45" s="8"/>
    </row>
    <row r="46" spans="1:12" ht="15.95" customHeight="1">
      <c r="A46" s="13">
        <v>4</v>
      </c>
      <c r="D46" s="8"/>
      <c r="E46" s="13">
        <v>4</v>
      </c>
      <c r="H46" s="8"/>
      <c r="I46" s="13">
        <v>4</v>
      </c>
      <c r="L46" s="8"/>
    </row>
    <row r="47" spans="1:12" ht="15.95" customHeight="1">
      <c r="A47" s="13">
        <v>5</v>
      </c>
      <c r="D47" s="8"/>
      <c r="E47" s="13">
        <v>5</v>
      </c>
      <c r="H47" s="8"/>
      <c r="I47" s="13">
        <v>5</v>
      </c>
      <c r="L47" s="8"/>
    </row>
    <row r="48" spans="1:12" ht="15.95" customHeight="1">
      <c r="A48" s="13">
        <v>6</v>
      </c>
      <c r="D48" s="8"/>
      <c r="E48" s="13">
        <v>6</v>
      </c>
      <c r="H48" s="8"/>
      <c r="I48" s="13">
        <v>6</v>
      </c>
      <c r="L48" s="8"/>
    </row>
    <row r="49" spans="1:12" ht="15.95" customHeight="1">
      <c r="A49" s="13">
        <v>7</v>
      </c>
      <c r="D49" s="8"/>
      <c r="E49" s="13">
        <v>7</v>
      </c>
      <c r="H49" s="8"/>
      <c r="I49" s="13">
        <v>7</v>
      </c>
      <c r="L49" s="8"/>
    </row>
    <row r="50" spans="1:12" ht="15.95" customHeight="1">
      <c r="A50" s="13">
        <v>8</v>
      </c>
      <c r="D50" s="8"/>
      <c r="E50" s="13">
        <v>8</v>
      </c>
      <c r="H50" s="8"/>
      <c r="I50" s="13">
        <v>8</v>
      </c>
      <c r="L50" s="8"/>
    </row>
    <row r="51" spans="1:12" ht="15.95" customHeight="1">
      <c r="A51" s="13">
        <v>9</v>
      </c>
      <c r="D51" s="8"/>
      <c r="E51" s="13">
        <v>9</v>
      </c>
      <c r="H51" s="8"/>
      <c r="I51" s="13">
        <v>9</v>
      </c>
      <c r="L51" s="8"/>
    </row>
    <row r="52" spans="1:12" ht="15.95" customHeight="1">
      <c r="A52" s="13">
        <v>10</v>
      </c>
      <c r="D52" s="8"/>
      <c r="E52" s="13">
        <v>10</v>
      </c>
      <c r="H52" s="8"/>
      <c r="I52" s="13">
        <v>10</v>
      </c>
      <c r="L52" s="8"/>
    </row>
    <row r="53" spans="1:12" ht="15.95" customHeight="1">
      <c r="A53" s="13">
        <v>11</v>
      </c>
      <c r="D53" s="8"/>
      <c r="E53" s="13">
        <v>11</v>
      </c>
      <c r="H53" s="8"/>
      <c r="I53" s="13">
        <v>11</v>
      </c>
      <c r="L53" s="8"/>
    </row>
    <row r="54" spans="1:12" ht="15.95" customHeight="1">
      <c r="A54" s="13">
        <v>12</v>
      </c>
      <c r="D54" s="8"/>
      <c r="E54" s="13">
        <v>12</v>
      </c>
      <c r="H54" s="8"/>
      <c r="I54" s="13">
        <v>12</v>
      </c>
      <c r="L54" s="8"/>
    </row>
    <row r="55" spans="1:12" ht="15.95" customHeight="1">
      <c r="A55" s="13">
        <v>13</v>
      </c>
      <c r="D55" s="8"/>
      <c r="E55" s="13">
        <v>13</v>
      </c>
      <c r="H55" s="8"/>
      <c r="I55" s="13">
        <v>13</v>
      </c>
      <c r="L55" s="8"/>
    </row>
    <row r="56" spans="1:12" ht="15.95" customHeight="1">
      <c r="A56" s="13">
        <v>14</v>
      </c>
      <c r="D56" s="8"/>
      <c r="E56" s="13">
        <v>14</v>
      </c>
      <c r="H56" s="8"/>
      <c r="I56" s="13">
        <v>14</v>
      </c>
      <c r="L56" s="8"/>
    </row>
    <row r="57" spans="1:12" ht="15.95" customHeight="1">
      <c r="A57" s="13">
        <v>15</v>
      </c>
      <c r="D57" s="8"/>
      <c r="E57" s="13">
        <v>15</v>
      </c>
      <c r="H57" s="8"/>
      <c r="I57" s="13">
        <v>15</v>
      </c>
      <c r="L57" s="8"/>
    </row>
    <row r="58" spans="1:12" ht="15.95" customHeight="1">
      <c r="A58" s="13">
        <v>16</v>
      </c>
      <c r="D58" s="8"/>
      <c r="E58" s="13">
        <v>16</v>
      </c>
      <c r="H58" s="8"/>
      <c r="I58" s="13">
        <v>16</v>
      </c>
      <c r="L58" s="8"/>
    </row>
    <row r="59" spans="1:12" ht="15.95" customHeight="1">
      <c r="A59" s="13">
        <v>17</v>
      </c>
      <c r="D59" s="8"/>
      <c r="E59" s="13">
        <v>17</v>
      </c>
      <c r="H59" s="8"/>
      <c r="I59" s="13">
        <v>17</v>
      </c>
      <c r="L59" s="8"/>
    </row>
    <row r="60" spans="1:12" ht="15.95" customHeight="1">
      <c r="A60" s="13">
        <v>18</v>
      </c>
      <c r="D60" s="8"/>
      <c r="E60" s="13">
        <v>18</v>
      </c>
      <c r="H60" s="8"/>
      <c r="I60" s="13">
        <v>18</v>
      </c>
      <c r="L60" s="8"/>
    </row>
    <row r="61" spans="1:12" ht="15.95" customHeight="1">
      <c r="A61" s="13">
        <v>19</v>
      </c>
      <c r="D61" s="8"/>
      <c r="E61" s="13">
        <v>19</v>
      </c>
      <c r="H61" s="8"/>
      <c r="I61" s="13">
        <v>19</v>
      </c>
      <c r="L61" s="8"/>
    </row>
    <row r="62" spans="1:12" ht="15.95" customHeight="1">
      <c r="A62" s="13">
        <v>20</v>
      </c>
      <c r="D62" s="8"/>
      <c r="E62" s="13">
        <v>20</v>
      </c>
      <c r="H62" s="8"/>
      <c r="I62" s="13">
        <v>20</v>
      </c>
      <c r="L62" s="8"/>
    </row>
    <row r="63" spans="1:12" ht="15.95" customHeight="1">
      <c r="A63" s="13">
        <v>21</v>
      </c>
      <c r="D63" s="8"/>
      <c r="E63" s="13">
        <v>21</v>
      </c>
      <c r="H63" s="8"/>
      <c r="I63" s="13">
        <v>21</v>
      </c>
      <c r="L63" s="8"/>
    </row>
    <row r="64" spans="1:12" ht="15.95" customHeight="1">
      <c r="A64" s="13">
        <v>22</v>
      </c>
      <c r="D64" s="8"/>
      <c r="E64" s="13">
        <v>22</v>
      </c>
      <c r="H64" s="8"/>
      <c r="I64" s="13">
        <v>22</v>
      </c>
      <c r="L64" s="8"/>
    </row>
    <row r="65" spans="1:12" ht="15.95" customHeight="1">
      <c r="A65" s="13">
        <v>23</v>
      </c>
      <c r="D65" s="8"/>
      <c r="E65" s="13">
        <v>23</v>
      </c>
      <c r="H65" s="8"/>
      <c r="I65" s="13">
        <v>23</v>
      </c>
      <c r="L65" s="8"/>
    </row>
    <row r="66" spans="1:12" ht="15.95" customHeight="1">
      <c r="A66" s="13">
        <v>24</v>
      </c>
      <c r="D66" s="8"/>
      <c r="E66" s="13">
        <v>24</v>
      </c>
      <c r="H66" s="8"/>
      <c r="I66" s="13">
        <v>24</v>
      </c>
      <c r="L66" s="8"/>
    </row>
    <row r="67" spans="1:12" ht="15.95" customHeight="1">
      <c r="A67" s="13">
        <v>25</v>
      </c>
      <c r="D67" s="8"/>
      <c r="E67" s="13">
        <v>25</v>
      </c>
      <c r="H67" s="8"/>
      <c r="I67" s="13">
        <v>25</v>
      </c>
      <c r="L67" s="8"/>
    </row>
    <row r="68" spans="1:12" ht="15.95" customHeight="1">
      <c r="A68" s="13">
        <v>26</v>
      </c>
      <c r="D68" s="8"/>
      <c r="E68" s="13">
        <v>26</v>
      </c>
      <c r="H68" s="8"/>
      <c r="I68" s="13">
        <v>26</v>
      </c>
      <c r="L68" s="8"/>
    </row>
    <row r="69" spans="1:12" ht="15.95" customHeight="1">
      <c r="A69" s="13">
        <v>27</v>
      </c>
      <c r="D69" s="8"/>
      <c r="E69" s="13">
        <v>27</v>
      </c>
      <c r="H69" s="8"/>
      <c r="I69" s="13">
        <v>27</v>
      </c>
      <c r="L69" s="8"/>
    </row>
    <row r="70" spans="1:12" ht="15.95" customHeight="1">
      <c r="A70" s="13">
        <v>28</v>
      </c>
      <c r="D70" s="8"/>
      <c r="E70" s="13">
        <v>28</v>
      </c>
      <c r="H70" s="8"/>
      <c r="I70" s="13">
        <v>28</v>
      </c>
      <c r="L70" s="8"/>
    </row>
    <row r="71" spans="1:12" ht="15.95" customHeight="1">
      <c r="A71" s="13">
        <v>29</v>
      </c>
      <c r="D71" s="8"/>
      <c r="E71" s="13">
        <v>29</v>
      </c>
      <c r="H71" s="8"/>
      <c r="I71" s="13">
        <v>29</v>
      </c>
      <c r="L71" s="8"/>
    </row>
    <row r="72" spans="1:12" ht="15.95" customHeight="1">
      <c r="A72" s="14">
        <v>30</v>
      </c>
      <c r="B72" s="24"/>
      <c r="C72" s="15"/>
      <c r="D72" s="16"/>
      <c r="E72" s="14">
        <v>30</v>
      </c>
      <c r="F72" s="24"/>
      <c r="G72" s="15"/>
      <c r="H72" s="16"/>
      <c r="I72" s="14">
        <v>30</v>
      </c>
      <c r="J72" s="24"/>
      <c r="K72" s="15"/>
      <c r="L72" s="16"/>
    </row>
  </sheetData>
  <mergeCells count="2">
    <mergeCell ref="N3:S4"/>
    <mergeCell ref="N1:S2"/>
  </mergeCells>
  <phoneticPr fontId="6" type="noConversion"/>
  <printOptions horizontalCentered="1"/>
  <pageMargins left="0" right="0" top="0.25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253F-64A7-408B-9337-9C0EF1C28341}">
  <sheetPr>
    <tabColor rgb="FFFFFF00"/>
  </sheetPr>
  <dimension ref="A1:AH216"/>
  <sheetViews>
    <sheetView workbookViewId="0">
      <selection activeCell="N10" sqref="N10"/>
    </sheetView>
  </sheetViews>
  <sheetFormatPr defaultColWidth="3.42578125" defaultRowHeight="15.95" customHeight="1"/>
  <cols>
    <col min="1" max="1" width="5.7109375" style="5" customWidth="1"/>
    <col min="2" max="2" width="18.7109375" style="5" customWidth="1"/>
    <col min="3" max="3" width="4.7109375" style="5" customWidth="1"/>
    <col min="4" max="33" width="3.42578125" style="42"/>
    <col min="34" max="34" width="10.7109375" style="42" customWidth="1"/>
    <col min="35" max="16384" width="3.42578125" style="5"/>
  </cols>
  <sheetData>
    <row r="1" spans="1:34" ht="15.95" customHeight="1">
      <c r="A1" s="18" t="s">
        <v>0</v>
      </c>
      <c r="B1" s="19" t="str">
        <f>'(1).Classes'!B1</f>
        <v>C2</v>
      </c>
      <c r="C1" s="60"/>
      <c r="D1" s="222" t="s">
        <v>90</v>
      </c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</row>
    <row r="2" spans="1:34" ht="15.95" customHeight="1">
      <c r="A2" s="18" t="s">
        <v>1</v>
      </c>
      <c r="B2" s="19" t="str">
        <f>'(1).Classes'!B2</f>
        <v>K1B</v>
      </c>
      <c r="C2" s="60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</row>
    <row r="3" spans="1:34" ht="15.95" customHeight="1">
      <c r="A3" s="18" t="s">
        <v>2</v>
      </c>
      <c r="B3" s="19" t="str">
        <f>'(1).Classes'!B3</f>
        <v>3:00-5:30</v>
      </c>
      <c r="C3" s="60"/>
      <c r="D3" s="223" t="str">
        <f>'(1).Classes'!N3</f>
        <v>FEBRUARY - JULY 2026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</row>
    <row r="4" spans="1:34" ht="15.95" customHeight="1">
      <c r="A4" s="18" t="s">
        <v>3</v>
      </c>
      <c r="B4" s="19">
        <f>'(1).Classes'!B4</f>
        <v>5</v>
      </c>
      <c r="C4" s="60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</row>
    <row r="5" spans="1:34" ht="15.95" customHeight="1">
      <c r="A5" s="18" t="s">
        <v>4</v>
      </c>
      <c r="B5" s="19" t="str">
        <f>'(1).Classes'!B5</f>
        <v>Hong Leeheng</v>
      </c>
      <c r="C5" s="61"/>
      <c r="D5" s="220" t="str">
        <f>IF(OR($B2="K5",$B2="K6",$B2="K7",$B2="K8",$B2="K9",$B2="K10"),"Listening","Up-Low C")</f>
        <v>Up-Low C</v>
      </c>
      <c r="E5" s="220"/>
      <c r="F5" s="220"/>
      <c r="G5" s="220" t="str">
        <f>IF(OR($B2="K5",$B2="K6",$B2="K7",$B2="K8",$B2="K9",$B2="K10"),"Speaking","Alphabet N")</f>
        <v>Alphabet N</v>
      </c>
      <c r="H5" s="220"/>
      <c r="I5" s="220"/>
      <c r="J5" s="220" t="str">
        <f>IF(OR($B2="K5",$B2="K6",$B2="K7",$B2="K8",$B2="K9",$B2="K10"),"Reading","Alphabet S")</f>
        <v>Alphabet S</v>
      </c>
      <c r="K5" s="220"/>
      <c r="L5" s="220"/>
      <c r="M5" s="220" t="str">
        <f>IF(OR($B2="K5",$B2="K6",$B2="K7",$B2="K8",$B2="K9",$B2="K10"),"Writing","Vocabulary")</f>
        <v>Vocabulary</v>
      </c>
      <c r="N5" s="220"/>
      <c r="O5" s="220"/>
      <c r="P5" s="220" t="str">
        <f>IF(OR($B2="K5",$B2="K6",$B2="K7",$B2="K8",$B2="K9",$B2="K10"),"Gram/Vocab","Sprouts")</f>
        <v>Sprouts</v>
      </c>
      <c r="Q5" s="220"/>
      <c r="R5" s="220"/>
      <c r="S5" s="220" t="str">
        <f>IF(OR($B2="K5",$B2="K6",$B2="K7",$B2="K8",$B2="K9",$B2="K10"),"Roots","Phonics")</f>
        <v>Phonics</v>
      </c>
      <c r="T5" s="220"/>
      <c r="U5" s="220"/>
      <c r="V5" s="220" t="str">
        <f>IF(OR($B2="K5",$B2="K6",$B2="K7",$B2="K8",$B2="K9",$B2="K10"),"Phonics","Math")</f>
        <v>Math</v>
      </c>
      <c r="W5" s="220"/>
      <c r="X5" s="220"/>
      <c r="Y5" s="220" t="str">
        <f>IF(OR($B2="K5",$B2="K6",$B2="K7",$B2="K8",$B2="K9",$B2="K10"),"Math","Shape")</f>
        <v>Shape</v>
      </c>
      <c r="Z5" s="220"/>
      <c r="AA5" s="220"/>
      <c r="AB5" s="220" t="s">
        <v>10</v>
      </c>
      <c r="AC5" s="220"/>
      <c r="AD5" s="220"/>
      <c r="AE5" s="220" t="str">
        <f>IF(OR($B2="K5",$B2="K6",$B2="K7",$B2="K8",$B2="K9",$B2="K10"),"Homework","Tracing")</f>
        <v>Tracing</v>
      </c>
      <c r="AF5" s="220"/>
      <c r="AG5" s="220"/>
      <c r="AH5" s="90" t="s">
        <v>11</v>
      </c>
    </row>
    <row r="6" spans="1:34" ht="15.95" customHeight="1" thickBot="1">
      <c r="A6" s="73" t="s">
        <v>5</v>
      </c>
      <c r="B6" s="74" t="s">
        <v>6</v>
      </c>
      <c r="C6" s="75" t="s">
        <v>7</v>
      </c>
      <c r="D6" s="221" t="s">
        <v>9</v>
      </c>
      <c r="E6" s="221"/>
      <c r="F6" s="221"/>
      <c r="G6" s="221" t="s">
        <v>9</v>
      </c>
      <c r="H6" s="221"/>
      <c r="I6" s="221"/>
      <c r="J6" s="221" t="s">
        <v>9</v>
      </c>
      <c r="K6" s="221"/>
      <c r="L6" s="221"/>
      <c r="M6" s="221" t="s">
        <v>9</v>
      </c>
      <c r="N6" s="221"/>
      <c r="O6" s="221"/>
      <c r="P6" s="221" t="s">
        <v>9</v>
      </c>
      <c r="Q6" s="221"/>
      <c r="R6" s="221"/>
      <c r="S6" s="221" t="s">
        <v>9</v>
      </c>
      <c r="T6" s="221"/>
      <c r="U6" s="221"/>
      <c r="V6" s="221" t="s">
        <v>9</v>
      </c>
      <c r="W6" s="221"/>
      <c r="X6" s="221"/>
      <c r="Y6" s="221" t="s">
        <v>9</v>
      </c>
      <c r="Z6" s="221"/>
      <c r="AA6" s="221"/>
      <c r="AB6" s="221" t="s">
        <v>9</v>
      </c>
      <c r="AC6" s="221"/>
      <c r="AD6" s="221"/>
      <c r="AE6" s="221" t="s">
        <v>9</v>
      </c>
      <c r="AF6" s="221"/>
      <c r="AG6" s="221"/>
      <c r="AH6" s="77" t="s">
        <v>12</v>
      </c>
    </row>
    <row r="7" spans="1:34" s="12" customFormat="1" ht="15.95" customHeight="1">
      <c r="A7" s="14">
        <v>1</v>
      </c>
      <c r="B7" s="68" t="str">
        <f>IF('(1).Classes'!B7="","",'(1).Classes'!B7)</f>
        <v>Chhim Chansithika</v>
      </c>
      <c r="C7" s="16" t="str">
        <f>IF('(1).Classes'!C7="","",'(1).Classes'!C7)</f>
        <v>F</v>
      </c>
      <c r="D7" s="69">
        <v>10</v>
      </c>
      <c r="E7" s="70">
        <v>10</v>
      </c>
      <c r="F7" s="71"/>
      <c r="G7" s="69">
        <v>9</v>
      </c>
      <c r="H7" s="70">
        <v>10</v>
      </c>
      <c r="I7" s="71"/>
      <c r="J7" s="69">
        <v>8</v>
      </c>
      <c r="K7" s="70">
        <v>6</v>
      </c>
      <c r="L7" s="71"/>
      <c r="M7" s="69">
        <v>9.5</v>
      </c>
      <c r="N7" s="70">
        <v>9</v>
      </c>
      <c r="O7" s="71"/>
      <c r="P7" s="69">
        <v>6</v>
      </c>
      <c r="Q7" s="70">
        <v>6.5</v>
      </c>
      <c r="R7" s="71"/>
      <c r="S7" s="69">
        <v>10</v>
      </c>
      <c r="T7" s="70">
        <v>6</v>
      </c>
      <c r="U7" s="71"/>
      <c r="V7" s="69">
        <v>10</v>
      </c>
      <c r="W7" s="70">
        <v>9.5</v>
      </c>
      <c r="X7" s="71"/>
      <c r="Y7" s="69">
        <v>10</v>
      </c>
      <c r="Z7" s="70">
        <v>7</v>
      </c>
      <c r="AA7" s="71"/>
      <c r="AB7" s="69">
        <v>10</v>
      </c>
      <c r="AC7" s="70">
        <v>7</v>
      </c>
      <c r="AD7" s="71"/>
      <c r="AE7" s="69">
        <v>8.5</v>
      </c>
      <c r="AF7" s="70">
        <v>9.75</v>
      </c>
      <c r="AG7" s="71"/>
      <c r="AH7" s="72">
        <f>IF(B7="","",IF(COUNT(D7:F7)=0,"Incomplete",IF(COUNT(G7:I7)=0,"Incomplete",IF(COUNT(J7:L7)=0,"Incomplete",IF(COUNT(M7:O7)=0,"Incomplete",IF(COUNT(P7:R7)=0,"Incomplete",IF(COUNT(S7:U7)=0,"Incomplete",IF(COUNT(V7:X7)=0,"Incomplete",IF(COUNT(Y7:AA7)=0,"Incomplete",IF(COUNT(AB7:AD7)=0,"Incomplete",IF(COUNT(AE7:AG7)=0,"Incomplete",AVERAGEIF(D7:F7,"&gt;=0")+AVERAGEIF(G7:I7,"&gt;=0")+AVERAGEIF(J7:L7,"&gt;=0")+AVERAGEIF(M7:O7,"&gt;=0")+AVERAGEIF(P7:R7,"&gt;=0")+AVERAGEIF(S7:U7,"&gt;=0")+AVERAGEIF(V7:X7,"&gt;=0")+AVERAGEIF(Y7:AA7,"&gt;=0")+AVERAGEIF(AB7:AD7,"&gt;=0")+AVERAGEIF(AE7:AG7,"&gt;=0"))))))))))))</f>
        <v>85.875</v>
      </c>
    </row>
    <row r="8" spans="1:34" ht="15.95" customHeight="1">
      <c r="A8" s="46">
        <v>2</v>
      </c>
      <c r="B8" s="63" t="str">
        <f>IF('(1).Classes'!B8="","",'(1).Classes'!B8)</f>
        <v>Chhout Senghour</v>
      </c>
      <c r="C8" s="62" t="str">
        <f>IF('(1).Classes'!C8="","",'(1).Classes'!C8)</f>
        <v>M</v>
      </c>
      <c r="D8" s="47">
        <v>8</v>
      </c>
      <c r="E8" s="48">
        <v>7</v>
      </c>
      <c r="F8" s="49"/>
      <c r="G8" s="47">
        <v>8</v>
      </c>
      <c r="H8" s="48">
        <v>5</v>
      </c>
      <c r="I8" s="49"/>
      <c r="J8" s="47">
        <v>5</v>
      </c>
      <c r="K8" s="48">
        <v>4</v>
      </c>
      <c r="L8" s="49"/>
      <c r="M8" s="47">
        <v>4</v>
      </c>
      <c r="N8" s="48">
        <v>9</v>
      </c>
      <c r="O8" s="49"/>
      <c r="P8" s="47">
        <v>6.5</v>
      </c>
      <c r="Q8" s="48">
        <v>6</v>
      </c>
      <c r="R8" s="49"/>
      <c r="S8" s="47">
        <v>3</v>
      </c>
      <c r="T8" s="48">
        <v>5</v>
      </c>
      <c r="U8" s="49"/>
      <c r="V8" s="47">
        <v>9.5</v>
      </c>
      <c r="W8" s="48">
        <v>9</v>
      </c>
      <c r="X8" s="49"/>
      <c r="Y8" s="47">
        <v>10</v>
      </c>
      <c r="Z8" s="48">
        <v>8</v>
      </c>
      <c r="AA8" s="49"/>
      <c r="AB8" s="47">
        <v>9</v>
      </c>
      <c r="AC8" s="48">
        <v>6</v>
      </c>
      <c r="AD8" s="49"/>
      <c r="AE8" s="47">
        <v>5.5</v>
      </c>
      <c r="AF8" s="48">
        <v>7</v>
      </c>
      <c r="AG8" s="49"/>
      <c r="AH8" s="50">
        <f t="shared" ref="AH8:AH36" si="0">IF(B8="","",IF(COUNT(D8:F8)=0,"Incomplete",IF(COUNT(G8:I8)=0,"Incomplete",IF(COUNT(J8:L8)=0,"Incomplete",IF(COUNT(M8:O8)=0,"Incomplete",IF(COUNT(P8:R8)=0,"Incomplete",IF(COUNT(S8:U8)=0,"Incomplete",IF(COUNT(V8:X8)=0,"Incomplete",IF(COUNT(Y8:AA8)=0,"Incomplete",IF(COUNT(AB8:AD8)=0,"Incomplete",IF(COUNT(AE8:AG8)=0,"Incomplete",AVERAGEIF(D8:F8,"&gt;=0")+AVERAGEIF(G8:I8,"&gt;=0")+AVERAGEIF(J8:L8,"&gt;=0")+AVERAGEIF(M8:O8,"&gt;=0")+AVERAGEIF(P8:R8,"&gt;=0")+AVERAGEIF(S8:U8,"&gt;=0")+AVERAGEIF(V8:X8,"&gt;=0")+AVERAGEIF(Y8:AA8,"&gt;=0")+AVERAGEIF(AB8:AD8,"&gt;=0")+AVERAGEIF(AE8:AG8,"&gt;=0"))))))))))))</f>
        <v>67.25</v>
      </c>
    </row>
    <row r="9" spans="1:34" ht="15.95" customHeight="1">
      <c r="A9" s="46">
        <v>3</v>
      </c>
      <c r="B9" s="63" t="str">
        <f>IF('(1).Classes'!B9="","",'(1).Classes'!B9)</f>
        <v>Det Phouri</v>
      </c>
      <c r="C9" s="62" t="str">
        <f>IF('(1).Classes'!C9="","",'(1).Classes'!C9)</f>
        <v>M</v>
      </c>
      <c r="D9" s="47">
        <v>10</v>
      </c>
      <c r="E9" s="48">
        <v>9.25</v>
      </c>
      <c r="F9" s="49"/>
      <c r="G9" s="47">
        <v>5.5</v>
      </c>
      <c r="H9" s="48">
        <v>10</v>
      </c>
      <c r="I9" s="49"/>
      <c r="J9" s="47">
        <v>8</v>
      </c>
      <c r="K9" s="48">
        <v>9</v>
      </c>
      <c r="L9" s="49"/>
      <c r="M9" s="47">
        <v>10</v>
      </c>
      <c r="N9" s="48">
        <v>10</v>
      </c>
      <c r="O9" s="49"/>
      <c r="P9" s="47">
        <v>5</v>
      </c>
      <c r="Q9" s="48">
        <v>9</v>
      </c>
      <c r="R9" s="49"/>
      <c r="S9" s="47">
        <v>9</v>
      </c>
      <c r="T9" s="48">
        <v>9.5</v>
      </c>
      <c r="U9" s="49"/>
      <c r="V9" s="47">
        <v>10</v>
      </c>
      <c r="W9" s="48">
        <v>9.5</v>
      </c>
      <c r="X9" s="49"/>
      <c r="Y9" s="47">
        <v>10</v>
      </c>
      <c r="Z9" s="48">
        <v>9</v>
      </c>
      <c r="AA9" s="49"/>
      <c r="AB9" s="47">
        <v>9</v>
      </c>
      <c r="AC9" s="48">
        <v>9.5</v>
      </c>
      <c r="AD9" s="49"/>
      <c r="AE9" s="47">
        <v>8.5</v>
      </c>
      <c r="AF9" s="48">
        <v>9.5</v>
      </c>
      <c r="AG9" s="49"/>
      <c r="AH9" s="50">
        <f t="shared" si="0"/>
        <v>89.625</v>
      </c>
    </row>
    <row r="10" spans="1:34" ht="15.95" customHeight="1">
      <c r="A10" s="46">
        <v>4</v>
      </c>
      <c r="B10" s="63" t="str">
        <f>IF('(1).Classes'!B10="","",'(1).Classes'!B10)</f>
        <v>Dy Chanto</v>
      </c>
      <c r="C10" s="62" t="str">
        <f>IF('(1).Classes'!C10="","",'(1).Classes'!C10)</f>
        <v>M</v>
      </c>
      <c r="D10" s="47">
        <v>7</v>
      </c>
      <c r="E10" s="48">
        <v>1.5</v>
      </c>
      <c r="F10" s="49"/>
      <c r="G10" s="47">
        <v>3.5</v>
      </c>
      <c r="H10" s="48">
        <v>4</v>
      </c>
      <c r="I10" s="49"/>
      <c r="J10" s="47">
        <v>6</v>
      </c>
      <c r="K10" s="48">
        <v>3</v>
      </c>
      <c r="L10" s="49"/>
      <c r="M10" s="47">
        <v>5</v>
      </c>
      <c r="N10" s="48">
        <v>3</v>
      </c>
      <c r="O10" s="49"/>
      <c r="P10" s="47">
        <v>5</v>
      </c>
      <c r="Q10" s="48">
        <v>3</v>
      </c>
      <c r="R10" s="49"/>
      <c r="S10" s="47">
        <v>3</v>
      </c>
      <c r="T10" s="48">
        <v>5</v>
      </c>
      <c r="U10" s="49"/>
      <c r="V10" s="47">
        <v>10</v>
      </c>
      <c r="W10" s="48">
        <v>4</v>
      </c>
      <c r="X10" s="49"/>
      <c r="Y10" s="47">
        <v>6</v>
      </c>
      <c r="Z10" s="48">
        <v>5</v>
      </c>
      <c r="AA10" s="49"/>
      <c r="AB10" s="47">
        <v>9</v>
      </c>
      <c r="AC10" s="48">
        <v>5</v>
      </c>
      <c r="AD10" s="49"/>
      <c r="AE10" s="47">
        <v>5</v>
      </c>
      <c r="AF10" s="48">
        <v>5</v>
      </c>
      <c r="AG10" s="49"/>
      <c r="AH10" s="50">
        <f t="shared" si="0"/>
        <v>49</v>
      </c>
    </row>
    <row r="11" spans="1:34" ht="15.95" customHeight="1">
      <c r="A11" s="46">
        <v>5</v>
      </c>
      <c r="B11" s="63" t="str">
        <f>IF('(1).Classes'!B11="","",'(1).Classes'!B11)</f>
        <v>Dy Meyly</v>
      </c>
      <c r="C11" s="62" t="str">
        <f>IF('(1).Classes'!C11="","",'(1).Classes'!C11)</f>
        <v>F</v>
      </c>
      <c r="D11" s="47">
        <v>10</v>
      </c>
      <c r="E11" s="48">
        <v>10</v>
      </c>
      <c r="F11" s="49"/>
      <c r="G11" s="47">
        <v>10</v>
      </c>
      <c r="H11" s="48">
        <v>10</v>
      </c>
      <c r="I11" s="49"/>
      <c r="J11" s="47">
        <v>8</v>
      </c>
      <c r="K11" s="48">
        <v>9</v>
      </c>
      <c r="L11" s="49"/>
      <c r="M11" s="47">
        <v>10</v>
      </c>
      <c r="N11" s="48">
        <v>10</v>
      </c>
      <c r="O11" s="49"/>
      <c r="P11" s="47">
        <v>10</v>
      </c>
      <c r="Q11" s="48">
        <v>9.5</v>
      </c>
      <c r="R11" s="49"/>
      <c r="S11" s="47">
        <v>10</v>
      </c>
      <c r="T11" s="48">
        <v>9</v>
      </c>
      <c r="U11" s="49"/>
      <c r="V11" s="47">
        <v>10</v>
      </c>
      <c r="W11" s="48">
        <v>9.5</v>
      </c>
      <c r="X11" s="49"/>
      <c r="Y11" s="47">
        <v>10</v>
      </c>
      <c r="Z11" s="48">
        <v>9</v>
      </c>
      <c r="AA11" s="49"/>
      <c r="AB11" s="47">
        <v>10</v>
      </c>
      <c r="AC11" s="48">
        <v>9.5</v>
      </c>
      <c r="AD11" s="49"/>
      <c r="AE11" s="47">
        <v>9.75</v>
      </c>
      <c r="AF11" s="48">
        <v>10</v>
      </c>
      <c r="AG11" s="49"/>
      <c r="AH11" s="50">
        <f t="shared" si="0"/>
        <v>96.625</v>
      </c>
    </row>
    <row r="12" spans="1:34" ht="15.95" customHeight="1">
      <c r="A12" s="46">
        <v>6</v>
      </c>
      <c r="B12" s="63" t="str">
        <f>IF('(1).Classes'!B12="","",'(1).Classes'!B12)</f>
        <v>Heang Limhak</v>
      </c>
      <c r="C12" s="62" t="str">
        <f>IF('(1).Classes'!C12="","",'(1).Classes'!C12)</f>
        <v>M</v>
      </c>
      <c r="D12" s="47">
        <v>10</v>
      </c>
      <c r="E12" s="48">
        <v>7</v>
      </c>
      <c r="F12" s="49"/>
      <c r="G12" s="47">
        <v>9.5</v>
      </c>
      <c r="H12" s="48">
        <v>10</v>
      </c>
      <c r="I12" s="49"/>
      <c r="J12" s="47">
        <v>10</v>
      </c>
      <c r="K12" s="48">
        <v>8</v>
      </c>
      <c r="L12" s="49"/>
      <c r="M12" s="47">
        <v>7</v>
      </c>
      <c r="N12" s="48">
        <v>10</v>
      </c>
      <c r="O12" s="49"/>
      <c r="P12" s="47">
        <v>7</v>
      </c>
      <c r="Q12" s="48">
        <v>8</v>
      </c>
      <c r="R12" s="49"/>
      <c r="S12" s="47">
        <v>8</v>
      </c>
      <c r="T12" s="48">
        <v>9</v>
      </c>
      <c r="U12" s="49"/>
      <c r="V12" s="47">
        <v>9</v>
      </c>
      <c r="W12" s="48">
        <v>4</v>
      </c>
      <c r="X12" s="49"/>
      <c r="Y12" s="47">
        <v>10</v>
      </c>
      <c r="Z12" s="48">
        <v>9</v>
      </c>
      <c r="AA12" s="49"/>
      <c r="AB12" s="47">
        <v>10</v>
      </c>
      <c r="AC12" s="48">
        <v>8</v>
      </c>
      <c r="AD12" s="49"/>
      <c r="AE12" s="47">
        <v>8</v>
      </c>
      <c r="AF12" s="48">
        <v>5</v>
      </c>
      <c r="AG12" s="49"/>
      <c r="AH12" s="50">
        <f t="shared" si="0"/>
        <v>83.25</v>
      </c>
    </row>
    <row r="13" spans="1:34" ht="15.95" customHeight="1">
      <c r="A13" s="46">
        <v>7</v>
      </c>
      <c r="B13" s="63" t="str">
        <f>IF('(1).Classes'!B13="","",'(1).Classes'!B13)</f>
        <v>Keo Tepsatsjak</v>
      </c>
      <c r="C13" s="62" t="str">
        <f>IF('(1).Classes'!C13="","",'(1).Classes'!C13)</f>
        <v>M</v>
      </c>
      <c r="D13" s="47">
        <v>10</v>
      </c>
      <c r="E13" s="48">
        <v>8.75</v>
      </c>
      <c r="F13" s="49"/>
      <c r="G13" s="47">
        <v>9</v>
      </c>
      <c r="H13" s="48">
        <v>10</v>
      </c>
      <c r="I13" s="49"/>
      <c r="J13" s="47">
        <v>10</v>
      </c>
      <c r="K13" s="48">
        <v>8.5</v>
      </c>
      <c r="L13" s="49"/>
      <c r="M13" s="47">
        <v>10</v>
      </c>
      <c r="N13" s="48">
        <v>8.5</v>
      </c>
      <c r="O13" s="49"/>
      <c r="P13" s="47">
        <v>9.5</v>
      </c>
      <c r="Q13" s="48">
        <v>9</v>
      </c>
      <c r="R13" s="49"/>
      <c r="S13" s="47">
        <v>10</v>
      </c>
      <c r="T13" s="48">
        <v>9.5</v>
      </c>
      <c r="U13" s="49"/>
      <c r="V13" s="47">
        <v>10</v>
      </c>
      <c r="W13" s="48">
        <v>9</v>
      </c>
      <c r="X13" s="49"/>
      <c r="Y13" s="47">
        <v>6</v>
      </c>
      <c r="Z13" s="48">
        <v>9</v>
      </c>
      <c r="AA13" s="49"/>
      <c r="AB13" s="47">
        <v>9</v>
      </c>
      <c r="AC13" s="48">
        <v>9</v>
      </c>
      <c r="AD13" s="49"/>
      <c r="AE13" s="47">
        <v>8.5</v>
      </c>
      <c r="AF13" s="48">
        <v>9.75</v>
      </c>
      <c r="AG13" s="49"/>
      <c r="AH13" s="50">
        <f t="shared" si="0"/>
        <v>91.5</v>
      </c>
    </row>
    <row r="14" spans="1:34" ht="15.95" customHeight="1">
      <c r="A14" s="46">
        <v>8</v>
      </c>
      <c r="B14" s="63" t="str">
        <f>IF('(1).Classes'!B14="","",'(1).Classes'!B14)</f>
        <v>Kong Yonghae</v>
      </c>
      <c r="C14" s="62" t="str">
        <f>IF('(1).Classes'!C14="","",'(1).Classes'!C14)</f>
        <v>M</v>
      </c>
      <c r="D14" s="47">
        <v>10</v>
      </c>
      <c r="E14" s="48">
        <v>8.5</v>
      </c>
      <c r="F14" s="49"/>
      <c r="G14" s="47">
        <v>8.5</v>
      </c>
      <c r="H14" s="48">
        <v>10</v>
      </c>
      <c r="I14" s="49"/>
      <c r="J14" s="47">
        <v>10</v>
      </c>
      <c r="K14" s="48">
        <v>7</v>
      </c>
      <c r="L14" s="49"/>
      <c r="M14" s="47">
        <v>10</v>
      </c>
      <c r="N14" s="48">
        <v>9</v>
      </c>
      <c r="O14" s="49"/>
      <c r="P14" s="47">
        <v>9</v>
      </c>
      <c r="Q14" s="48">
        <v>8</v>
      </c>
      <c r="R14" s="49"/>
      <c r="S14" s="47">
        <v>10</v>
      </c>
      <c r="T14" s="48">
        <v>8</v>
      </c>
      <c r="U14" s="49"/>
      <c r="V14" s="47">
        <v>10</v>
      </c>
      <c r="W14" s="48">
        <v>10</v>
      </c>
      <c r="X14" s="49"/>
      <c r="Y14" s="47">
        <v>10</v>
      </c>
      <c r="Z14" s="48">
        <v>9</v>
      </c>
      <c r="AA14" s="49"/>
      <c r="AB14" s="47">
        <v>9</v>
      </c>
      <c r="AC14" s="48">
        <v>8</v>
      </c>
      <c r="AD14" s="49"/>
      <c r="AE14" s="47">
        <v>8</v>
      </c>
      <c r="AF14" s="48">
        <v>10</v>
      </c>
      <c r="AG14" s="49"/>
      <c r="AH14" s="50">
        <f t="shared" si="0"/>
        <v>91</v>
      </c>
    </row>
    <row r="15" spans="1:34" ht="15.95" customHeight="1">
      <c r="A15" s="46">
        <v>9</v>
      </c>
      <c r="B15" s="63" t="str">
        <f>IF('(1).Classes'!B15="","",'(1).Classes'!B15)</f>
        <v>Lim Davymulika</v>
      </c>
      <c r="C15" s="62" t="str">
        <f>IF('(1).Classes'!C15="","",'(1).Classes'!C15)</f>
        <v>F</v>
      </c>
      <c r="D15" s="47">
        <v>6</v>
      </c>
      <c r="E15" s="48">
        <v>6.75</v>
      </c>
      <c r="F15" s="49"/>
      <c r="G15" s="47">
        <v>6.5</v>
      </c>
      <c r="H15" s="48">
        <v>6</v>
      </c>
      <c r="I15" s="49"/>
      <c r="J15" s="47">
        <v>5</v>
      </c>
      <c r="K15" s="48">
        <v>4</v>
      </c>
      <c r="L15" s="49"/>
      <c r="M15" s="47">
        <v>6</v>
      </c>
      <c r="N15" s="48">
        <v>8</v>
      </c>
      <c r="O15" s="49"/>
      <c r="P15" s="47">
        <v>5</v>
      </c>
      <c r="Q15" s="48">
        <v>4.5</v>
      </c>
      <c r="R15" s="49"/>
      <c r="S15" s="47">
        <v>7</v>
      </c>
      <c r="T15" s="48">
        <v>6</v>
      </c>
      <c r="U15" s="49"/>
      <c r="V15" s="47">
        <v>8</v>
      </c>
      <c r="W15" s="48">
        <v>4</v>
      </c>
      <c r="X15" s="49"/>
      <c r="Y15" s="47">
        <v>6</v>
      </c>
      <c r="Z15" s="48">
        <v>5</v>
      </c>
      <c r="AA15" s="49"/>
      <c r="AB15" s="47">
        <v>5</v>
      </c>
      <c r="AC15" s="48">
        <v>6</v>
      </c>
      <c r="AD15" s="49"/>
      <c r="AE15" s="47">
        <v>8</v>
      </c>
      <c r="AF15" s="48">
        <v>9</v>
      </c>
      <c r="AG15" s="49"/>
      <c r="AH15" s="50">
        <f t="shared" si="0"/>
        <v>60.875</v>
      </c>
    </row>
    <row r="16" spans="1:34" ht="15.95" customHeight="1">
      <c r="A16" s="46">
        <v>10</v>
      </c>
      <c r="B16" s="63" t="str">
        <f>IF('(1).Classes'!B16="","",'(1).Classes'!B16)</f>
        <v>Lot SamAngvichara</v>
      </c>
      <c r="C16" s="62" t="str">
        <f>IF('(1).Classes'!C16="","",'(1).Classes'!C16)</f>
        <v>F</v>
      </c>
      <c r="D16" s="47">
        <v>10</v>
      </c>
      <c r="E16" s="48">
        <v>10</v>
      </c>
      <c r="F16" s="49"/>
      <c r="G16" s="47">
        <v>10</v>
      </c>
      <c r="H16" s="48">
        <v>10</v>
      </c>
      <c r="I16" s="49"/>
      <c r="J16" s="47">
        <v>10</v>
      </c>
      <c r="K16" s="48">
        <v>9.5</v>
      </c>
      <c r="L16" s="49"/>
      <c r="M16" s="47">
        <v>10</v>
      </c>
      <c r="N16" s="48">
        <v>10</v>
      </c>
      <c r="O16" s="49"/>
      <c r="P16" s="47">
        <v>8</v>
      </c>
      <c r="Q16" s="48">
        <v>9</v>
      </c>
      <c r="R16" s="49"/>
      <c r="S16" s="47">
        <v>10</v>
      </c>
      <c r="T16" s="48">
        <v>9</v>
      </c>
      <c r="U16" s="49"/>
      <c r="V16" s="47">
        <v>9.5</v>
      </c>
      <c r="W16" s="48">
        <v>10</v>
      </c>
      <c r="X16" s="49"/>
      <c r="Y16" s="47">
        <v>10</v>
      </c>
      <c r="Z16" s="48">
        <v>9</v>
      </c>
      <c r="AA16" s="49"/>
      <c r="AB16" s="47">
        <v>8</v>
      </c>
      <c r="AC16" s="48">
        <v>9</v>
      </c>
      <c r="AD16" s="49"/>
      <c r="AE16" s="47">
        <v>8</v>
      </c>
      <c r="AF16" s="48">
        <v>8</v>
      </c>
      <c r="AG16" s="49"/>
      <c r="AH16" s="50">
        <f t="shared" si="0"/>
        <v>93.5</v>
      </c>
    </row>
    <row r="17" spans="1:34" ht="15.95" customHeight="1">
      <c r="A17" s="46">
        <v>11</v>
      </c>
      <c r="B17" s="63" t="str">
        <f>IF('(1).Classes'!B17="","",'(1).Classes'!B17)</f>
        <v>Lot Vichheka</v>
      </c>
      <c r="C17" s="62" t="str">
        <f>IF('(1).Classes'!C17="","",'(1).Classes'!C17)</f>
        <v>M</v>
      </c>
      <c r="D17" s="47">
        <v>10</v>
      </c>
      <c r="E17" s="48">
        <v>10</v>
      </c>
      <c r="F17" s="49"/>
      <c r="G17" s="47">
        <v>8.5</v>
      </c>
      <c r="H17" s="48">
        <v>10</v>
      </c>
      <c r="I17" s="49"/>
      <c r="J17" s="47">
        <v>9</v>
      </c>
      <c r="K17" s="48">
        <v>9</v>
      </c>
      <c r="L17" s="49"/>
      <c r="M17" s="47">
        <v>10</v>
      </c>
      <c r="N17" s="48">
        <v>10</v>
      </c>
      <c r="O17" s="49"/>
      <c r="P17" s="47">
        <v>8</v>
      </c>
      <c r="Q17" s="48">
        <v>9</v>
      </c>
      <c r="R17" s="49"/>
      <c r="S17" s="47">
        <v>10</v>
      </c>
      <c r="T17" s="48">
        <v>9</v>
      </c>
      <c r="U17" s="49"/>
      <c r="V17" s="47">
        <v>9.5</v>
      </c>
      <c r="W17" s="48">
        <v>10</v>
      </c>
      <c r="X17" s="49"/>
      <c r="Y17" s="47">
        <v>10</v>
      </c>
      <c r="Z17" s="48">
        <v>8</v>
      </c>
      <c r="AA17" s="49"/>
      <c r="AB17" s="47">
        <v>9</v>
      </c>
      <c r="AC17" s="48">
        <v>9</v>
      </c>
      <c r="AD17" s="49"/>
      <c r="AE17" s="47">
        <v>7</v>
      </c>
      <c r="AF17" s="48">
        <v>9</v>
      </c>
      <c r="AG17" s="49"/>
      <c r="AH17" s="50">
        <f t="shared" si="0"/>
        <v>92</v>
      </c>
    </row>
    <row r="18" spans="1:34" ht="15.95" customHeight="1">
      <c r="A18" s="46">
        <v>12</v>
      </c>
      <c r="B18" s="63" t="str">
        <f>IF('(1).Classes'!B18="","",'(1).Classes'!B18)</f>
        <v>Ly Kanha</v>
      </c>
      <c r="C18" s="62" t="str">
        <f>IF('(1).Classes'!C18="","",'(1).Classes'!C18)</f>
        <v>F</v>
      </c>
      <c r="D18" s="47">
        <v>6</v>
      </c>
      <c r="E18" s="48">
        <v>8.75</v>
      </c>
      <c r="F18" s="49"/>
      <c r="G18" s="47">
        <v>8.5</v>
      </c>
      <c r="H18" s="48">
        <v>7</v>
      </c>
      <c r="I18" s="49"/>
      <c r="J18" s="47">
        <v>10</v>
      </c>
      <c r="K18" s="48">
        <v>9</v>
      </c>
      <c r="L18" s="49"/>
      <c r="M18" s="47">
        <v>9</v>
      </c>
      <c r="N18" s="48">
        <v>10</v>
      </c>
      <c r="O18" s="49"/>
      <c r="P18" s="47">
        <v>9</v>
      </c>
      <c r="Q18" s="48">
        <v>9.5</v>
      </c>
      <c r="R18" s="49"/>
      <c r="S18" s="47">
        <v>10</v>
      </c>
      <c r="T18" s="48">
        <v>8.5</v>
      </c>
      <c r="U18" s="49"/>
      <c r="V18" s="47">
        <v>10</v>
      </c>
      <c r="W18" s="48">
        <v>8</v>
      </c>
      <c r="X18" s="49"/>
      <c r="Y18" s="47">
        <v>10</v>
      </c>
      <c r="Z18" s="48">
        <v>9</v>
      </c>
      <c r="AA18" s="49"/>
      <c r="AB18" s="47">
        <v>9</v>
      </c>
      <c r="AC18" s="48">
        <v>9</v>
      </c>
      <c r="AD18" s="49"/>
      <c r="AE18" s="47">
        <v>9</v>
      </c>
      <c r="AF18" s="48">
        <v>9.75</v>
      </c>
      <c r="AG18" s="49"/>
      <c r="AH18" s="50">
        <f t="shared" si="0"/>
        <v>89.5</v>
      </c>
    </row>
    <row r="19" spans="1:34" ht="15.95" customHeight="1">
      <c r="A19" s="46">
        <v>13</v>
      </c>
      <c r="B19" s="63" t="str">
        <f>IF('(1).Classes'!B19="","",'(1).Classes'!B19)</f>
        <v>Ly Sanmoniroth</v>
      </c>
      <c r="C19" s="62" t="str">
        <f>IF('(1).Classes'!C19="","",'(1).Classes'!C19)</f>
        <v>F</v>
      </c>
      <c r="D19" s="47">
        <v>6</v>
      </c>
      <c r="E19" s="48">
        <v>3</v>
      </c>
      <c r="F19" s="49"/>
      <c r="G19" s="47">
        <v>5.5</v>
      </c>
      <c r="H19" s="48">
        <v>5</v>
      </c>
      <c r="I19" s="49"/>
      <c r="J19" s="47">
        <v>9</v>
      </c>
      <c r="K19" s="48">
        <v>7</v>
      </c>
      <c r="L19" s="49"/>
      <c r="M19" s="47">
        <v>4</v>
      </c>
      <c r="N19" s="48">
        <v>9</v>
      </c>
      <c r="O19" s="49"/>
      <c r="P19" s="47">
        <v>6</v>
      </c>
      <c r="Q19" s="48">
        <v>7</v>
      </c>
      <c r="R19" s="49"/>
      <c r="S19" s="47">
        <v>5</v>
      </c>
      <c r="T19" s="48">
        <v>6</v>
      </c>
      <c r="U19" s="49"/>
      <c r="V19" s="47">
        <v>10</v>
      </c>
      <c r="W19" s="48">
        <v>10</v>
      </c>
      <c r="X19" s="49"/>
      <c r="Y19" s="47">
        <v>6</v>
      </c>
      <c r="Z19" s="48">
        <v>7</v>
      </c>
      <c r="AA19" s="49"/>
      <c r="AB19" s="47">
        <v>9</v>
      </c>
      <c r="AC19" s="48">
        <v>8</v>
      </c>
      <c r="AD19" s="49"/>
      <c r="AE19" s="47">
        <v>8.5</v>
      </c>
      <c r="AF19" s="48">
        <v>7</v>
      </c>
      <c r="AG19" s="49"/>
      <c r="AH19" s="50">
        <f t="shared" si="0"/>
        <v>69</v>
      </c>
    </row>
    <row r="20" spans="1:34" ht="15.95" customHeight="1">
      <c r="A20" s="46">
        <v>14</v>
      </c>
      <c r="B20" s="63" t="str">
        <f>IF('(1).Classes'!B20="","",'(1).Classes'!B20)</f>
        <v>Noun Thoreakrith</v>
      </c>
      <c r="C20" s="62" t="str">
        <f>IF('(1).Classes'!C20="","",'(1).Classes'!C20)</f>
        <v>M</v>
      </c>
      <c r="D20" s="47">
        <v>6</v>
      </c>
      <c r="E20" s="48">
        <v>8.75</v>
      </c>
      <c r="F20" s="49"/>
      <c r="G20" s="47">
        <v>8.5</v>
      </c>
      <c r="H20" s="48">
        <v>10</v>
      </c>
      <c r="I20" s="49"/>
      <c r="J20" s="47">
        <v>8</v>
      </c>
      <c r="K20" s="48">
        <v>7.5</v>
      </c>
      <c r="L20" s="49"/>
      <c r="M20" s="47">
        <v>8</v>
      </c>
      <c r="N20" s="48">
        <v>8.5</v>
      </c>
      <c r="O20" s="49"/>
      <c r="P20" s="47">
        <v>6</v>
      </c>
      <c r="Q20" s="48">
        <v>8</v>
      </c>
      <c r="R20" s="49"/>
      <c r="S20" s="47">
        <v>10</v>
      </c>
      <c r="T20" s="48">
        <v>9</v>
      </c>
      <c r="U20" s="49"/>
      <c r="V20" s="47">
        <v>9.5</v>
      </c>
      <c r="W20" s="48">
        <v>10</v>
      </c>
      <c r="X20" s="49"/>
      <c r="Y20" s="47">
        <v>10</v>
      </c>
      <c r="Z20" s="48">
        <v>9</v>
      </c>
      <c r="AA20" s="49"/>
      <c r="AB20" s="47">
        <v>7</v>
      </c>
      <c r="AC20" s="48">
        <v>8</v>
      </c>
      <c r="AD20" s="49"/>
      <c r="AE20" s="47">
        <v>8.5</v>
      </c>
      <c r="AF20" s="48">
        <v>9.75</v>
      </c>
      <c r="AG20" s="49"/>
      <c r="AH20" s="50">
        <f t="shared" si="0"/>
        <v>85</v>
      </c>
    </row>
    <row r="21" spans="1:34" ht="15.95" customHeight="1">
      <c r="A21" s="46">
        <v>15</v>
      </c>
      <c r="B21" s="63" t="str">
        <f>IF('(1).Classes'!B21="","",'(1).Classes'!B21)</f>
        <v>OL Amara</v>
      </c>
      <c r="C21" s="62" t="str">
        <f>IF('(1).Classes'!C21="","",'(1).Classes'!C21)</f>
        <v>F</v>
      </c>
      <c r="D21" s="47">
        <v>10</v>
      </c>
      <c r="E21" s="48">
        <v>10</v>
      </c>
      <c r="F21" s="49"/>
      <c r="G21" s="47">
        <v>9</v>
      </c>
      <c r="H21" s="48">
        <v>10</v>
      </c>
      <c r="I21" s="49"/>
      <c r="J21" s="47">
        <v>10</v>
      </c>
      <c r="K21" s="48">
        <v>9</v>
      </c>
      <c r="L21" s="49"/>
      <c r="M21" s="47">
        <v>10</v>
      </c>
      <c r="N21" s="48">
        <v>10</v>
      </c>
      <c r="O21" s="49"/>
      <c r="P21" s="47">
        <v>8</v>
      </c>
      <c r="Q21" s="48">
        <v>9.5</v>
      </c>
      <c r="R21" s="49"/>
      <c r="S21" s="47">
        <v>10</v>
      </c>
      <c r="T21" s="48">
        <v>9.5</v>
      </c>
      <c r="U21" s="49"/>
      <c r="V21" s="47">
        <v>10</v>
      </c>
      <c r="W21" s="48">
        <v>6</v>
      </c>
      <c r="X21" s="49"/>
      <c r="Y21" s="47">
        <v>10</v>
      </c>
      <c r="Z21" s="48">
        <v>9</v>
      </c>
      <c r="AA21" s="49"/>
      <c r="AB21" s="47">
        <v>9</v>
      </c>
      <c r="AC21" s="48">
        <v>9</v>
      </c>
      <c r="AD21" s="49"/>
      <c r="AE21" s="47">
        <v>9.5</v>
      </c>
      <c r="AF21" s="48">
        <v>10</v>
      </c>
      <c r="AG21" s="49"/>
      <c r="AH21" s="50">
        <f t="shared" si="0"/>
        <v>93.75</v>
      </c>
    </row>
    <row r="22" spans="1:34" ht="15.95" customHeight="1">
      <c r="A22" s="46">
        <v>16</v>
      </c>
      <c r="B22" s="63" t="str">
        <f>IF('(1).Classes'!B22="","",'(1).Classes'!B22)</f>
        <v>Prom Monometa</v>
      </c>
      <c r="C22" s="62" t="str">
        <f>IF('(1).Classes'!C22="","",'(1).Classes'!C22)</f>
        <v>M</v>
      </c>
      <c r="D22" s="47">
        <v>10</v>
      </c>
      <c r="E22" s="48">
        <v>7</v>
      </c>
      <c r="F22" s="49"/>
      <c r="G22" s="47">
        <v>6.5</v>
      </c>
      <c r="H22" s="48">
        <v>9</v>
      </c>
      <c r="I22" s="49"/>
      <c r="J22" s="47">
        <v>10</v>
      </c>
      <c r="K22" s="48">
        <v>7</v>
      </c>
      <c r="L22" s="49"/>
      <c r="M22" s="47">
        <v>6</v>
      </c>
      <c r="N22" s="48">
        <v>7</v>
      </c>
      <c r="O22" s="49"/>
      <c r="P22" s="47">
        <v>6</v>
      </c>
      <c r="Q22" s="48">
        <v>5.5</v>
      </c>
      <c r="R22" s="49"/>
      <c r="S22" s="47">
        <v>10</v>
      </c>
      <c r="T22" s="48">
        <v>7</v>
      </c>
      <c r="U22" s="49"/>
      <c r="V22" s="47">
        <v>9.5</v>
      </c>
      <c r="W22" s="48">
        <v>9.5</v>
      </c>
      <c r="X22" s="49"/>
      <c r="Y22" s="47">
        <v>4</v>
      </c>
      <c r="Z22" s="48">
        <v>6</v>
      </c>
      <c r="AA22" s="49"/>
      <c r="AB22" s="47">
        <v>10</v>
      </c>
      <c r="AC22" s="48">
        <v>8</v>
      </c>
      <c r="AD22" s="49"/>
      <c r="AE22" s="47">
        <v>7.5</v>
      </c>
      <c r="AF22" s="48">
        <v>9</v>
      </c>
      <c r="AG22" s="49"/>
      <c r="AH22" s="50">
        <f t="shared" si="0"/>
        <v>77.25</v>
      </c>
    </row>
    <row r="23" spans="1:34" ht="15.95" customHeight="1">
      <c r="A23" s="46">
        <v>17</v>
      </c>
      <c r="B23" s="63" t="str">
        <f>IF('(1).Classes'!B23="","",'(1).Classes'!B23)</f>
        <v>Seng Moamunyriangsey</v>
      </c>
      <c r="C23" s="62" t="str">
        <f>IF('(1).Classes'!C23="","",'(1).Classes'!C23)</f>
        <v>F</v>
      </c>
      <c r="D23" s="47">
        <v>9</v>
      </c>
      <c r="E23" s="48">
        <v>8</v>
      </c>
      <c r="F23" s="49"/>
      <c r="G23" s="47">
        <v>6.25</v>
      </c>
      <c r="H23" s="48">
        <v>9</v>
      </c>
      <c r="I23" s="49"/>
      <c r="J23" s="47">
        <v>6</v>
      </c>
      <c r="K23" s="48">
        <v>7</v>
      </c>
      <c r="L23" s="49"/>
      <c r="M23" s="47">
        <v>2</v>
      </c>
      <c r="N23" s="48">
        <v>8</v>
      </c>
      <c r="O23" s="49"/>
      <c r="P23" s="47">
        <v>6</v>
      </c>
      <c r="Q23" s="48">
        <v>5</v>
      </c>
      <c r="R23" s="49"/>
      <c r="S23" s="47">
        <v>9</v>
      </c>
      <c r="T23" s="48">
        <v>6</v>
      </c>
      <c r="U23" s="49"/>
      <c r="V23" s="47">
        <v>10</v>
      </c>
      <c r="W23" s="48">
        <v>9.5</v>
      </c>
      <c r="X23" s="49"/>
      <c r="Y23" s="47">
        <v>6</v>
      </c>
      <c r="Z23" s="48">
        <v>7</v>
      </c>
      <c r="AA23" s="49"/>
      <c r="AB23" s="47">
        <v>9</v>
      </c>
      <c r="AC23" s="48">
        <v>7</v>
      </c>
      <c r="AD23" s="49"/>
      <c r="AE23" s="47">
        <v>8</v>
      </c>
      <c r="AF23" s="48">
        <v>9.5</v>
      </c>
      <c r="AG23" s="49"/>
      <c r="AH23" s="50">
        <f t="shared" si="0"/>
        <v>73.625</v>
      </c>
    </row>
    <row r="24" spans="1:34" ht="15.95" customHeight="1">
      <c r="A24" s="46">
        <v>18</v>
      </c>
      <c r="B24" s="63" t="str">
        <f>IF('(1).Classes'!B24="","",'(1).Classes'!B24)</f>
        <v>Thuy Chanmeylinh</v>
      </c>
      <c r="C24" s="62" t="str">
        <f>IF('(1).Classes'!C24="","",'(1).Classes'!C24)</f>
        <v>F</v>
      </c>
      <c r="D24" s="47">
        <v>10</v>
      </c>
      <c r="E24" s="48">
        <v>10</v>
      </c>
      <c r="F24" s="49"/>
      <c r="G24" s="47">
        <v>10</v>
      </c>
      <c r="H24" s="48">
        <v>10</v>
      </c>
      <c r="I24" s="49"/>
      <c r="J24" s="47">
        <v>10</v>
      </c>
      <c r="K24" s="48">
        <v>9.5</v>
      </c>
      <c r="L24" s="49"/>
      <c r="M24" s="47">
        <v>9.5</v>
      </c>
      <c r="N24" s="48">
        <v>9.75</v>
      </c>
      <c r="O24" s="49"/>
      <c r="P24" s="47">
        <v>10</v>
      </c>
      <c r="Q24" s="48">
        <v>9.5</v>
      </c>
      <c r="R24" s="49"/>
      <c r="S24" s="47">
        <v>10</v>
      </c>
      <c r="T24" s="48">
        <v>9.5</v>
      </c>
      <c r="U24" s="49"/>
      <c r="V24" s="47">
        <v>10</v>
      </c>
      <c r="W24" s="48">
        <v>9.5</v>
      </c>
      <c r="X24" s="49"/>
      <c r="Y24" s="47">
        <v>10</v>
      </c>
      <c r="Z24" s="48">
        <v>9</v>
      </c>
      <c r="AA24" s="49"/>
      <c r="AB24" s="47">
        <v>9</v>
      </c>
      <c r="AC24" s="48">
        <v>9</v>
      </c>
      <c r="AD24" s="49"/>
      <c r="AE24" s="47">
        <v>9.75</v>
      </c>
      <c r="AF24" s="48">
        <v>10</v>
      </c>
      <c r="AG24" s="49"/>
      <c r="AH24" s="50">
        <f t="shared" si="0"/>
        <v>97</v>
      </c>
    </row>
    <row r="25" spans="1:34" ht="15.95" customHeight="1">
      <c r="A25" s="46">
        <v>19</v>
      </c>
      <c r="B25" s="63" t="str">
        <f>IF('(1).Classes'!B25="","",'(1).Classes'!B25)</f>
        <v>Vy Monineath</v>
      </c>
      <c r="C25" s="62" t="str">
        <f>IF('(1).Classes'!C25="","",'(1).Classes'!C25)</f>
        <v>F</v>
      </c>
      <c r="D25" s="47">
        <v>8</v>
      </c>
      <c r="E25" s="48">
        <v>10</v>
      </c>
      <c r="F25" s="49"/>
      <c r="G25" s="47">
        <v>10</v>
      </c>
      <c r="H25" s="48">
        <v>10</v>
      </c>
      <c r="I25" s="49"/>
      <c r="J25" s="47">
        <v>10</v>
      </c>
      <c r="K25" s="48">
        <v>9.5</v>
      </c>
      <c r="L25" s="49"/>
      <c r="M25" s="47">
        <v>9</v>
      </c>
      <c r="N25" s="48">
        <v>10</v>
      </c>
      <c r="O25" s="49"/>
      <c r="P25" s="47">
        <v>10</v>
      </c>
      <c r="Q25" s="48">
        <v>9.5</v>
      </c>
      <c r="R25" s="49"/>
      <c r="S25" s="47">
        <v>10</v>
      </c>
      <c r="T25" s="48">
        <v>9.5</v>
      </c>
      <c r="U25" s="49"/>
      <c r="V25" s="47">
        <v>10</v>
      </c>
      <c r="W25" s="48">
        <v>10</v>
      </c>
      <c r="X25" s="49"/>
      <c r="Y25" s="47">
        <v>10</v>
      </c>
      <c r="Z25" s="48">
        <v>9</v>
      </c>
      <c r="AA25" s="49"/>
      <c r="AB25" s="47">
        <v>10</v>
      </c>
      <c r="AC25" s="48">
        <v>9</v>
      </c>
      <c r="AD25" s="49"/>
      <c r="AE25" s="47">
        <v>9.75</v>
      </c>
      <c r="AF25" s="48">
        <v>10</v>
      </c>
      <c r="AG25" s="49"/>
      <c r="AH25" s="50">
        <f t="shared" si="0"/>
        <v>96.625</v>
      </c>
    </row>
    <row r="26" spans="1:34" ht="15.95" customHeight="1">
      <c r="A26" s="46">
        <v>20</v>
      </c>
      <c r="B26" s="63" t="str">
        <f>IF('(1).Classes'!B26="","",'(1).Classes'!B26)</f>
        <v/>
      </c>
      <c r="C26" s="62" t="str">
        <f>IF('(1).Classes'!C26="","",'(1).Classes'!C26)</f>
        <v/>
      </c>
      <c r="D26" s="47"/>
      <c r="E26" s="48"/>
      <c r="F26" s="49"/>
      <c r="G26" s="47"/>
      <c r="H26" s="48"/>
      <c r="I26" s="49"/>
      <c r="J26" s="47"/>
      <c r="K26" s="48"/>
      <c r="L26" s="49"/>
      <c r="M26" s="47"/>
      <c r="N26" s="48"/>
      <c r="O26" s="49"/>
      <c r="P26" s="47"/>
      <c r="Q26" s="48"/>
      <c r="R26" s="49"/>
      <c r="S26" s="47"/>
      <c r="T26" s="48"/>
      <c r="U26" s="49"/>
      <c r="V26" s="47"/>
      <c r="W26" s="48"/>
      <c r="X26" s="49"/>
      <c r="Y26" s="47"/>
      <c r="Z26" s="48"/>
      <c r="AA26" s="49"/>
      <c r="AB26" s="47"/>
      <c r="AC26" s="48"/>
      <c r="AD26" s="49"/>
      <c r="AE26" s="47"/>
      <c r="AF26" s="48"/>
      <c r="AG26" s="49"/>
      <c r="AH26" s="50" t="str">
        <f t="shared" si="0"/>
        <v/>
      </c>
    </row>
    <row r="27" spans="1:34" ht="15.95" customHeight="1">
      <c r="A27" s="46">
        <v>21</v>
      </c>
      <c r="B27" s="63" t="str">
        <f>IF('(1).Classes'!B27="","",'(1).Classes'!B27)</f>
        <v/>
      </c>
      <c r="C27" s="62" t="str">
        <f>IF('(1).Classes'!C27="","",'(1).Classes'!C27)</f>
        <v/>
      </c>
      <c r="D27" s="47"/>
      <c r="E27" s="48"/>
      <c r="F27" s="49"/>
      <c r="G27" s="47"/>
      <c r="H27" s="48"/>
      <c r="I27" s="49"/>
      <c r="J27" s="47"/>
      <c r="K27" s="48"/>
      <c r="L27" s="49"/>
      <c r="M27" s="47"/>
      <c r="N27" s="48"/>
      <c r="O27" s="49"/>
      <c r="P27" s="47"/>
      <c r="Q27" s="48"/>
      <c r="R27" s="49"/>
      <c r="S27" s="47"/>
      <c r="T27" s="48"/>
      <c r="U27" s="49"/>
      <c r="V27" s="47"/>
      <c r="W27" s="48"/>
      <c r="X27" s="49"/>
      <c r="Y27" s="47"/>
      <c r="Z27" s="48"/>
      <c r="AA27" s="49"/>
      <c r="AB27" s="47"/>
      <c r="AC27" s="48"/>
      <c r="AD27" s="49"/>
      <c r="AE27" s="47"/>
      <c r="AF27" s="48"/>
      <c r="AG27" s="49"/>
      <c r="AH27" s="50" t="str">
        <f t="shared" si="0"/>
        <v/>
      </c>
    </row>
    <row r="28" spans="1:34" ht="15.95" customHeight="1">
      <c r="A28" s="46">
        <v>22</v>
      </c>
      <c r="B28" s="63" t="str">
        <f>IF('(1).Classes'!B28="","",'(1).Classes'!B28)</f>
        <v/>
      </c>
      <c r="C28" s="62" t="str">
        <f>IF('(1).Classes'!C28="","",'(1).Classes'!C28)</f>
        <v/>
      </c>
      <c r="D28" s="47"/>
      <c r="E28" s="48"/>
      <c r="F28" s="49"/>
      <c r="G28" s="47"/>
      <c r="H28" s="48"/>
      <c r="I28" s="49"/>
      <c r="J28" s="47"/>
      <c r="K28" s="48"/>
      <c r="L28" s="49"/>
      <c r="M28" s="47"/>
      <c r="N28" s="48"/>
      <c r="O28" s="49"/>
      <c r="P28" s="47"/>
      <c r="Q28" s="48"/>
      <c r="R28" s="49"/>
      <c r="S28" s="47"/>
      <c r="T28" s="48"/>
      <c r="U28" s="49"/>
      <c r="V28" s="47"/>
      <c r="W28" s="48"/>
      <c r="X28" s="49"/>
      <c r="Y28" s="47"/>
      <c r="Z28" s="48"/>
      <c r="AA28" s="49"/>
      <c r="AB28" s="47"/>
      <c r="AC28" s="48"/>
      <c r="AD28" s="49"/>
      <c r="AE28" s="47"/>
      <c r="AF28" s="48"/>
      <c r="AG28" s="49"/>
      <c r="AH28" s="50" t="str">
        <f t="shared" si="0"/>
        <v/>
      </c>
    </row>
    <row r="29" spans="1:34" ht="15.95" customHeight="1">
      <c r="A29" s="46">
        <v>23</v>
      </c>
      <c r="B29" s="63" t="str">
        <f>IF('(1).Classes'!B29="","",'(1).Classes'!B29)</f>
        <v/>
      </c>
      <c r="C29" s="62" t="str">
        <f>IF('(1).Classes'!C29="","",'(1).Classes'!C29)</f>
        <v/>
      </c>
      <c r="D29" s="47"/>
      <c r="E29" s="48"/>
      <c r="F29" s="49"/>
      <c r="G29" s="47"/>
      <c r="H29" s="48"/>
      <c r="I29" s="49"/>
      <c r="J29" s="47"/>
      <c r="K29" s="48"/>
      <c r="L29" s="49"/>
      <c r="M29" s="47"/>
      <c r="N29" s="48"/>
      <c r="O29" s="49"/>
      <c r="P29" s="47"/>
      <c r="Q29" s="48"/>
      <c r="R29" s="49"/>
      <c r="S29" s="47"/>
      <c r="T29" s="48"/>
      <c r="U29" s="49"/>
      <c r="V29" s="47"/>
      <c r="W29" s="48"/>
      <c r="X29" s="49"/>
      <c r="Y29" s="47"/>
      <c r="Z29" s="48"/>
      <c r="AA29" s="49"/>
      <c r="AB29" s="47"/>
      <c r="AC29" s="48"/>
      <c r="AD29" s="49"/>
      <c r="AE29" s="47"/>
      <c r="AF29" s="48"/>
      <c r="AG29" s="49"/>
      <c r="AH29" s="50" t="str">
        <f t="shared" si="0"/>
        <v/>
      </c>
    </row>
    <row r="30" spans="1:34" ht="15.95" customHeight="1">
      <c r="A30" s="46">
        <v>24</v>
      </c>
      <c r="B30" s="63" t="str">
        <f>IF('(1).Classes'!B30="","",'(1).Classes'!B30)</f>
        <v/>
      </c>
      <c r="C30" s="62" t="str">
        <f>IF('(1).Classes'!C30="","",'(1).Classes'!C30)</f>
        <v/>
      </c>
      <c r="D30" s="47"/>
      <c r="E30" s="48"/>
      <c r="F30" s="49"/>
      <c r="G30" s="47"/>
      <c r="H30" s="48"/>
      <c r="I30" s="49"/>
      <c r="J30" s="47"/>
      <c r="K30" s="48"/>
      <c r="L30" s="49"/>
      <c r="M30" s="47"/>
      <c r="N30" s="48"/>
      <c r="O30" s="49"/>
      <c r="P30" s="47"/>
      <c r="Q30" s="48"/>
      <c r="R30" s="49"/>
      <c r="S30" s="47"/>
      <c r="T30" s="48"/>
      <c r="U30" s="49"/>
      <c r="V30" s="47"/>
      <c r="W30" s="48"/>
      <c r="X30" s="49"/>
      <c r="Y30" s="47"/>
      <c r="Z30" s="48"/>
      <c r="AA30" s="49"/>
      <c r="AB30" s="47"/>
      <c r="AC30" s="48"/>
      <c r="AD30" s="49"/>
      <c r="AE30" s="47"/>
      <c r="AF30" s="48"/>
      <c r="AG30" s="49"/>
      <c r="AH30" s="50" t="str">
        <f t="shared" si="0"/>
        <v/>
      </c>
    </row>
    <row r="31" spans="1:34" ht="15.95" customHeight="1">
      <c r="A31" s="46">
        <v>25</v>
      </c>
      <c r="B31" s="63" t="str">
        <f>IF('(1).Classes'!B31="","",'(1).Classes'!B31)</f>
        <v/>
      </c>
      <c r="C31" s="62" t="str">
        <f>IF('(1).Classes'!C31="","",'(1).Classes'!C31)</f>
        <v/>
      </c>
      <c r="D31" s="47"/>
      <c r="E31" s="48"/>
      <c r="F31" s="49"/>
      <c r="G31" s="47"/>
      <c r="H31" s="48"/>
      <c r="I31" s="49"/>
      <c r="J31" s="47"/>
      <c r="K31" s="48"/>
      <c r="L31" s="49"/>
      <c r="M31" s="47"/>
      <c r="N31" s="48"/>
      <c r="O31" s="49"/>
      <c r="P31" s="47"/>
      <c r="Q31" s="48"/>
      <c r="R31" s="49"/>
      <c r="S31" s="47"/>
      <c r="T31" s="48"/>
      <c r="U31" s="49"/>
      <c r="V31" s="47"/>
      <c r="W31" s="48"/>
      <c r="X31" s="49"/>
      <c r="Y31" s="47"/>
      <c r="Z31" s="48"/>
      <c r="AA31" s="49"/>
      <c r="AB31" s="47"/>
      <c r="AC31" s="48"/>
      <c r="AD31" s="49"/>
      <c r="AE31" s="47"/>
      <c r="AF31" s="48"/>
      <c r="AG31" s="49"/>
      <c r="AH31" s="50" t="str">
        <f t="shared" si="0"/>
        <v/>
      </c>
    </row>
    <row r="32" spans="1:34" ht="15.95" customHeight="1">
      <c r="A32" s="46">
        <v>26</v>
      </c>
      <c r="B32" s="63" t="str">
        <f>IF('(1).Classes'!B32="","",'(1).Classes'!B32)</f>
        <v/>
      </c>
      <c r="C32" s="62" t="str">
        <f>IF('(1).Classes'!C32="","",'(1).Classes'!C32)</f>
        <v/>
      </c>
      <c r="D32" s="47"/>
      <c r="E32" s="48"/>
      <c r="F32" s="49"/>
      <c r="G32" s="47"/>
      <c r="H32" s="48"/>
      <c r="I32" s="49"/>
      <c r="J32" s="47"/>
      <c r="K32" s="48"/>
      <c r="L32" s="49"/>
      <c r="M32" s="47"/>
      <c r="N32" s="48"/>
      <c r="O32" s="49"/>
      <c r="P32" s="47"/>
      <c r="Q32" s="48"/>
      <c r="R32" s="49"/>
      <c r="S32" s="47"/>
      <c r="T32" s="48"/>
      <c r="U32" s="49"/>
      <c r="V32" s="47"/>
      <c r="W32" s="48"/>
      <c r="X32" s="49"/>
      <c r="Y32" s="47"/>
      <c r="Z32" s="48"/>
      <c r="AA32" s="49"/>
      <c r="AB32" s="47"/>
      <c r="AC32" s="48"/>
      <c r="AD32" s="49"/>
      <c r="AE32" s="47"/>
      <c r="AF32" s="48"/>
      <c r="AG32" s="49"/>
      <c r="AH32" s="50" t="str">
        <f t="shared" si="0"/>
        <v/>
      </c>
    </row>
    <row r="33" spans="1:34" ht="15.95" customHeight="1">
      <c r="A33" s="46">
        <v>27</v>
      </c>
      <c r="B33" s="63" t="str">
        <f>IF('(1).Classes'!B33="","",'(1).Classes'!B33)</f>
        <v/>
      </c>
      <c r="C33" s="62" t="str">
        <f>IF('(1).Classes'!C33="","",'(1).Classes'!C33)</f>
        <v/>
      </c>
      <c r="D33" s="47"/>
      <c r="E33" s="48"/>
      <c r="F33" s="49"/>
      <c r="G33" s="47"/>
      <c r="H33" s="48"/>
      <c r="I33" s="49"/>
      <c r="J33" s="47"/>
      <c r="K33" s="48"/>
      <c r="L33" s="49"/>
      <c r="M33" s="47"/>
      <c r="N33" s="48"/>
      <c r="O33" s="49"/>
      <c r="P33" s="47"/>
      <c r="Q33" s="48"/>
      <c r="R33" s="49"/>
      <c r="S33" s="47"/>
      <c r="T33" s="48"/>
      <c r="U33" s="49"/>
      <c r="V33" s="47"/>
      <c r="W33" s="48"/>
      <c r="X33" s="49"/>
      <c r="Y33" s="47"/>
      <c r="Z33" s="48"/>
      <c r="AA33" s="49"/>
      <c r="AB33" s="47"/>
      <c r="AC33" s="48"/>
      <c r="AD33" s="49"/>
      <c r="AE33" s="47"/>
      <c r="AF33" s="48"/>
      <c r="AG33" s="49"/>
      <c r="AH33" s="50" t="str">
        <f t="shared" si="0"/>
        <v/>
      </c>
    </row>
    <row r="34" spans="1:34" ht="15.95" customHeight="1">
      <c r="A34" s="46">
        <v>28</v>
      </c>
      <c r="B34" s="63" t="str">
        <f>IF('(1).Classes'!B34="","",'(1).Classes'!B34)</f>
        <v/>
      </c>
      <c r="C34" s="62" t="str">
        <f>IF('(1).Classes'!C34="","",'(1).Classes'!C34)</f>
        <v/>
      </c>
      <c r="D34" s="47"/>
      <c r="E34" s="48"/>
      <c r="F34" s="49"/>
      <c r="G34" s="47"/>
      <c r="H34" s="48"/>
      <c r="I34" s="49"/>
      <c r="J34" s="47"/>
      <c r="K34" s="48"/>
      <c r="L34" s="49"/>
      <c r="M34" s="47"/>
      <c r="N34" s="48"/>
      <c r="O34" s="49"/>
      <c r="P34" s="47"/>
      <c r="Q34" s="48"/>
      <c r="R34" s="49"/>
      <c r="S34" s="47"/>
      <c r="T34" s="48"/>
      <c r="U34" s="49"/>
      <c r="V34" s="47"/>
      <c r="W34" s="48"/>
      <c r="X34" s="49"/>
      <c r="Y34" s="47"/>
      <c r="Z34" s="48"/>
      <c r="AA34" s="49"/>
      <c r="AB34" s="47"/>
      <c r="AC34" s="48"/>
      <c r="AD34" s="49"/>
      <c r="AE34" s="47"/>
      <c r="AF34" s="48"/>
      <c r="AG34" s="49"/>
      <c r="AH34" s="50" t="str">
        <f t="shared" si="0"/>
        <v/>
      </c>
    </row>
    <row r="35" spans="1:34" ht="15.95" customHeight="1">
      <c r="A35" s="46">
        <v>29</v>
      </c>
      <c r="B35" s="63" t="str">
        <f>IF('(1).Classes'!B35="","",'(1).Classes'!B35)</f>
        <v/>
      </c>
      <c r="C35" s="62" t="str">
        <f>IF('(1).Classes'!C35="","",'(1).Classes'!C35)</f>
        <v/>
      </c>
      <c r="D35" s="47"/>
      <c r="E35" s="48"/>
      <c r="F35" s="49"/>
      <c r="G35" s="47"/>
      <c r="H35" s="48"/>
      <c r="I35" s="49"/>
      <c r="J35" s="47"/>
      <c r="K35" s="48"/>
      <c r="L35" s="49"/>
      <c r="M35" s="47"/>
      <c r="N35" s="48"/>
      <c r="O35" s="49"/>
      <c r="P35" s="47"/>
      <c r="Q35" s="48"/>
      <c r="R35" s="49"/>
      <c r="S35" s="47"/>
      <c r="T35" s="48"/>
      <c r="U35" s="49"/>
      <c r="V35" s="47"/>
      <c r="W35" s="48"/>
      <c r="X35" s="49"/>
      <c r="Y35" s="47"/>
      <c r="Z35" s="48"/>
      <c r="AA35" s="49"/>
      <c r="AB35" s="47"/>
      <c r="AC35" s="48"/>
      <c r="AD35" s="49"/>
      <c r="AE35" s="47"/>
      <c r="AF35" s="48"/>
      <c r="AG35" s="49"/>
      <c r="AH35" s="50" t="str">
        <f t="shared" si="0"/>
        <v/>
      </c>
    </row>
    <row r="36" spans="1:34" ht="15.95" customHeight="1">
      <c r="A36" s="46">
        <v>30</v>
      </c>
      <c r="B36" s="63" t="str">
        <f>IF('(1).Classes'!B36="","",'(1).Classes'!B36)</f>
        <v/>
      </c>
      <c r="C36" s="62" t="str">
        <f>IF('(1).Classes'!C36="","",'(1).Classes'!C36)</f>
        <v/>
      </c>
      <c r="D36" s="47"/>
      <c r="E36" s="48"/>
      <c r="F36" s="49"/>
      <c r="G36" s="47"/>
      <c r="H36" s="48"/>
      <c r="I36" s="49"/>
      <c r="J36" s="47"/>
      <c r="K36" s="48"/>
      <c r="L36" s="49"/>
      <c r="M36" s="47"/>
      <c r="N36" s="48"/>
      <c r="O36" s="49"/>
      <c r="P36" s="47"/>
      <c r="Q36" s="48"/>
      <c r="R36" s="49"/>
      <c r="S36" s="47"/>
      <c r="T36" s="48"/>
      <c r="U36" s="49"/>
      <c r="V36" s="47"/>
      <c r="W36" s="48"/>
      <c r="X36" s="49"/>
      <c r="Y36" s="47"/>
      <c r="Z36" s="48"/>
      <c r="AA36" s="49"/>
      <c r="AB36" s="47"/>
      <c r="AC36" s="48"/>
      <c r="AD36" s="49"/>
      <c r="AE36" s="47"/>
      <c r="AF36" s="48"/>
      <c r="AG36" s="49"/>
      <c r="AH36" s="50" t="str">
        <f t="shared" si="0"/>
        <v/>
      </c>
    </row>
    <row r="37" spans="1:34" ht="15.95" customHeight="1">
      <c r="A37" s="18" t="s">
        <v>0</v>
      </c>
      <c r="B37" s="19">
        <f>'(1).Classes'!F1</f>
        <v>0</v>
      </c>
      <c r="C37" s="60"/>
      <c r="D37" s="222" t="s">
        <v>90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</row>
    <row r="38" spans="1:34" ht="15.95" customHeight="1">
      <c r="A38" s="18" t="s">
        <v>1</v>
      </c>
      <c r="B38" s="19">
        <f>'(1).Classes'!F2</f>
        <v>0</v>
      </c>
      <c r="C38" s="60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</row>
    <row r="39" spans="1:34" ht="15.95" customHeight="1">
      <c r="A39" s="18" t="s">
        <v>2</v>
      </c>
      <c r="B39" s="19">
        <f>'(1).Classes'!F3</f>
        <v>0</v>
      </c>
      <c r="C39" s="60"/>
      <c r="D39" s="223" t="str">
        <f>D3</f>
        <v>FEBRUARY - JULY 2026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</row>
    <row r="40" spans="1:34" ht="15.95" customHeight="1">
      <c r="A40" s="18" t="s">
        <v>3</v>
      </c>
      <c r="B40" s="19">
        <f>'(1).Classes'!F4</f>
        <v>0</v>
      </c>
      <c r="C40" s="60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</row>
    <row r="41" spans="1:34" ht="15.95" customHeight="1">
      <c r="A41" s="18" t="s">
        <v>4</v>
      </c>
      <c r="B41" s="19">
        <f>'(1).Classes'!F5</f>
        <v>0</v>
      </c>
      <c r="C41" s="61"/>
      <c r="D41" s="220" t="str">
        <f>IF(OR($B38="K5",$B38="K6",$B38="K7",$B38="K8",$B38="K9",$B38="K10"),"Listening","Up-Low C")</f>
        <v>Up-Low C</v>
      </c>
      <c r="E41" s="220"/>
      <c r="F41" s="220"/>
      <c r="G41" s="220" t="str">
        <f>IF(OR($B38="K5",$B38="K6",$B38="K7",$B38="K8",$B38="K9",$B38="K10"),"Speaking","Alphabet N")</f>
        <v>Alphabet N</v>
      </c>
      <c r="H41" s="220"/>
      <c r="I41" s="220"/>
      <c r="J41" s="220" t="str">
        <f>IF(OR($B38="K5",$B38="K6",$B38="K7",$B38="K8",$B38="K9",$B38="K10"),"Reading","Alphabet S")</f>
        <v>Alphabet S</v>
      </c>
      <c r="K41" s="220"/>
      <c r="L41" s="220"/>
      <c r="M41" s="220" t="str">
        <f>IF(OR($B38="K5",$B38="K6",$B38="K7",$B38="K8",$B38="K9",$B38="K10"),"Writing","Vocabulary")</f>
        <v>Vocabulary</v>
      </c>
      <c r="N41" s="220"/>
      <c r="O41" s="220"/>
      <c r="P41" s="220" t="str">
        <f>IF(OR($B38="K5",$B38="K6",$B38="K7",$B38="K8",$B38="K9",$B38="K10"),"Gram/Vocab","Sprouts")</f>
        <v>Sprouts</v>
      </c>
      <c r="Q41" s="220"/>
      <c r="R41" s="220"/>
      <c r="S41" s="220" t="str">
        <f>IF(OR($B38="K5",$B38="K6",$B38="K7",$B38="K8",$B38="K9",$B38="K10"),"Roots","Phonics")</f>
        <v>Phonics</v>
      </c>
      <c r="T41" s="220"/>
      <c r="U41" s="220"/>
      <c r="V41" s="220" t="str">
        <f>IF(OR($B38="K5",$B38="K6",$B38="K7",$B38="K8",$B38="K9",$B38="K10"),"Phonics","Math")</f>
        <v>Math</v>
      </c>
      <c r="W41" s="220"/>
      <c r="X41" s="220"/>
      <c r="Y41" s="220" t="str">
        <f>IF(OR($B38="K5",$B38="K6",$B38="K7",$B38="K8",$B38="K9",$B38="K10"),"Math","Shape")</f>
        <v>Shape</v>
      </c>
      <c r="Z41" s="220"/>
      <c r="AA41" s="220"/>
      <c r="AB41" s="220" t="s">
        <v>10</v>
      </c>
      <c r="AC41" s="220"/>
      <c r="AD41" s="220"/>
      <c r="AE41" s="220" t="str">
        <f>IF(OR($B38="K5",$B38="K6",$B38="K7",$B38="K8",$B38="K9",$B38="K10"),"Homework","Tracing")</f>
        <v>Tracing</v>
      </c>
      <c r="AF41" s="220"/>
      <c r="AG41" s="220"/>
      <c r="AH41" s="90" t="s">
        <v>11</v>
      </c>
    </row>
    <row r="42" spans="1:34" ht="15.95" customHeight="1" thickBot="1">
      <c r="A42" s="73" t="s">
        <v>5</v>
      </c>
      <c r="B42" s="74" t="s">
        <v>6</v>
      </c>
      <c r="C42" s="75" t="s">
        <v>7</v>
      </c>
      <c r="D42" s="221" t="s">
        <v>9</v>
      </c>
      <c r="E42" s="221"/>
      <c r="F42" s="221"/>
      <c r="G42" s="221" t="s">
        <v>9</v>
      </c>
      <c r="H42" s="221"/>
      <c r="I42" s="221"/>
      <c r="J42" s="221" t="s">
        <v>9</v>
      </c>
      <c r="K42" s="221"/>
      <c r="L42" s="221"/>
      <c r="M42" s="221" t="s">
        <v>9</v>
      </c>
      <c r="N42" s="221"/>
      <c r="O42" s="221"/>
      <c r="P42" s="221" t="s">
        <v>9</v>
      </c>
      <c r="Q42" s="221"/>
      <c r="R42" s="221"/>
      <c r="S42" s="221" t="s">
        <v>9</v>
      </c>
      <c r="T42" s="221"/>
      <c r="U42" s="221"/>
      <c r="V42" s="221" t="s">
        <v>9</v>
      </c>
      <c r="W42" s="221"/>
      <c r="X42" s="221"/>
      <c r="Y42" s="221" t="s">
        <v>9</v>
      </c>
      <c r="Z42" s="221"/>
      <c r="AA42" s="221"/>
      <c r="AB42" s="221" t="s">
        <v>9</v>
      </c>
      <c r="AC42" s="221"/>
      <c r="AD42" s="221"/>
      <c r="AE42" s="221" t="s">
        <v>9</v>
      </c>
      <c r="AF42" s="221"/>
      <c r="AG42" s="221"/>
      <c r="AH42" s="77" t="s">
        <v>12</v>
      </c>
    </row>
    <row r="43" spans="1:34" ht="15.95" customHeight="1">
      <c r="A43" s="46">
        <v>1</v>
      </c>
      <c r="B43" s="63" t="str">
        <f>IF('(1).Classes'!F7="","",'(1).Classes'!F7)</f>
        <v/>
      </c>
      <c r="C43" s="62" t="str">
        <f>IF('(1).Classes'!G7="","",'(1).Classes'!G7)</f>
        <v/>
      </c>
      <c r="D43" s="69"/>
      <c r="E43" s="70"/>
      <c r="F43" s="71"/>
      <c r="G43" s="69"/>
      <c r="H43" s="70"/>
      <c r="I43" s="71"/>
      <c r="J43" s="69"/>
      <c r="K43" s="70"/>
      <c r="L43" s="71"/>
      <c r="M43" s="69"/>
      <c r="N43" s="70"/>
      <c r="O43" s="71"/>
      <c r="P43" s="69"/>
      <c r="Q43" s="70"/>
      <c r="R43" s="71"/>
      <c r="S43" s="69"/>
      <c r="T43" s="70"/>
      <c r="U43" s="71"/>
      <c r="V43" s="69"/>
      <c r="W43" s="70"/>
      <c r="X43" s="71"/>
      <c r="Y43" s="69"/>
      <c r="Z43" s="70"/>
      <c r="AA43" s="71"/>
      <c r="AB43" s="69"/>
      <c r="AC43" s="70"/>
      <c r="AD43" s="71"/>
      <c r="AE43" s="69"/>
      <c r="AF43" s="70"/>
      <c r="AG43" s="71"/>
      <c r="AH43" s="72" t="str">
        <f>IF(B43="","",IF(COUNT(D43:F43)=0,"Incomplete",IF(COUNT(G43:I43)=0,"Incomplete",IF(COUNT(J43:L43)=0,"Incomplete",IF(COUNT(M43:O43)=0,"Incomplete",IF(COUNT(P43:R43)=0,"Incomplete",IF(COUNT(S43:U43)=0,"Incomplete",IF(COUNT(V43:X43)=0,"Incomplete",IF(COUNT(Y43:AA43)=0,"Incomplete",IF(COUNT(AB43:AD43)=0,"Incomplete",IF(COUNT(AE43:AG43)=0,"Incomplete",AVERAGEIF(D43:F43,"&gt;=0")+AVERAGEIF(G43:I43,"&gt;=0")+AVERAGEIF(J43:L43,"&gt;=0")+AVERAGEIF(M43:O43,"&gt;=0")+AVERAGEIF(P43:R43,"&gt;=0")+AVERAGEIF(S43:U43,"&gt;=0")+AVERAGEIF(V43:X43,"&gt;=0")+AVERAGEIF(Y43:AA43,"&gt;=0")+AVERAGEIF(AB43:AD43,"&gt;=0")+AVERAGEIF(AE43:AG43,"&gt;=0"))))))))))))</f>
        <v/>
      </c>
    </row>
    <row r="44" spans="1:34" ht="15.95" customHeight="1">
      <c r="A44" s="46">
        <v>2</v>
      </c>
      <c r="B44" s="63" t="str">
        <f>IF('(1).Classes'!F8="","",'(1).Classes'!F8)</f>
        <v/>
      </c>
      <c r="C44" s="62" t="str">
        <f>IF('(1).Classes'!G8="","",'(1).Classes'!G8)</f>
        <v/>
      </c>
      <c r="D44" s="47"/>
      <c r="E44" s="48"/>
      <c r="F44" s="49"/>
      <c r="G44" s="47"/>
      <c r="H44" s="48"/>
      <c r="I44" s="49"/>
      <c r="J44" s="47"/>
      <c r="K44" s="48"/>
      <c r="L44" s="49"/>
      <c r="M44" s="47"/>
      <c r="N44" s="48"/>
      <c r="O44" s="49"/>
      <c r="P44" s="47"/>
      <c r="Q44" s="48"/>
      <c r="R44" s="49"/>
      <c r="S44" s="47"/>
      <c r="T44" s="48"/>
      <c r="U44" s="49"/>
      <c r="V44" s="47"/>
      <c r="W44" s="48"/>
      <c r="X44" s="49"/>
      <c r="Y44" s="47"/>
      <c r="Z44" s="48"/>
      <c r="AA44" s="49"/>
      <c r="AB44" s="47"/>
      <c r="AC44" s="48"/>
      <c r="AD44" s="49"/>
      <c r="AE44" s="47"/>
      <c r="AF44" s="48"/>
      <c r="AG44" s="49"/>
      <c r="AH44" s="50" t="str">
        <f t="shared" ref="AH44:AH72" si="1">IF(B44="","",IF(COUNT(D44:F44)=0,"Incomplete",IF(COUNT(G44:I44)=0,"Incomplete",IF(COUNT(J44:L44)=0,"Incomplete",IF(COUNT(M44:O44)=0,"Incomplete",IF(COUNT(P44:R44)=0,"Incomplete",IF(COUNT(S44:U44)=0,"Incomplete",IF(COUNT(V44:X44)=0,"Incomplete",IF(COUNT(Y44:AA44)=0,"Incomplete",IF(COUNT(AB44:AD44)=0,"Incomplete",IF(COUNT(AE44:AG44)=0,"Incomplete",AVERAGEIF(D44:F44,"&gt;=0")+AVERAGEIF(G44:I44,"&gt;=0")+AVERAGEIF(J44:L44,"&gt;=0")+AVERAGEIF(M44:O44,"&gt;=0")+AVERAGEIF(P44:R44,"&gt;=0")+AVERAGEIF(S44:U44,"&gt;=0")+AVERAGEIF(V44:X44,"&gt;=0")+AVERAGEIF(Y44:AA44,"&gt;=0")+AVERAGEIF(AB44:AD44,"&gt;=0")+AVERAGEIF(AE44:AG44,"&gt;=0"))))))))))))</f>
        <v/>
      </c>
    </row>
    <row r="45" spans="1:34" ht="15.95" customHeight="1">
      <c r="A45" s="46">
        <v>3</v>
      </c>
      <c r="B45" s="63" t="str">
        <f>IF('(1).Classes'!F9="","",'(1).Classes'!F9)</f>
        <v/>
      </c>
      <c r="C45" s="62" t="str">
        <f>IF('(1).Classes'!G9="","",'(1).Classes'!G9)</f>
        <v/>
      </c>
      <c r="D45" s="47"/>
      <c r="E45" s="48"/>
      <c r="F45" s="49"/>
      <c r="G45" s="47"/>
      <c r="H45" s="48"/>
      <c r="I45" s="49"/>
      <c r="J45" s="47"/>
      <c r="K45" s="48"/>
      <c r="L45" s="49"/>
      <c r="M45" s="47"/>
      <c r="N45" s="48"/>
      <c r="O45" s="49"/>
      <c r="P45" s="47"/>
      <c r="Q45" s="48"/>
      <c r="R45" s="49"/>
      <c r="S45" s="47"/>
      <c r="T45" s="48"/>
      <c r="U45" s="49"/>
      <c r="V45" s="47"/>
      <c r="W45" s="48"/>
      <c r="X45" s="49"/>
      <c r="Y45" s="47"/>
      <c r="Z45" s="48"/>
      <c r="AA45" s="49"/>
      <c r="AB45" s="47"/>
      <c r="AC45" s="48"/>
      <c r="AD45" s="49"/>
      <c r="AE45" s="47"/>
      <c r="AF45" s="48"/>
      <c r="AG45" s="49"/>
      <c r="AH45" s="50" t="str">
        <f t="shared" si="1"/>
        <v/>
      </c>
    </row>
    <row r="46" spans="1:34" ht="15.95" customHeight="1">
      <c r="A46" s="46">
        <v>4</v>
      </c>
      <c r="B46" s="63" t="str">
        <f>IF('(1).Classes'!F10="","",'(1).Classes'!F10)</f>
        <v/>
      </c>
      <c r="C46" s="62" t="str">
        <f>IF('(1).Classes'!G10="","",'(1).Classes'!G10)</f>
        <v/>
      </c>
      <c r="D46" s="47"/>
      <c r="E46" s="48"/>
      <c r="F46" s="49"/>
      <c r="G46" s="47"/>
      <c r="H46" s="48"/>
      <c r="I46" s="49"/>
      <c r="J46" s="47"/>
      <c r="K46" s="48"/>
      <c r="L46" s="49"/>
      <c r="M46" s="47"/>
      <c r="N46" s="48"/>
      <c r="O46" s="49"/>
      <c r="P46" s="47"/>
      <c r="Q46" s="48"/>
      <c r="R46" s="49"/>
      <c r="S46" s="47"/>
      <c r="T46" s="48"/>
      <c r="U46" s="49"/>
      <c r="V46" s="47"/>
      <c r="W46" s="48"/>
      <c r="X46" s="49"/>
      <c r="Y46" s="47"/>
      <c r="Z46" s="48"/>
      <c r="AA46" s="49"/>
      <c r="AB46" s="47"/>
      <c r="AC46" s="48"/>
      <c r="AD46" s="49"/>
      <c r="AE46" s="47"/>
      <c r="AF46" s="48"/>
      <c r="AG46" s="49"/>
      <c r="AH46" s="50" t="str">
        <f t="shared" si="1"/>
        <v/>
      </c>
    </row>
    <row r="47" spans="1:34" ht="15.95" customHeight="1">
      <c r="A47" s="46">
        <v>5</v>
      </c>
      <c r="B47" s="63" t="str">
        <f>IF('(1).Classes'!F11="","",'(1).Classes'!F11)</f>
        <v/>
      </c>
      <c r="C47" s="62" t="str">
        <f>IF('(1).Classes'!G11="","",'(1).Classes'!G11)</f>
        <v/>
      </c>
      <c r="D47" s="47"/>
      <c r="E47" s="48"/>
      <c r="F47" s="49"/>
      <c r="G47" s="47"/>
      <c r="H47" s="48"/>
      <c r="I47" s="49"/>
      <c r="J47" s="47"/>
      <c r="K47" s="48"/>
      <c r="L47" s="49"/>
      <c r="M47" s="47"/>
      <c r="N47" s="48"/>
      <c r="O47" s="49"/>
      <c r="P47" s="47"/>
      <c r="Q47" s="48"/>
      <c r="R47" s="49"/>
      <c r="S47" s="47"/>
      <c r="T47" s="48"/>
      <c r="U47" s="49"/>
      <c r="V47" s="47"/>
      <c r="W47" s="48"/>
      <c r="X47" s="49"/>
      <c r="Y47" s="47"/>
      <c r="Z47" s="48"/>
      <c r="AA47" s="49"/>
      <c r="AB47" s="47"/>
      <c r="AC47" s="48"/>
      <c r="AD47" s="49"/>
      <c r="AE47" s="47"/>
      <c r="AF47" s="48"/>
      <c r="AG47" s="49"/>
      <c r="AH47" s="50" t="str">
        <f t="shared" si="1"/>
        <v/>
      </c>
    </row>
    <row r="48" spans="1:34" ht="15.95" customHeight="1">
      <c r="A48" s="46">
        <v>6</v>
      </c>
      <c r="B48" s="63" t="str">
        <f>IF('(1).Classes'!F12="","",'(1).Classes'!F12)</f>
        <v/>
      </c>
      <c r="C48" s="62" t="str">
        <f>IF('(1).Classes'!G12="","",'(1).Classes'!G12)</f>
        <v/>
      </c>
      <c r="D48" s="47"/>
      <c r="E48" s="48"/>
      <c r="F48" s="49"/>
      <c r="G48" s="47"/>
      <c r="H48" s="48"/>
      <c r="I48" s="49"/>
      <c r="J48" s="47"/>
      <c r="K48" s="48"/>
      <c r="L48" s="49"/>
      <c r="M48" s="47"/>
      <c r="N48" s="48"/>
      <c r="O48" s="49"/>
      <c r="P48" s="47"/>
      <c r="Q48" s="48"/>
      <c r="R48" s="49"/>
      <c r="S48" s="47"/>
      <c r="T48" s="48"/>
      <c r="U48" s="49"/>
      <c r="V48" s="47"/>
      <c r="W48" s="48"/>
      <c r="X48" s="49"/>
      <c r="Y48" s="47"/>
      <c r="Z48" s="48"/>
      <c r="AA48" s="49"/>
      <c r="AB48" s="47"/>
      <c r="AC48" s="48"/>
      <c r="AD48" s="49"/>
      <c r="AE48" s="47"/>
      <c r="AF48" s="48"/>
      <c r="AG48" s="49"/>
      <c r="AH48" s="50" t="str">
        <f t="shared" si="1"/>
        <v/>
      </c>
    </row>
    <row r="49" spans="1:34" ht="15.95" customHeight="1">
      <c r="A49" s="46">
        <v>7</v>
      </c>
      <c r="B49" s="63" t="str">
        <f>IF('(1).Classes'!F13="","",'(1).Classes'!F13)</f>
        <v/>
      </c>
      <c r="C49" s="62" t="str">
        <f>IF('(1).Classes'!G13="","",'(1).Classes'!G13)</f>
        <v/>
      </c>
      <c r="D49" s="47"/>
      <c r="E49" s="48"/>
      <c r="F49" s="49"/>
      <c r="G49" s="47"/>
      <c r="H49" s="48"/>
      <c r="I49" s="49"/>
      <c r="J49" s="47"/>
      <c r="K49" s="48"/>
      <c r="L49" s="49"/>
      <c r="M49" s="47"/>
      <c r="N49" s="48"/>
      <c r="O49" s="49"/>
      <c r="P49" s="47"/>
      <c r="Q49" s="48"/>
      <c r="R49" s="49"/>
      <c r="S49" s="47"/>
      <c r="T49" s="48"/>
      <c r="U49" s="49"/>
      <c r="V49" s="47"/>
      <c r="W49" s="48"/>
      <c r="X49" s="49"/>
      <c r="Y49" s="47"/>
      <c r="Z49" s="48"/>
      <c r="AA49" s="49"/>
      <c r="AB49" s="47"/>
      <c r="AC49" s="48"/>
      <c r="AD49" s="49"/>
      <c r="AE49" s="47"/>
      <c r="AF49" s="48"/>
      <c r="AG49" s="49"/>
      <c r="AH49" s="50" t="str">
        <f t="shared" si="1"/>
        <v/>
      </c>
    </row>
    <row r="50" spans="1:34" ht="15.95" customHeight="1">
      <c r="A50" s="46">
        <v>8</v>
      </c>
      <c r="B50" s="63" t="str">
        <f>IF('(1).Classes'!F14="","",'(1).Classes'!F14)</f>
        <v/>
      </c>
      <c r="C50" s="62" t="str">
        <f>IF('(1).Classes'!G14="","",'(1).Classes'!G14)</f>
        <v/>
      </c>
      <c r="D50" s="47"/>
      <c r="E50" s="48"/>
      <c r="F50" s="49"/>
      <c r="G50" s="47"/>
      <c r="H50" s="48"/>
      <c r="I50" s="49"/>
      <c r="J50" s="47"/>
      <c r="K50" s="48"/>
      <c r="L50" s="49"/>
      <c r="M50" s="47"/>
      <c r="N50" s="48"/>
      <c r="O50" s="49"/>
      <c r="P50" s="47"/>
      <c r="Q50" s="48"/>
      <c r="R50" s="49"/>
      <c r="S50" s="47"/>
      <c r="T50" s="48"/>
      <c r="U50" s="49"/>
      <c r="V50" s="47"/>
      <c r="W50" s="48"/>
      <c r="X50" s="49"/>
      <c r="Y50" s="47"/>
      <c r="Z50" s="48"/>
      <c r="AA50" s="49"/>
      <c r="AB50" s="47"/>
      <c r="AC50" s="48"/>
      <c r="AD50" s="49"/>
      <c r="AE50" s="47"/>
      <c r="AF50" s="48"/>
      <c r="AG50" s="49"/>
      <c r="AH50" s="50" t="str">
        <f t="shared" si="1"/>
        <v/>
      </c>
    </row>
    <row r="51" spans="1:34" ht="15.95" customHeight="1">
      <c r="A51" s="46">
        <v>9</v>
      </c>
      <c r="B51" s="63" t="str">
        <f>IF('(1).Classes'!F15="","",'(1).Classes'!F15)</f>
        <v/>
      </c>
      <c r="C51" s="62" t="str">
        <f>IF('(1).Classes'!G15="","",'(1).Classes'!G15)</f>
        <v/>
      </c>
      <c r="D51" s="47"/>
      <c r="E51" s="48"/>
      <c r="F51" s="49"/>
      <c r="G51" s="47"/>
      <c r="H51" s="48"/>
      <c r="I51" s="49"/>
      <c r="J51" s="47"/>
      <c r="K51" s="48"/>
      <c r="L51" s="49"/>
      <c r="M51" s="47"/>
      <c r="N51" s="48"/>
      <c r="O51" s="49"/>
      <c r="P51" s="47"/>
      <c r="Q51" s="48"/>
      <c r="R51" s="49"/>
      <c r="S51" s="47"/>
      <c r="T51" s="48"/>
      <c r="U51" s="49"/>
      <c r="V51" s="47"/>
      <c r="W51" s="48"/>
      <c r="X51" s="49"/>
      <c r="Y51" s="47"/>
      <c r="Z51" s="48"/>
      <c r="AA51" s="49"/>
      <c r="AB51" s="47"/>
      <c r="AC51" s="48"/>
      <c r="AD51" s="49"/>
      <c r="AE51" s="47"/>
      <c r="AF51" s="48"/>
      <c r="AG51" s="49"/>
      <c r="AH51" s="50" t="str">
        <f t="shared" si="1"/>
        <v/>
      </c>
    </row>
    <row r="52" spans="1:34" ht="15.95" customHeight="1">
      <c r="A52" s="46">
        <v>10</v>
      </c>
      <c r="B52" s="63" t="str">
        <f>IF('(1).Classes'!F16="","",'(1).Classes'!F16)</f>
        <v/>
      </c>
      <c r="C52" s="62" t="str">
        <f>IF('(1).Classes'!G16="","",'(1).Classes'!G16)</f>
        <v/>
      </c>
      <c r="D52" s="47"/>
      <c r="E52" s="48"/>
      <c r="F52" s="49"/>
      <c r="G52" s="47"/>
      <c r="H52" s="48"/>
      <c r="I52" s="49"/>
      <c r="J52" s="47"/>
      <c r="K52" s="48"/>
      <c r="L52" s="49"/>
      <c r="M52" s="47"/>
      <c r="N52" s="48"/>
      <c r="O52" s="49"/>
      <c r="P52" s="47"/>
      <c r="Q52" s="48"/>
      <c r="R52" s="49"/>
      <c r="S52" s="47"/>
      <c r="T52" s="48"/>
      <c r="U52" s="49"/>
      <c r="V52" s="47"/>
      <c r="W52" s="48"/>
      <c r="X52" s="49"/>
      <c r="Y52" s="47"/>
      <c r="Z52" s="48"/>
      <c r="AA52" s="49"/>
      <c r="AB52" s="47"/>
      <c r="AC52" s="48"/>
      <c r="AD52" s="49"/>
      <c r="AE52" s="47"/>
      <c r="AF52" s="48"/>
      <c r="AG52" s="49"/>
      <c r="AH52" s="50" t="str">
        <f t="shared" si="1"/>
        <v/>
      </c>
    </row>
    <row r="53" spans="1:34" ht="15.95" customHeight="1">
      <c r="A53" s="46">
        <v>11</v>
      </c>
      <c r="B53" s="63" t="str">
        <f>IF('(1).Classes'!F17="","",'(1).Classes'!F17)</f>
        <v/>
      </c>
      <c r="C53" s="62" t="str">
        <f>IF('(1).Classes'!G17="","",'(1).Classes'!G17)</f>
        <v/>
      </c>
      <c r="D53" s="47"/>
      <c r="E53" s="48"/>
      <c r="F53" s="49"/>
      <c r="G53" s="47"/>
      <c r="H53" s="48"/>
      <c r="I53" s="49"/>
      <c r="J53" s="47"/>
      <c r="K53" s="48"/>
      <c r="L53" s="49"/>
      <c r="M53" s="47"/>
      <c r="N53" s="48"/>
      <c r="O53" s="49"/>
      <c r="P53" s="47"/>
      <c r="Q53" s="48"/>
      <c r="R53" s="49"/>
      <c r="S53" s="47"/>
      <c r="T53" s="48"/>
      <c r="U53" s="49"/>
      <c r="V53" s="47"/>
      <c r="W53" s="48"/>
      <c r="X53" s="49"/>
      <c r="Y53" s="47"/>
      <c r="Z53" s="48"/>
      <c r="AA53" s="49"/>
      <c r="AB53" s="47"/>
      <c r="AC53" s="48"/>
      <c r="AD53" s="49"/>
      <c r="AE53" s="47"/>
      <c r="AF53" s="48"/>
      <c r="AG53" s="49"/>
      <c r="AH53" s="50" t="str">
        <f t="shared" si="1"/>
        <v/>
      </c>
    </row>
    <row r="54" spans="1:34" ht="15.95" customHeight="1">
      <c r="A54" s="46">
        <v>12</v>
      </c>
      <c r="B54" s="63" t="str">
        <f>IF('(1).Classes'!F18="","",'(1).Classes'!F18)</f>
        <v/>
      </c>
      <c r="C54" s="62" t="str">
        <f>IF('(1).Classes'!G18="","",'(1).Classes'!G18)</f>
        <v/>
      </c>
      <c r="D54" s="47"/>
      <c r="E54" s="48"/>
      <c r="F54" s="49"/>
      <c r="G54" s="47"/>
      <c r="H54" s="48"/>
      <c r="I54" s="49"/>
      <c r="J54" s="47"/>
      <c r="K54" s="48"/>
      <c r="L54" s="49"/>
      <c r="M54" s="47"/>
      <c r="N54" s="48"/>
      <c r="O54" s="49"/>
      <c r="P54" s="47"/>
      <c r="Q54" s="48"/>
      <c r="R54" s="49"/>
      <c r="S54" s="47"/>
      <c r="T54" s="48"/>
      <c r="U54" s="49"/>
      <c r="V54" s="47"/>
      <c r="W54" s="48"/>
      <c r="X54" s="49"/>
      <c r="Y54" s="47"/>
      <c r="Z54" s="48"/>
      <c r="AA54" s="49"/>
      <c r="AB54" s="47"/>
      <c r="AC54" s="48"/>
      <c r="AD54" s="49"/>
      <c r="AE54" s="47"/>
      <c r="AF54" s="48"/>
      <c r="AG54" s="49"/>
      <c r="AH54" s="50" t="str">
        <f t="shared" si="1"/>
        <v/>
      </c>
    </row>
    <row r="55" spans="1:34" ht="15.95" customHeight="1">
      <c r="A55" s="46">
        <v>13</v>
      </c>
      <c r="B55" s="63" t="str">
        <f>IF('(1).Classes'!F19="","",'(1).Classes'!F19)</f>
        <v/>
      </c>
      <c r="C55" s="62" t="str">
        <f>IF('(1).Classes'!G19="","",'(1).Classes'!G19)</f>
        <v/>
      </c>
      <c r="D55" s="47"/>
      <c r="E55" s="48"/>
      <c r="F55" s="49"/>
      <c r="G55" s="47"/>
      <c r="H55" s="48"/>
      <c r="I55" s="49"/>
      <c r="J55" s="47"/>
      <c r="K55" s="48"/>
      <c r="L55" s="49"/>
      <c r="M55" s="47"/>
      <c r="N55" s="48"/>
      <c r="O55" s="49"/>
      <c r="P55" s="47"/>
      <c r="Q55" s="48"/>
      <c r="R55" s="49"/>
      <c r="S55" s="47"/>
      <c r="T55" s="48"/>
      <c r="U55" s="49"/>
      <c r="V55" s="47"/>
      <c r="W55" s="48"/>
      <c r="X55" s="49"/>
      <c r="Y55" s="47"/>
      <c r="Z55" s="48"/>
      <c r="AA55" s="49"/>
      <c r="AB55" s="47"/>
      <c r="AC55" s="48"/>
      <c r="AD55" s="49"/>
      <c r="AE55" s="47"/>
      <c r="AF55" s="48"/>
      <c r="AG55" s="49"/>
      <c r="AH55" s="50" t="str">
        <f t="shared" si="1"/>
        <v/>
      </c>
    </row>
    <row r="56" spans="1:34" ht="15.95" customHeight="1">
      <c r="A56" s="46">
        <v>14</v>
      </c>
      <c r="B56" s="63" t="str">
        <f>IF('(1).Classes'!F20="","",'(1).Classes'!F20)</f>
        <v/>
      </c>
      <c r="C56" s="62" t="str">
        <f>IF('(1).Classes'!G20="","",'(1).Classes'!G20)</f>
        <v/>
      </c>
      <c r="D56" s="47"/>
      <c r="E56" s="48"/>
      <c r="F56" s="49"/>
      <c r="G56" s="47"/>
      <c r="H56" s="48"/>
      <c r="I56" s="49"/>
      <c r="J56" s="47"/>
      <c r="K56" s="48"/>
      <c r="L56" s="49"/>
      <c r="M56" s="47"/>
      <c r="N56" s="48"/>
      <c r="O56" s="49"/>
      <c r="P56" s="47"/>
      <c r="Q56" s="48"/>
      <c r="R56" s="49"/>
      <c r="S56" s="47"/>
      <c r="T56" s="48"/>
      <c r="U56" s="49"/>
      <c r="V56" s="47"/>
      <c r="W56" s="48"/>
      <c r="X56" s="49"/>
      <c r="Y56" s="47"/>
      <c r="Z56" s="48"/>
      <c r="AA56" s="49"/>
      <c r="AB56" s="47"/>
      <c r="AC56" s="48"/>
      <c r="AD56" s="49"/>
      <c r="AE56" s="47"/>
      <c r="AF56" s="48"/>
      <c r="AG56" s="49"/>
      <c r="AH56" s="50" t="str">
        <f t="shared" si="1"/>
        <v/>
      </c>
    </row>
    <row r="57" spans="1:34" ht="15.95" customHeight="1">
      <c r="A57" s="46">
        <v>15</v>
      </c>
      <c r="B57" s="63" t="str">
        <f>IF('(1).Classes'!F21="","",'(1).Classes'!F21)</f>
        <v/>
      </c>
      <c r="C57" s="62" t="str">
        <f>IF('(1).Classes'!G21="","",'(1).Classes'!G21)</f>
        <v/>
      </c>
      <c r="D57" s="47"/>
      <c r="E57" s="48"/>
      <c r="F57" s="49"/>
      <c r="G57" s="47"/>
      <c r="H57" s="48"/>
      <c r="I57" s="49"/>
      <c r="J57" s="47"/>
      <c r="K57" s="48"/>
      <c r="L57" s="49"/>
      <c r="M57" s="47"/>
      <c r="N57" s="48"/>
      <c r="O57" s="49"/>
      <c r="P57" s="47"/>
      <c r="Q57" s="48"/>
      <c r="R57" s="49"/>
      <c r="S57" s="47"/>
      <c r="T57" s="48"/>
      <c r="U57" s="49"/>
      <c r="V57" s="47"/>
      <c r="W57" s="48"/>
      <c r="X57" s="49"/>
      <c r="Y57" s="47"/>
      <c r="Z57" s="48"/>
      <c r="AA57" s="49"/>
      <c r="AB57" s="47"/>
      <c r="AC57" s="48"/>
      <c r="AD57" s="49"/>
      <c r="AE57" s="47"/>
      <c r="AF57" s="48"/>
      <c r="AG57" s="49"/>
      <c r="AH57" s="50" t="str">
        <f t="shared" si="1"/>
        <v/>
      </c>
    </row>
    <row r="58" spans="1:34" ht="15.95" customHeight="1">
      <c r="A58" s="46">
        <v>16</v>
      </c>
      <c r="B58" s="63" t="str">
        <f>IF('(1).Classes'!F22="","",'(1).Classes'!F22)</f>
        <v/>
      </c>
      <c r="C58" s="62" t="str">
        <f>IF('(1).Classes'!G22="","",'(1).Classes'!G22)</f>
        <v/>
      </c>
      <c r="D58" s="47"/>
      <c r="E58" s="48"/>
      <c r="F58" s="49"/>
      <c r="G58" s="47"/>
      <c r="H58" s="48"/>
      <c r="I58" s="49"/>
      <c r="J58" s="47"/>
      <c r="K58" s="48"/>
      <c r="L58" s="49"/>
      <c r="M58" s="47"/>
      <c r="N58" s="48"/>
      <c r="O58" s="49"/>
      <c r="P58" s="47"/>
      <c r="Q58" s="48"/>
      <c r="R58" s="49"/>
      <c r="S58" s="47"/>
      <c r="T58" s="48"/>
      <c r="U58" s="49"/>
      <c r="V58" s="47"/>
      <c r="W58" s="48"/>
      <c r="X58" s="49"/>
      <c r="Y58" s="47"/>
      <c r="Z58" s="48"/>
      <c r="AA58" s="49"/>
      <c r="AB58" s="47"/>
      <c r="AC58" s="48"/>
      <c r="AD58" s="49"/>
      <c r="AE58" s="47"/>
      <c r="AF58" s="48"/>
      <c r="AG58" s="49"/>
      <c r="AH58" s="50" t="str">
        <f t="shared" si="1"/>
        <v/>
      </c>
    </row>
    <row r="59" spans="1:34" ht="15.95" customHeight="1">
      <c r="A59" s="46">
        <v>17</v>
      </c>
      <c r="B59" s="63" t="str">
        <f>IF('(1).Classes'!F23="","",'(1).Classes'!F23)</f>
        <v/>
      </c>
      <c r="C59" s="62" t="str">
        <f>IF('(1).Classes'!G23="","",'(1).Classes'!G23)</f>
        <v/>
      </c>
      <c r="D59" s="47"/>
      <c r="E59" s="48"/>
      <c r="F59" s="49"/>
      <c r="G59" s="47"/>
      <c r="H59" s="48"/>
      <c r="I59" s="49"/>
      <c r="J59" s="47"/>
      <c r="K59" s="48"/>
      <c r="L59" s="49"/>
      <c r="M59" s="47"/>
      <c r="N59" s="48"/>
      <c r="O59" s="49"/>
      <c r="P59" s="47"/>
      <c r="Q59" s="48"/>
      <c r="R59" s="49"/>
      <c r="S59" s="47"/>
      <c r="T59" s="48"/>
      <c r="U59" s="49"/>
      <c r="V59" s="47"/>
      <c r="W59" s="48"/>
      <c r="X59" s="49"/>
      <c r="Y59" s="47"/>
      <c r="Z59" s="48"/>
      <c r="AA59" s="49"/>
      <c r="AB59" s="47"/>
      <c r="AC59" s="48"/>
      <c r="AD59" s="49"/>
      <c r="AE59" s="47"/>
      <c r="AF59" s="48"/>
      <c r="AG59" s="49"/>
      <c r="AH59" s="50" t="str">
        <f t="shared" si="1"/>
        <v/>
      </c>
    </row>
    <row r="60" spans="1:34" ht="15.95" customHeight="1">
      <c r="A60" s="46">
        <v>18</v>
      </c>
      <c r="B60" s="63" t="str">
        <f>IF('(1).Classes'!F24="","",'(1).Classes'!F24)</f>
        <v/>
      </c>
      <c r="C60" s="62" t="str">
        <f>IF('(1).Classes'!G24="","",'(1).Classes'!G24)</f>
        <v/>
      </c>
      <c r="D60" s="47"/>
      <c r="E60" s="48"/>
      <c r="F60" s="49"/>
      <c r="G60" s="47"/>
      <c r="H60" s="48"/>
      <c r="I60" s="49"/>
      <c r="J60" s="47"/>
      <c r="K60" s="48"/>
      <c r="L60" s="49"/>
      <c r="M60" s="47"/>
      <c r="N60" s="48"/>
      <c r="O60" s="49"/>
      <c r="P60" s="47"/>
      <c r="Q60" s="48"/>
      <c r="R60" s="49"/>
      <c r="S60" s="47"/>
      <c r="T60" s="48"/>
      <c r="U60" s="49"/>
      <c r="V60" s="47"/>
      <c r="W60" s="48"/>
      <c r="X60" s="49"/>
      <c r="Y60" s="47"/>
      <c r="Z60" s="48"/>
      <c r="AA60" s="49"/>
      <c r="AB60" s="47"/>
      <c r="AC60" s="48"/>
      <c r="AD60" s="49"/>
      <c r="AE60" s="47"/>
      <c r="AF60" s="48"/>
      <c r="AG60" s="49"/>
      <c r="AH60" s="50" t="str">
        <f t="shared" si="1"/>
        <v/>
      </c>
    </row>
    <row r="61" spans="1:34" ht="15.95" customHeight="1">
      <c r="A61" s="46">
        <v>19</v>
      </c>
      <c r="B61" s="63" t="str">
        <f>IF('(1).Classes'!F25="","",'(1).Classes'!F25)</f>
        <v/>
      </c>
      <c r="C61" s="62" t="str">
        <f>IF('(1).Classes'!G25="","",'(1).Classes'!G25)</f>
        <v/>
      </c>
      <c r="D61" s="47"/>
      <c r="E61" s="48"/>
      <c r="F61" s="49"/>
      <c r="G61" s="47"/>
      <c r="H61" s="48"/>
      <c r="I61" s="49"/>
      <c r="J61" s="47"/>
      <c r="K61" s="48"/>
      <c r="L61" s="49"/>
      <c r="M61" s="47"/>
      <c r="N61" s="48"/>
      <c r="O61" s="49"/>
      <c r="P61" s="47"/>
      <c r="Q61" s="48"/>
      <c r="R61" s="49"/>
      <c r="S61" s="47"/>
      <c r="T61" s="48"/>
      <c r="U61" s="49"/>
      <c r="V61" s="47"/>
      <c r="W61" s="48"/>
      <c r="X61" s="49"/>
      <c r="Y61" s="47"/>
      <c r="Z61" s="48"/>
      <c r="AA61" s="49"/>
      <c r="AB61" s="47"/>
      <c r="AC61" s="48"/>
      <c r="AD61" s="49"/>
      <c r="AE61" s="47"/>
      <c r="AF61" s="48"/>
      <c r="AG61" s="49"/>
      <c r="AH61" s="50" t="str">
        <f t="shared" si="1"/>
        <v/>
      </c>
    </row>
    <row r="62" spans="1:34" ht="15.95" customHeight="1">
      <c r="A62" s="46">
        <v>20</v>
      </c>
      <c r="B62" s="63" t="str">
        <f>IF('(1).Classes'!F26="","",'(1).Classes'!F26)</f>
        <v/>
      </c>
      <c r="C62" s="62" t="str">
        <f>IF('(1).Classes'!G26="","",'(1).Classes'!G26)</f>
        <v/>
      </c>
      <c r="D62" s="47"/>
      <c r="E62" s="48"/>
      <c r="F62" s="49"/>
      <c r="G62" s="47"/>
      <c r="H62" s="48"/>
      <c r="I62" s="49"/>
      <c r="J62" s="47"/>
      <c r="K62" s="48"/>
      <c r="L62" s="49"/>
      <c r="M62" s="47"/>
      <c r="N62" s="48"/>
      <c r="O62" s="49"/>
      <c r="P62" s="47"/>
      <c r="Q62" s="48"/>
      <c r="R62" s="49"/>
      <c r="S62" s="47"/>
      <c r="T62" s="48"/>
      <c r="U62" s="49"/>
      <c r="V62" s="47"/>
      <c r="W62" s="48"/>
      <c r="X62" s="49"/>
      <c r="Y62" s="47"/>
      <c r="Z62" s="48"/>
      <c r="AA62" s="49"/>
      <c r="AB62" s="47"/>
      <c r="AC62" s="48"/>
      <c r="AD62" s="49"/>
      <c r="AE62" s="47"/>
      <c r="AF62" s="48"/>
      <c r="AG62" s="49"/>
      <c r="AH62" s="50" t="str">
        <f t="shared" si="1"/>
        <v/>
      </c>
    </row>
    <row r="63" spans="1:34" ht="15.95" customHeight="1">
      <c r="A63" s="46">
        <v>21</v>
      </c>
      <c r="B63" s="63" t="str">
        <f>IF('(1).Classes'!F27="","",'(1).Classes'!F27)</f>
        <v/>
      </c>
      <c r="C63" s="62" t="str">
        <f>IF('(1).Classes'!G27="","",'(1).Classes'!G27)</f>
        <v/>
      </c>
      <c r="D63" s="47"/>
      <c r="E63" s="48"/>
      <c r="F63" s="49"/>
      <c r="G63" s="47"/>
      <c r="H63" s="48"/>
      <c r="I63" s="49"/>
      <c r="J63" s="47"/>
      <c r="K63" s="48"/>
      <c r="L63" s="49"/>
      <c r="M63" s="47"/>
      <c r="N63" s="48"/>
      <c r="O63" s="49"/>
      <c r="P63" s="47"/>
      <c r="Q63" s="48"/>
      <c r="R63" s="49"/>
      <c r="S63" s="47"/>
      <c r="T63" s="48"/>
      <c r="U63" s="49"/>
      <c r="V63" s="47"/>
      <c r="W63" s="48"/>
      <c r="X63" s="49"/>
      <c r="Y63" s="47"/>
      <c r="Z63" s="48"/>
      <c r="AA63" s="49"/>
      <c r="AB63" s="47"/>
      <c r="AC63" s="48"/>
      <c r="AD63" s="49"/>
      <c r="AE63" s="47"/>
      <c r="AF63" s="48"/>
      <c r="AG63" s="49"/>
      <c r="AH63" s="50" t="str">
        <f t="shared" si="1"/>
        <v/>
      </c>
    </row>
    <row r="64" spans="1:34" ht="15.95" customHeight="1">
      <c r="A64" s="46">
        <v>22</v>
      </c>
      <c r="B64" s="63" t="str">
        <f>IF('(1).Classes'!F28="","",'(1).Classes'!F28)</f>
        <v/>
      </c>
      <c r="C64" s="62" t="str">
        <f>IF('(1).Classes'!G28="","",'(1).Classes'!G28)</f>
        <v/>
      </c>
      <c r="D64" s="47"/>
      <c r="E64" s="48"/>
      <c r="F64" s="49"/>
      <c r="G64" s="47"/>
      <c r="H64" s="48"/>
      <c r="I64" s="49"/>
      <c r="J64" s="47"/>
      <c r="K64" s="48"/>
      <c r="L64" s="49"/>
      <c r="M64" s="47"/>
      <c r="N64" s="48"/>
      <c r="O64" s="49"/>
      <c r="P64" s="47"/>
      <c r="Q64" s="48"/>
      <c r="R64" s="49"/>
      <c r="S64" s="47"/>
      <c r="T64" s="48"/>
      <c r="U64" s="49"/>
      <c r="V64" s="47"/>
      <c r="W64" s="48"/>
      <c r="X64" s="49"/>
      <c r="Y64" s="47"/>
      <c r="Z64" s="48"/>
      <c r="AA64" s="49"/>
      <c r="AB64" s="47"/>
      <c r="AC64" s="48"/>
      <c r="AD64" s="49"/>
      <c r="AE64" s="47"/>
      <c r="AF64" s="48"/>
      <c r="AG64" s="49"/>
      <c r="AH64" s="50" t="str">
        <f t="shared" si="1"/>
        <v/>
      </c>
    </row>
    <row r="65" spans="1:34" ht="15.95" customHeight="1">
      <c r="A65" s="46">
        <v>23</v>
      </c>
      <c r="B65" s="63" t="str">
        <f>IF('(1).Classes'!F29="","",'(1).Classes'!F29)</f>
        <v/>
      </c>
      <c r="C65" s="62" t="str">
        <f>IF('(1).Classes'!G29="","",'(1).Classes'!G29)</f>
        <v/>
      </c>
      <c r="D65" s="47"/>
      <c r="E65" s="48"/>
      <c r="F65" s="49"/>
      <c r="G65" s="47"/>
      <c r="H65" s="48"/>
      <c r="I65" s="49"/>
      <c r="J65" s="47"/>
      <c r="K65" s="48"/>
      <c r="L65" s="49"/>
      <c r="M65" s="47"/>
      <c r="N65" s="48"/>
      <c r="O65" s="49"/>
      <c r="P65" s="47"/>
      <c r="Q65" s="48"/>
      <c r="R65" s="49"/>
      <c r="S65" s="47"/>
      <c r="T65" s="48"/>
      <c r="U65" s="49"/>
      <c r="V65" s="47"/>
      <c r="W65" s="48"/>
      <c r="X65" s="49"/>
      <c r="Y65" s="47"/>
      <c r="Z65" s="48"/>
      <c r="AA65" s="49"/>
      <c r="AB65" s="47"/>
      <c r="AC65" s="48"/>
      <c r="AD65" s="49"/>
      <c r="AE65" s="47"/>
      <c r="AF65" s="48"/>
      <c r="AG65" s="49"/>
      <c r="AH65" s="50" t="str">
        <f t="shared" si="1"/>
        <v/>
      </c>
    </row>
    <row r="66" spans="1:34" ht="15.95" customHeight="1">
      <c r="A66" s="46">
        <v>24</v>
      </c>
      <c r="B66" s="63" t="str">
        <f>IF('(1).Classes'!F30="","",'(1).Classes'!F30)</f>
        <v/>
      </c>
      <c r="C66" s="62" t="str">
        <f>IF('(1).Classes'!G30="","",'(1).Classes'!G30)</f>
        <v/>
      </c>
      <c r="D66" s="47"/>
      <c r="E66" s="48"/>
      <c r="F66" s="49"/>
      <c r="G66" s="47"/>
      <c r="H66" s="48"/>
      <c r="I66" s="49"/>
      <c r="J66" s="47"/>
      <c r="K66" s="48"/>
      <c r="L66" s="49"/>
      <c r="M66" s="47"/>
      <c r="N66" s="48"/>
      <c r="O66" s="49"/>
      <c r="P66" s="47"/>
      <c r="Q66" s="48"/>
      <c r="R66" s="49"/>
      <c r="S66" s="47"/>
      <c r="T66" s="48"/>
      <c r="U66" s="49"/>
      <c r="V66" s="47"/>
      <c r="W66" s="48"/>
      <c r="X66" s="49"/>
      <c r="Y66" s="47"/>
      <c r="Z66" s="48"/>
      <c r="AA66" s="49"/>
      <c r="AB66" s="47"/>
      <c r="AC66" s="48"/>
      <c r="AD66" s="49"/>
      <c r="AE66" s="47"/>
      <c r="AF66" s="48"/>
      <c r="AG66" s="49"/>
      <c r="AH66" s="50" t="str">
        <f t="shared" si="1"/>
        <v/>
      </c>
    </row>
    <row r="67" spans="1:34" ht="15.95" customHeight="1">
      <c r="A67" s="46">
        <v>25</v>
      </c>
      <c r="B67" s="63" t="str">
        <f>IF('(1).Classes'!F31="","",'(1).Classes'!F31)</f>
        <v/>
      </c>
      <c r="C67" s="62" t="str">
        <f>IF('(1).Classes'!G31="","",'(1).Classes'!G31)</f>
        <v/>
      </c>
      <c r="D67" s="47"/>
      <c r="E67" s="48"/>
      <c r="F67" s="49"/>
      <c r="G67" s="47"/>
      <c r="H67" s="48"/>
      <c r="I67" s="49"/>
      <c r="J67" s="47"/>
      <c r="K67" s="48"/>
      <c r="L67" s="49"/>
      <c r="M67" s="47"/>
      <c r="N67" s="48"/>
      <c r="O67" s="49"/>
      <c r="P67" s="47"/>
      <c r="Q67" s="48"/>
      <c r="R67" s="49"/>
      <c r="S67" s="47"/>
      <c r="T67" s="48"/>
      <c r="U67" s="49"/>
      <c r="V67" s="47"/>
      <c r="W67" s="48"/>
      <c r="X67" s="49"/>
      <c r="Y67" s="47"/>
      <c r="Z67" s="48"/>
      <c r="AA67" s="49"/>
      <c r="AB67" s="47"/>
      <c r="AC67" s="48"/>
      <c r="AD67" s="49"/>
      <c r="AE67" s="47"/>
      <c r="AF67" s="48"/>
      <c r="AG67" s="49"/>
      <c r="AH67" s="50" t="str">
        <f t="shared" si="1"/>
        <v/>
      </c>
    </row>
    <row r="68" spans="1:34" ht="15.95" customHeight="1">
      <c r="A68" s="46">
        <v>26</v>
      </c>
      <c r="B68" s="63" t="str">
        <f>IF('(1).Classes'!F32="","",'(1).Classes'!F32)</f>
        <v/>
      </c>
      <c r="C68" s="62" t="str">
        <f>IF('(1).Classes'!G32="","",'(1).Classes'!G32)</f>
        <v/>
      </c>
      <c r="D68" s="47"/>
      <c r="E68" s="48"/>
      <c r="F68" s="49"/>
      <c r="G68" s="47"/>
      <c r="H68" s="48"/>
      <c r="I68" s="49"/>
      <c r="J68" s="47"/>
      <c r="K68" s="48"/>
      <c r="L68" s="49"/>
      <c r="M68" s="47"/>
      <c r="N68" s="48"/>
      <c r="O68" s="49"/>
      <c r="P68" s="47"/>
      <c r="Q68" s="48"/>
      <c r="R68" s="49"/>
      <c r="S68" s="47"/>
      <c r="T68" s="48"/>
      <c r="U68" s="49"/>
      <c r="V68" s="47"/>
      <c r="W68" s="48"/>
      <c r="X68" s="49"/>
      <c r="Y68" s="47"/>
      <c r="Z68" s="48"/>
      <c r="AA68" s="49"/>
      <c r="AB68" s="47"/>
      <c r="AC68" s="48"/>
      <c r="AD68" s="49"/>
      <c r="AE68" s="47"/>
      <c r="AF68" s="48"/>
      <c r="AG68" s="49"/>
      <c r="AH68" s="50" t="str">
        <f t="shared" si="1"/>
        <v/>
      </c>
    </row>
    <row r="69" spans="1:34" ht="15.95" customHeight="1">
      <c r="A69" s="46">
        <v>27</v>
      </c>
      <c r="B69" s="63" t="str">
        <f>IF('(1).Classes'!F33="","",'(1).Classes'!F33)</f>
        <v/>
      </c>
      <c r="C69" s="62" t="str">
        <f>IF('(1).Classes'!G33="","",'(1).Classes'!G33)</f>
        <v/>
      </c>
      <c r="D69" s="47"/>
      <c r="E69" s="48"/>
      <c r="F69" s="49"/>
      <c r="G69" s="47"/>
      <c r="H69" s="48"/>
      <c r="I69" s="49"/>
      <c r="J69" s="47"/>
      <c r="K69" s="48"/>
      <c r="L69" s="49"/>
      <c r="M69" s="47"/>
      <c r="N69" s="48"/>
      <c r="O69" s="49"/>
      <c r="P69" s="47"/>
      <c r="Q69" s="48"/>
      <c r="R69" s="49"/>
      <c r="S69" s="47"/>
      <c r="T69" s="48"/>
      <c r="U69" s="49"/>
      <c r="V69" s="47"/>
      <c r="W69" s="48"/>
      <c r="X69" s="49"/>
      <c r="Y69" s="47"/>
      <c r="Z69" s="48"/>
      <c r="AA69" s="49"/>
      <c r="AB69" s="47"/>
      <c r="AC69" s="48"/>
      <c r="AD69" s="49"/>
      <c r="AE69" s="47"/>
      <c r="AF69" s="48"/>
      <c r="AG69" s="49"/>
      <c r="AH69" s="50" t="str">
        <f t="shared" si="1"/>
        <v/>
      </c>
    </row>
    <row r="70" spans="1:34" ht="15.95" customHeight="1">
      <c r="A70" s="46">
        <v>28</v>
      </c>
      <c r="B70" s="63" t="str">
        <f>IF('(1).Classes'!F34="","",'(1).Classes'!F34)</f>
        <v/>
      </c>
      <c r="C70" s="62" t="str">
        <f>IF('(1).Classes'!G34="","",'(1).Classes'!G34)</f>
        <v/>
      </c>
      <c r="D70" s="47"/>
      <c r="E70" s="48"/>
      <c r="F70" s="49"/>
      <c r="G70" s="47"/>
      <c r="H70" s="48"/>
      <c r="I70" s="49"/>
      <c r="J70" s="47"/>
      <c r="K70" s="48"/>
      <c r="L70" s="49"/>
      <c r="M70" s="47"/>
      <c r="N70" s="48"/>
      <c r="O70" s="49"/>
      <c r="P70" s="47"/>
      <c r="Q70" s="48"/>
      <c r="R70" s="49"/>
      <c r="S70" s="47"/>
      <c r="T70" s="48"/>
      <c r="U70" s="49"/>
      <c r="V70" s="47"/>
      <c r="W70" s="48"/>
      <c r="X70" s="49"/>
      <c r="Y70" s="47"/>
      <c r="Z70" s="48"/>
      <c r="AA70" s="49"/>
      <c r="AB70" s="47"/>
      <c r="AC70" s="48"/>
      <c r="AD70" s="49"/>
      <c r="AE70" s="47"/>
      <c r="AF70" s="48"/>
      <c r="AG70" s="49"/>
      <c r="AH70" s="50" t="str">
        <f t="shared" si="1"/>
        <v/>
      </c>
    </row>
    <row r="71" spans="1:34" ht="15.95" customHeight="1">
      <c r="A71" s="46">
        <v>29</v>
      </c>
      <c r="B71" s="63" t="str">
        <f>IF('(1).Classes'!F35="","",'(1).Classes'!F35)</f>
        <v/>
      </c>
      <c r="C71" s="62" t="str">
        <f>IF('(1).Classes'!G35="","",'(1).Classes'!G35)</f>
        <v/>
      </c>
      <c r="D71" s="47"/>
      <c r="E71" s="48"/>
      <c r="F71" s="49"/>
      <c r="G71" s="47"/>
      <c r="H71" s="48"/>
      <c r="I71" s="49"/>
      <c r="J71" s="47"/>
      <c r="K71" s="48"/>
      <c r="L71" s="49"/>
      <c r="M71" s="47"/>
      <c r="N71" s="48"/>
      <c r="O71" s="49"/>
      <c r="P71" s="47"/>
      <c r="Q71" s="48"/>
      <c r="R71" s="49"/>
      <c r="S71" s="47"/>
      <c r="T71" s="48"/>
      <c r="U71" s="49"/>
      <c r="V71" s="47"/>
      <c r="W71" s="48"/>
      <c r="X71" s="49"/>
      <c r="Y71" s="47"/>
      <c r="Z71" s="48"/>
      <c r="AA71" s="49"/>
      <c r="AB71" s="47"/>
      <c r="AC71" s="48"/>
      <c r="AD71" s="49"/>
      <c r="AE71" s="47"/>
      <c r="AF71" s="48"/>
      <c r="AG71" s="49"/>
      <c r="AH71" s="50" t="str">
        <f t="shared" si="1"/>
        <v/>
      </c>
    </row>
    <row r="72" spans="1:34" ht="15.95" customHeight="1">
      <c r="A72" s="46">
        <v>30</v>
      </c>
      <c r="B72" s="63" t="str">
        <f>IF('(1).Classes'!F36="","",'(1).Classes'!F36)</f>
        <v/>
      </c>
      <c r="C72" s="62" t="str">
        <f>IF('(1).Classes'!G36="","",'(1).Classes'!G36)</f>
        <v/>
      </c>
      <c r="D72" s="47"/>
      <c r="E72" s="48"/>
      <c r="F72" s="49"/>
      <c r="G72" s="47"/>
      <c r="H72" s="48"/>
      <c r="I72" s="49"/>
      <c r="J72" s="47"/>
      <c r="K72" s="48"/>
      <c r="L72" s="49"/>
      <c r="M72" s="47"/>
      <c r="N72" s="48"/>
      <c r="O72" s="49"/>
      <c r="P72" s="47"/>
      <c r="Q72" s="48"/>
      <c r="R72" s="49"/>
      <c r="S72" s="47"/>
      <c r="T72" s="48"/>
      <c r="U72" s="49"/>
      <c r="V72" s="47"/>
      <c r="W72" s="48"/>
      <c r="X72" s="49"/>
      <c r="Y72" s="47"/>
      <c r="Z72" s="48"/>
      <c r="AA72" s="49"/>
      <c r="AB72" s="47"/>
      <c r="AC72" s="48"/>
      <c r="AD72" s="49"/>
      <c r="AE72" s="47"/>
      <c r="AF72" s="48"/>
      <c r="AG72" s="49"/>
      <c r="AH72" s="50" t="str">
        <f t="shared" si="1"/>
        <v/>
      </c>
    </row>
    <row r="73" spans="1:34" ht="15.95" customHeight="1">
      <c r="A73" s="18" t="s">
        <v>0</v>
      </c>
      <c r="B73" s="19">
        <f>'(1).Classes'!J1</f>
        <v>0</v>
      </c>
      <c r="C73" s="60"/>
      <c r="D73" s="222" t="s">
        <v>90</v>
      </c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</row>
    <row r="74" spans="1:34" ht="15.95" customHeight="1">
      <c r="A74" s="18" t="s">
        <v>1</v>
      </c>
      <c r="B74" s="19">
        <f>'(1).Classes'!J2</f>
        <v>0</v>
      </c>
      <c r="C74" s="60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</row>
    <row r="75" spans="1:34" ht="15.95" customHeight="1">
      <c r="A75" s="18" t="s">
        <v>2</v>
      </c>
      <c r="B75" s="19">
        <f>'(1).Classes'!J3</f>
        <v>0</v>
      </c>
      <c r="C75" s="60"/>
      <c r="D75" s="223" t="str">
        <f>D39</f>
        <v>FEBRUARY - JULY 2026</v>
      </c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</row>
    <row r="76" spans="1:34" ht="15.95" customHeight="1">
      <c r="A76" s="18" t="s">
        <v>3</v>
      </c>
      <c r="B76" s="19">
        <f>'(1).Classes'!J4</f>
        <v>0</v>
      </c>
      <c r="C76" s="60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</row>
    <row r="77" spans="1:34" ht="15.95" customHeight="1">
      <c r="A77" s="18" t="s">
        <v>4</v>
      </c>
      <c r="B77" s="19">
        <f>'(1).Classes'!J5</f>
        <v>0</v>
      </c>
      <c r="C77" s="61"/>
      <c r="D77" s="220" t="str">
        <f>IF(OR($B74="K5",$B74="K6",$B74="K7",$B74="K8",$B74="K9",$B74="K10"),"Listening","Up-Low C")</f>
        <v>Up-Low C</v>
      </c>
      <c r="E77" s="220"/>
      <c r="F77" s="220"/>
      <c r="G77" s="220" t="str">
        <f>IF(OR($B74="K5",$B74="K6",$B74="K7",$B74="K8",$B74="K9",$B74="K10"),"Speaking","Alphabet N")</f>
        <v>Alphabet N</v>
      </c>
      <c r="H77" s="220"/>
      <c r="I77" s="220"/>
      <c r="J77" s="220" t="str">
        <f>IF(OR($B74="K5",$B74="K6",$B74="K7",$B74="K8",$B74="K9",$B74="K10"),"Reading","Alphabet S")</f>
        <v>Alphabet S</v>
      </c>
      <c r="K77" s="220"/>
      <c r="L77" s="220"/>
      <c r="M77" s="220" t="str">
        <f>IF(OR($B74="K5",$B74="K6",$B74="K7",$B74="K8",$B74="K9",$B74="K10"),"Writing","Vocabulary")</f>
        <v>Vocabulary</v>
      </c>
      <c r="N77" s="220"/>
      <c r="O77" s="220"/>
      <c r="P77" s="220" t="str">
        <f>IF(OR($B74="K5",$B74="K6",$B74="K7",$B74="K8",$B74="K9",$B74="K10"),"Gram/Vocab","Sprouts")</f>
        <v>Sprouts</v>
      </c>
      <c r="Q77" s="220"/>
      <c r="R77" s="220"/>
      <c r="S77" s="220" t="str">
        <f>IF(OR($B74="K5",$B74="K6",$B74="K7",$B74="K8",$B74="K9",$B74="K10"),"Roots","Phonics")</f>
        <v>Phonics</v>
      </c>
      <c r="T77" s="220"/>
      <c r="U77" s="220"/>
      <c r="V77" s="220" t="str">
        <f>IF(OR($B74="K5",$B74="K6",$B74="K7",$B74="K8",$B74="K9",$B74="K10"),"Phonics","Math")</f>
        <v>Math</v>
      </c>
      <c r="W77" s="220"/>
      <c r="X77" s="220"/>
      <c r="Y77" s="220" t="str">
        <f>IF(OR($B74="K5",$B74="K6",$B74="K7",$B74="K8",$B74="K9",$B74="K10"),"Math","Shape")</f>
        <v>Shape</v>
      </c>
      <c r="Z77" s="220"/>
      <c r="AA77" s="220"/>
      <c r="AB77" s="220" t="s">
        <v>10</v>
      </c>
      <c r="AC77" s="220"/>
      <c r="AD77" s="220"/>
      <c r="AE77" s="220" t="str">
        <f>IF(OR($B74="K5",$B74="K6",$B74="K7",$B74="K8",$B74="K9",$B74="K10"),"Homework","Tracing")</f>
        <v>Tracing</v>
      </c>
      <c r="AF77" s="220"/>
      <c r="AG77" s="220"/>
      <c r="AH77" s="90" t="s">
        <v>11</v>
      </c>
    </row>
    <row r="78" spans="1:34" ht="15.95" customHeight="1" thickBot="1">
      <c r="A78" s="73" t="s">
        <v>5</v>
      </c>
      <c r="B78" s="74" t="s">
        <v>6</v>
      </c>
      <c r="C78" s="75" t="s">
        <v>7</v>
      </c>
      <c r="D78" s="221" t="s">
        <v>9</v>
      </c>
      <c r="E78" s="221"/>
      <c r="F78" s="221"/>
      <c r="G78" s="221" t="s">
        <v>9</v>
      </c>
      <c r="H78" s="221"/>
      <c r="I78" s="221"/>
      <c r="J78" s="221" t="s">
        <v>9</v>
      </c>
      <c r="K78" s="221"/>
      <c r="L78" s="221"/>
      <c r="M78" s="221" t="s">
        <v>9</v>
      </c>
      <c r="N78" s="221"/>
      <c r="O78" s="221"/>
      <c r="P78" s="221" t="s">
        <v>9</v>
      </c>
      <c r="Q78" s="221"/>
      <c r="R78" s="221"/>
      <c r="S78" s="221" t="s">
        <v>9</v>
      </c>
      <c r="T78" s="221"/>
      <c r="U78" s="221"/>
      <c r="V78" s="221" t="s">
        <v>9</v>
      </c>
      <c r="W78" s="221"/>
      <c r="X78" s="221"/>
      <c r="Y78" s="221" t="s">
        <v>9</v>
      </c>
      <c r="Z78" s="221"/>
      <c r="AA78" s="221"/>
      <c r="AB78" s="221" t="s">
        <v>9</v>
      </c>
      <c r="AC78" s="221"/>
      <c r="AD78" s="221"/>
      <c r="AE78" s="221" t="s">
        <v>9</v>
      </c>
      <c r="AF78" s="221"/>
      <c r="AG78" s="221"/>
      <c r="AH78" s="77" t="s">
        <v>12</v>
      </c>
    </row>
    <row r="79" spans="1:34" ht="15.95" customHeight="1">
      <c r="A79" s="46">
        <v>1</v>
      </c>
      <c r="B79" s="63" t="str">
        <f>IF('(1).Classes'!J7="","",'(1).Classes'!J7)</f>
        <v/>
      </c>
      <c r="C79" s="62" t="str">
        <f>IF('(1).Classes'!K7="","",'(1).Classes'!K7)</f>
        <v/>
      </c>
      <c r="D79" s="69"/>
      <c r="E79" s="70"/>
      <c r="F79" s="71"/>
      <c r="G79" s="69"/>
      <c r="H79" s="70"/>
      <c r="I79" s="71"/>
      <c r="J79" s="69"/>
      <c r="K79" s="70"/>
      <c r="L79" s="71"/>
      <c r="M79" s="69"/>
      <c r="N79" s="70"/>
      <c r="O79" s="71"/>
      <c r="P79" s="69"/>
      <c r="Q79" s="70"/>
      <c r="R79" s="71"/>
      <c r="S79" s="69"/>
      <c r="T79" s="70"/>
      <c r="U79" s="71"/>
      <c r="V79" s="69"/>
      <c r="W79" s="70"/>
      <c r="X79" s="71"/>
      <c r="Y79" s="69"/>
      <c r="Z79" s="70"/>
      <c r="AA79" s="71"/>
      <c r="AB79" s="69"/>
      <c r="AC79" s="70"/>
      <c r="AD79" s="71"/>
      <c r="AE79" s="69"/>
      <c r="AF79" s="70"/>
      <c r="AG79" s="71"/>
      <c r="AH79" s="72" t="str">
        <f>IF(B79="","",IF(COUNT(D79:F79)=0,"Incomplete",IF(COUNT(G79:I79)=0,"Incomplete",IF(COUNT(J79:L79)=0,"Incomplete",IF(COUNT(M79:O79)=0,"Incomplete",IF(COUNT(P79:R79)=0,"Incomplete",IF(COUNT(S79:U79)=0,"Incomplete",IF(COUNT(V79:X79)=0,"Incomplete",IF(COUNT(Y79:AA79)=0,"Incomplete",IF(COUNT(AB79:AD79)=0,"Incomplete",IF(COUNT(AE79:AG79)=0,"Incomplete",AVERAGEIF(D79:F79,"&gt;=0")+AVERAGEIF(G79:I79,"&gt;=0")+AVERAGEIF(J79:L79,"&gt;=0")+AVERAGEIF(M79:O79,"&gt;=0")+AVERAGEIF(P79:R79,"&gt;=0")+AVERAGEIF(S79:U79,"&gt;=0")+AVERAGEIF(V79:X79,"&gt;=0")+AVERAGEIF(Y79:AA79,"&gt;=0")+AVERAGEIF(AB79:AD79,"&gt;=0")+AVERAGEIF(AE79:AG79,"&gt;=0"))))))))))))</f>
        <v/>
      </c>
    </row>
    <row r="80" spans="1:34" ht="15.95" customHeight="1">
      <c r="A80" s="46">
        <v>2</v>
      </c>
      <c r="B80" s="63" t="str">
        <f>IF('(1).Classes'!J8="","",'(1).Classes'!J8)</f>
        <v/>
      </c>
      <c r="C80" s="62" t="str">
        <f>IF('(1).Classes'!K8="","",'(1).Classes'!K8)</f>
        <v/>
      </c>
      <c r="D80" s="47"/>
      <c r="E80" s="48"/>
      <c r="F80" s="49"/>
      <c r="G80" s="47"/>
      <c r="H80" s="48"/>
      <c r="I80" s="49"/>
      <c r="J80" s="47"/>
      <c r="K80" s="48"/>
      <c r="L80" s="49"/>
      <c r="M80" s="47"/>
      <c r="N80" s="48"/>
      <c r="O80" s="49"/>
      <c r="P80" s="47"/>
      <c r="Q80" s="48"/>
      <c r="R80" s="49"/>
      <c r="S80" s="47"/>
      <c r="T80" s="48"/>
      <c r="U80" s="49"/>
      <c r="V80" s="47"/>
      <c r="W80" s="48"/>
      <c r="X80" s="49"/>
      <c r="Y80" s="47"/>
      <c r="Z80" s="48"/>
      <c r="AA80" s="49"/>
      <c r="AB80" s="47"/>
      <c r="AC80" s="48"/>
      <c r="AD80" s="49"/>
      <c r="AE80" s="47"/>
      <c r="AF80" s="48"/>
      <c r="AG80" s="49"/>
      <c r="AH80" s="50" t="str">
        <f t="shared" ref="AH80:AH108" si="2">IF(B80="","",IF(COUNT(D80:F80)=0,"Incomplete",IF(COUNT(G80:I80)=0,"Incomplete",IF(COUNT(J80:L80)=0,"Incomplete",IF(COUNT(M80:O80)=0,"Incomplete",IF(COUNT(P80:R80)=0,"Incomplete",IF(COUNT(S80:U80)=0,"Incomplete",IF(COUNT(V80:X80)=0,"Incomplete",IF(COUNT(Y80:AA80)=0,"Incomplete",IF(COUNT(AB80:AD80)=0,"Incomplete",IF(COUNT(AE80:AG80)=0,"Incomplete",AVERAGEIF(D80:F80,"&gt;=0")+AVERAGEIF(G80:I80,"&gt;=0")+AVERAGEIF(J80:L80,"&gt;=0")+AVERAGEIF(M80:O80,"&gt;=0")+AVERAGEIF(P80:R80,"&gt;=0")+AVERAGEIF(S80:U80,"&gt;=0")+AVERAGEIF(V80:X80,"&gt;=0")+AVERAGEIF(Y80:AA80,"&gt;=0")+AVERAGEIF(AB80:AD80,"&gt;=0")+AVERAGEIF(AE80:AG80,"&gt;=0"))))))))))))</f>
        <v/>
      </c>
    </row>
    <row r="81" spans="1:34" ht="15.95" customHeight="1">
      <c r="A81" s="46">
        <v>3</v>
      </c>
      <c r="B81" s="63" t="str">
        <f>IF('(1).Classes'!J9="","",'(1).Classes'!J9)</f>
        <v/>
      </c>
      <c r="C81" s="62" t="str">
        <f>IF('(1).Classes'!K9="","",'(1).Classes'!K9)</f>
        <v/>
      </c>
      <c r="D81" s="47"/>
      <c r="E81" s="48"/>
      <c r="F81" s="49"/>
      <c r="G81" s="47"/>
      <c r="H81" s="48"/>
      <c r="I81" s="49"/>
      <c r="J81" s="47"/>
      <c r="K81" s="48"/>
      <c r="L81" s="49"/>
      <c r="M81" s="47"/>
      <c r="N81" s="48"/>
      <c r="O81" s="49"/>
      <c r="P81" s="47"/>
      <c r="Q81" s="48"/>
      <c r="R81" s="49"/>
      <c r="S81" s="47"/>
      <c r="T81" s="48"/>
      <c r="U81" s="49"/>
      <c r="V81" s="47"/>
      <c r="W81" s="48"/>
      <c r="X81" s="49"/>
      <c r="Y81" s="47"/>
      <c r="Z81" s="48"/>
      <c r="AA81" s="49"/>
      <c r="AB81" s="47"/>
      <c r="AC81" s="48"/>
      <c r="AD81" s="49"/>
      <c r="AE81" s="47"/>
      <c r="AF81" s="48"/>
      <c r="AG81" s="49"/>
      <c r="AH81" s="50" t="str">
        <f t="shared" si="2"/>
        <v/>
      </c>
    </row>
    <row r="82" spans="1:34" ht="15.95" customHeight="1">
      <c r="A82" s="46">
        <v>4</v>
      </c>
      <c r="B82" s="63" t="str">
        <f>IF('(1).Classes'!J10="","",'(1).Classes'!J10)</f>
        <v/>
      </c>
      <c r="C82" s="62" t="str">
        <f>IF('(1).Classes'!K10="","",'(1).Classes'!K10)</f>
        <v/>
      </c>
      <c r="D82" s="47"/>
      <c r="E82" s="48"/>
      <c r="F82" s="49"/>
      <c r="G82" s="47"/>
      <c r="H82" s="48"/>
      <c r="I82" s="49"/>
      <c r="J82" s="47"/>
      <c r="K82" s="48"/>
      <c r="L82" s="49"/>
      <c r="M82" s="47"/>
      <c r="N82" s="48"/>
      <c r="O82" s="49"/>
      <c r="P82" s="47"/>
      <c r="Q82" s="48"/>
      <c r="R82" s="49"/>
      <c r="S82" s="47"/>
      <c r="T82" s="48"/>
      <c r="U82" s="49"/>
      <c r="V82" s="47"/>
      <c r="W82" s="48"/>
      <c r="X82" s="49"/>
      <c r="Y82" s="47"/>
      <c r="Z82" s="48"/>
      <c r="AA82" s="49"/>
      <c r="AB82" s="47"/>
      <c r="AC82" s="48"/>
      <c r="AD82" s="49"/>
      <c r="AE82" s="47"/>
      <c r="AF82" s="48"/>
      <c r="AG82" s="49"/>
      <c r="AH82" s="50" t="str">
        <f t="shared" si="2"/>
        <v/>
      </c>
    </row>
    <row r="83" spans="1:34" ht="15.95" customHeight="1">
      <c r="A83" s="46">
        <v>5</v>
      </c>
      <c r="B83" s="63" t="str">
        <f>IF('(1).Classes'!J11="","",'(1).Classes'!J11)</f>
        <v/>
      </c>
      <c r="C83" s="62" t="str">
        <f>IF('(1).Classes'!K11="","",'(1).Classes'!K11)</f>
        <v/>
      </c>
      <c r="D83" s="47"/>
      <c r="E83" s="48"/>
      <c r="F83" s="49"/>
      <c r="G83" s="47"/>
      <c r="H83" s="48"/>
      <c r="I83" s="49"/>
      <c r="J83" s="47"/>
      <c r="K83" s="48"/>
      <c r="L83" s="49"/>
      <c r="M83" s="47"/>
      <c r="N83" s="48"/>
      <c r="O83" s="49"/>
      <c r="P83" s="47"/>
      <c r="Q83" s="48"/>
      <c r="R83" s="49"/>
      <c r="S83" s="47"/>
      <c r="T83" s="48"/>
      <c r="U83" s="49"/>
      <c r="V83" s="47"/>
      <c r="W83" s="48"/>
      <c r="X83" s="49"/>
      <c r="Y83" s="47"/>
      <c r="Z83" s="48"/>
      <c r="AA83" s="49"/>
      <c r="AB83" s="47"/>
      <c r="AC83" s="48"/>
      <c r="AD83" s="49"/>
      <c r="AE83" s="47"/>
      <c r="AF83" s="48"/>
      <c r="AG83" s="49"/>
      <c r="AH83" s="50" t="str">
        <f t="shared" si="2"/>
        <v/>
      </c>
    </row>
    <row r="84" spans="1:34" ht="15.95" customHeight="1">
      <c r="A84" s="46">
        <v>6</v>
      </c>
      <c r="B84" s="63" t="str">
        <f>IF('(1).Classes'!J12="","",'(1).Classes'!J12)</f>
        <v/>
      </c>
      <c r="C84" s="62" t="str">
        <f>IF('(1).Classes'!K12="","",'(1).Classes'!K12)</f>
        <v/>
      </c>
      <c r="D84" s="47"/>
      <c r="E84" s="48"/>
      <c r="F84" s="49"/>
      <c r="G84" s="47"/>
      <c r="H84" s="48"/>
      <c r="I84" s="49"/>
      <c r="J84" s="47"/>
      <c r="K84" s="48"/>
      <c r="L84" s="49"/>
      <c r="M84" s="47"/>
      <c r="N84" s="48"/>
      <c r="O84" s="49"/>
      <c r="P84" s="47"/>
      <c r="Q84" s="48"/>
      <c r="R84" s="49"/>
      <c r="S84" s="47"/>
      <c r="T84" s="48"/>
      <c r="U84" s="49"/>
      <c r="V84" s="47"/>
      <c r="W84" s="48"/>
      <c r="X84" s="49"/>
      <c r="Y84" s="47"/>
      <c r="Z84" s="48"/>
      <c r="AA84" s="49"/>
      <c r="AB84" s="47"/>
      <c r="AC84" s="48"/>
      <c r="AD84" s="49"/>
      <c r="AE84" s="47"/>
      <c r="AF84" s="48"/>
      <c r="AG84" s="49"/>
      <c r="AH84" s="50" t="str">
        <f t="shared" si="2"/>
        <v/>
      </c>
    </row>
    <row r="85" spans="1:34" ht="15.95" customHeight="1">
      <c r="A85" s="46">
        <v>7</v>
      </c>
      <c r="B85" s="63" t="str">
        <f>IF('(1).Classes'!J13="","",'(1).Classes'!J13)</f>
        <v/>
      </c>
      <c r="C85" s="62" t="str">
        <f>IF('(1).Classes'!K13="","",'(1).Classes'!K13)</f>
        <v/>
      </c>
      <c r="D85" s="47"/>
      <c r="E85" s="48"/>
      <c r="F85" s="49"/>
      <c r="G85" s="47"/>
      <c r="H85" s="48"/>
      <c r="I85" s="49"/>
      <c r="J85" s="47"/>
      <c r="K85" s="48"/>
      <c r="L85" s="49"/>
      <c r="M85" s="47"/>
      <c r="N85" s="48"/>
      <c r="O85" s="49"/>
      <c r="P85" s="47"/>
      <c r="Q85" s="48"/>
      <c r="R85" s="49"/>
      <c r="S85" s="47"/>
      <c r="T85" s="48"/>
      <c r="U85" s="49"/>
      <c r="V85" s="47"/>
      <c r="W85" s="48"/>
      <c r="X85" s="49"/>
      <c r="Y85" s="47"/>
      <c r="Z85" s="48"/>
      <c r="AA85" s="49"/>
      <c r="AB85" s="47"/>
      <c r="AC85" s="48"/>
      <c r="AD85" s="49"/>
      <c r="AE85" s="47"/>
      <c r="AF85" s="48"/>
      <c r="AG85" s="49"/>
      <c r="AH85" s="50" t="str">
        <f t="shared" si="2"/>
        <v/>
      </c>
    </row>
    <row r="86" spans="1:34" ht="15.95" customHeight="1">
      <c r="A86" s="46">
        <v>8</v>
      </c>
      <c r="B86" s="63" t="str">
        <f>IF('(1).Classes'!J14="","",'(1).Classes'!J14)</f>
        <v/>
      </c>
      <c r="C86" s="62" t="str">
        <f>IF('(1).Classes'!K14="","",'(1).Classes'!K14)</f>
        <v/>
      </c>
      <c r="D86" s="47"/>
      <c r="E86" s="48"/>
      <c r="F86" s="49"/>
      <c r="G86" s="47"/>
      <c r="H86" s="48"/>
      <c r="I86" s="49"/>
      <c r="J86" s="47"/>
      <c r="K86" s="48"/>
      <c r="L86" s="49"/>
      <c r="M86" s="47"/>
      <c r="N86" s="48"/>
      <c r="O86" s="49"/>
      <c r="P86" s="47"/>
      <c r="Q86" s="48"/>
      <c r="R86" s="49"/>
      <c r="S86" s="47"/>
      <c r="T86" s="48"/>
      <c r="U86" s="49"/>
      <c r="V86" s="47"/>
      <c r="W86" s="48"/>
      <c r="X86" s="49"/>
      <c r="Y86" s="47"/>
      <c r="Z86" s="48"/>
      <c r="AA86" s="49"/>
      <c r="AB86" s="47"/>
      <c r="AC86" s="48"/>
      <c r="AD86" s="49"/>
      <c r="AE86" s="47"/>
      <c r="AF86" s="48"/>
      <c r="AG86" s="49"/>
      <c r="AH86" s="50" t="str">
        <f t="shared" si="2"/>
        <v/>
      </c>
    </row>
    <row r="87" spans="1:34" ht="15.95" customHeight="1">
      <c r="A87" s="46">
        <v>9</v>
      </c>
      <c r="B87" s="63" t="str">
        <f>IF('(1).Classes'!J15="","",'(1).Classes'!J15)</f>
        <v/>
      </c>
      <c r="C87" s="62" t="str">
        <f>IF('(1).Classes'!K15="","",'(1).Classes'!K15)</f>
        <v/>
      </c>
      <c r="D87" s="47"/>
      <c r="E87" s="48"/>
      <c r="F87" s="49"/>
      <c r="G87" s="47"/>
      <c r="H87" s="48"/>
      <c r="I87" s="49"/>
      <c r="J87" s="47"/>
      <c r="K87" s="48"/>
      <c r="L87" s="49"/>
      <c r="M87" s="47"/>
      <c r="N87" s="48"/>
      <c r="O87" s="49"/>
      <c r="P87" s="47"/>
      <c r="Q87" s="48"/>
      <c r="R87" s="49"/>
      <c r="S87" s="47"/>
      <c r="T87" s="48"/>
      <c r="U87" s="49"/>
      <c r="V87" s="47"/>
      <c r="W87" s="48"/>
      <c r="X87" s="49"/>
      <c r="Y87" s="47"/>
      <c r="Z87" s="48"/>
      <c r="AA87" s="49"/>
      <c r="AB87" s="47"/>
      <c r="AC87" s="48"/>
      <c r="AD87" s="49"/>
      <c r="AE87" s="47"/>
      <c r="AF87" s="48"/>
      <c r="AG87" s="49"/>
      <c r="AH87" s="50" t="str">
        <f t="shared" si="2"/>
        <v/>
      </c>
    </row>
    <row r="88" spans="1:34" ht="15.95" customHeight="1">
      <c r="A88" s="46">
        <v>10</v>
      </c>
      <c r="B88" s="63" t="str">
        <f>IF('(1).Classes'!J16="","",'(1).Classes'!J16)</f>
        <v/>
      </c>
      <c r="C88" s="62" t="str">
        <f>IF('(1).Classes'!K16="","",'(1).Classes'!K16)</f>
        <v/>
      </c>
      <c r="D88" s="47"/>
      <c r="E88" s="48"/>
      <c r="F88" s="49"/>
      <c r="G88" s="47"/>
      <c r="H88" s="48"/>
      <c r="I88" s="49"/>
      <c r="J88" s="47"/>
      <c r="K88" s="48"/>
      <c r="L88" s="49"/>
      <c r="M88" s="47"/>
      <c r="N88" s="48"/>
      <c r="O88" s="49"/>
      <c r="P88" s="47"/>
      <c r="Q88" s="48"/>
      <c r="R88" s="49"/>
      <c r="S88" s="47"/>
      <c r="T88" s="48"/>
      <c r="U88" s="49"/>
      <c r="V88" s="47"/>
      <c r="W88" s="48"/>
      <c r="X88" s="49"/>
      <c r="Y88" s="47"/>
      <c r="Z88" s="48"/>
      <c r="AA88" s="49"/>
      <c r="AB88" s="47"/>
      <c r="AC88" s="48"/>
      <c r="AD88" s="49"/>
      <c r="AE88" s="47"/>
      <c r="AF88" s="48"/>
      <c r="AG88" s="49"/>
      <c r="AH88" s="50" t="str">
        <f t="shared" si="2"/>
        <v/>
      </c>
    </row>
    <row r="89" spans="1:34" ht="15.95" customHeight="1">
      <c r="A89" s="46">
        <v>11</v>
      </c>
      <c r="B89" s="63" t="str">
        <f>IF('(1).Classes'!J17="","",'(1).Classes'!J17)</f>
        <v/>
      </c>
      <c r="C89" s="62" t="str">
        <f>IF('(1).Classes'!K17="","",'(1).Classes'!K17)</f>
        <v/>
      </c>
      <c r="D89" s="47"/>
      <c r="E89" s="48"/>
      <c r="F89" s="49"/>
      <c r="G89" s="47"/>
      <c r="H89" s="48"/>
      <c r="I89" s="49"/>
      <c r="J89" s="47"/>
      <c r="K89" s="48"/>
      <c r="L89" s="49"/>
      <c r="M89" s="47"/>
      <c r="N89" s="48"/>
      <c r="O89" s="49"/>
      <c r="P89" s="47"/>
      <c r="Q89" s="48"/>
      <c r="R89" s="49"/>
      <c r="S89" s="47"/>
      <c r="T89" s="48"/>
      <c r="U89" s="49"/>
      <c r="V89" s="47"/>
      <c r="W89" s="48"/>
      <c r="X89" s="49"/>
      <c r="Y89" s="47"/>
      <c r="Z89" s="48"/>
      <c r="AA89" s="49"/>
      <c r="AB89" s="47"/>
      <c r="AC89" s="48"/>
      <c r="AD89" s="49"/>
      <c r="AE89" s="47"/>
      <c r="AF89" s="48"/>
      <c r="AG89" s="49"/>
      <c r="AH89" s="50" t="str">
        <f t="shared" si="2"/>
        <v/>
      </c>
    </row>
    <row r="90" spans="1:34" ht="15.95" customHeight="1">
      <c r="A90" s="46">
        <v>12</v>
      </c>
      <c r="B90" s="63" t="str">
        <f>IF('(1).Classes'!J18="","",'(1).Classes'!J18)</f>
        <v/>
      </c>
      <c r="C90" s="62" t="str">
        <f>IF('(1).Classes'!K18="","",'(1).Classes'!K18)</f>
        <v/>
      </c>
      <c r="D90" s="47"/>
      <c r="E90" s="48"/>
      <c r="F90" s="49"/>
      <c r="G90" s="47"/>
      <c r="H90" s="48"/>
      <c r="I90" s="49"/>
      <c r="J90" s="47"/>
      <c r="K90" s="48"/>
      <c r="L90" s="49"/>
      <c r="M90" s="47"/>
      <c r="N90" s="48"/>
      <c r="O90" s="49"/>
      <c r="P90" s="47"/>
      <c r="Q90" s="48"/>
      <c r="R90" s="49"/>
      <c r="S90" s="47"/>
      <c r="T90" s="48"/>
      <c r="U90" s="49"/>
      <c r="V90" s="47"/>
      <c r="W90" s="48"/>
      <c r="X90" s="49"/>
      <c r="Y90" s="47"/>
      <c r="Z90" s="48"/>
      <c r="AA90" s="49"/>
      <c r="AB90" s="47"/>
      <c r="AC90" s="48"/>
      <c r="AD90" s="49"/>
      <c r="AE90" s="47"/>
      <c r="AF90" s="48"/>
      <c r="AG90" s="49"/>
      <c r="AH90" s="50" t="str">
        <f t="shared" si="2"/>
        <v/>
      </c>
    </row>
    <row r="91" spans="1:34" ht="15.95" customHeight="1">
      <c r="A91" s="46">
        <v>13</v>
      </c>
      <c r="B91" s="63" t="str">
        <f>IF('(1).Classes'!J19="","",'(1).Classes'!J19)</f>
        <v/>
      </c>
      <c r="C91" s="62" t="str">
        <f>IF('(1).Classes'!K19="","",'(1).Classes'!K19)</f>
        <v/>
      </c>
      <c r="D91" s="47"/>
      <c r="E91" s="48"/>
      <c r="F91" s="49"/>
      <c r="G91" s="47"/>
      <c r="H91" s="48"/>
      <c r="I91" s="49"/>
      <c r="J91" s="47"/>
      <c r="K91" s="48"/>
      <c r="L91" s="49"/>
      <c r="M91" s="47"/>
      <c r="N91" s="48"/>
      <c r="O91" s="49"/>
      <c r="P91" s="47"/>
      <c r="Q91" s="48"/>
      <c r="R91" s="49"/>
      <c r="S91" s="47"/>
      <c r="T91" s="48"/>
      <c r="U91" s="49"/>
      <c r="V91" s="47"/>
      <c r="W91" s="48"/>
      <c r="X91" s="49"/>
      <c r="Y91" s="47"/>
      <c r="Z91" s="48"/>
      <c r="AA91" s="49"/>
      <c r="AB91" s="47"/>
      <c r="AC91" s="48"/>
      <c r="AD91" s="49"/>
      <c r="AE91" s="47"/>
      <c r="AF91" s="48"/>
      <c r="AG91" s="49"/>
      <c r="AH91" s="50" t="str">
        <f t="shared" si="2"/>
        <v/>
      </c>
    </row>
    <row r="92" spans="1:34" ht="15.95" customHeight="1">
      <c r="A92" s="46">
        <v>14</v>
      </c>
      <c r="B92" s="63" t="str">
        <f>IF('(1).Classes'!J20="","",'(1).Classes'!J20)</f>
        <v/>
      </c>
      <c r="C92" s="62" t="str">
        <f>IF('(1).Classes'!K20="","",'(1).Classes'!K20)</f>
        <v/>
      </c>
      <c r="D92" s="47"/>
      <c r="E92" s="48"/>
      <c r="F92" s="49"/>
      <c r="G92" s="47"/>
      <c r="H92" s="48"/>
      <c r="I92" s="49"/>
      <c r="J92" s="47"/>
      <c r="K92" s="48"/>
      <c r="L92" s="49"/>
      <c r="M92" s="47"/>
      <c r="N92" s="48"/>
      <c r="O92" s="49"/>
      <c r="P92" s="47"/>
      <c r="Q92" s="48"/>
      <c r="R92" s="49"/>
      <c r="S92" s="47"/>
      <c r="T92" s="48"/>
      <c r="U92" s="49"/>
      <c r="V92" s="47"/>
      <c r="W92" s="48"/>
      <c r="X92" s="49"/>
      <c r="Y92" s="47"/>
      <c r="Z92" s="48"/>
      <c r="AA92" s="49"/>
      <c r="AB92" s="47"/>
      <c r="AC92" s="48"/>
      <c r="AD92" s="49"/>
      <c r="AE92" s="47"/>
      <c r="AF92" s="48"/>
      <c r="AG92" s="49"/>
      <c r="AH92" s="50" t="str">
        <f t="shared" si="2"/>
        <v/>
      </c>
    </row>
    <row r="93" spans="1:34" ht="15.95" customHeight="1">
      <c r="A93" s="46">
        <v>15</v>
      </c>
      <c r="B93" s="63" t="str">
        <f>IF('(1).Classes'!J21="","",'(1).Classes'!J21)</f>
        <v/>
      </c>
      <c r="C93" s="62" t="str">
        <f>IF('(1).Classes'!K21="","",'(1).Classes'!K21)</f>
        <v/>
      </c>
      <c r="D93" s="47"/>
      <c r="E93" s="48"/>
      <c r="F93" s="49"/>
      <c r="G93" s="47"/>
      <c r="H93" s="48"/>
      <c r="I93" s="49"/>
      <c r="J93" s="47"/>
      <c r="K93" s="48"/>
      <c r="L93" s="49"/>
      <c r="M93" s="47"/>
      <c r="N93" s="48"/>
      <c r="O93" s="49"/>
      <c r="P93" s="47"/>
      <c r="Q93" s="48"/>
      <c r="R93" s="49"/>
      <c r="S93" s="47"/>
      <c r="T93" s="48"/>
      <c r="U93" s="49"/>
      <c r="V93" s="47"/>
      <c r="W93" s="48"/>
      <c r="X93" s="49"/>
      <c r="Y93" s="47"/>
      <c r="Z93" s="48"/>
      <c r="AA93" s="49"/>
      <c r="AB93" s="47"/>
      <c r="AC93" s="48"/>
      <c r="AD93" s="49"/>
      <c r="AE93" s="47"/>
      <c r="AF93" s="48"/>
      <c r="AG93" s="49"/>
      <c r="AH93" s="50" t="str">
        <f t="shared" si="2"/>
        <v/>
      </c>
    </row>
    <row r="94" spans="1:34" ht="15.95" customHeight="1">
      <c r="A94" s="46">
        <v>16</v>
      </c>
      <c r="B94" s="63" t="str">
        <f>IF('(1).Classes'!J22="","",'(1).Classes'!J22)</f>
        <v/>
      </c>
      <c r="C94" s="62" t="str">
        <f>IF('(1).Classes'!K22="","",'(1).Classes'!K22)</f>
        <v/>
      </c>
      <c r="D94" s="47"/>
      <c r="E94" s="48"/>
      <c r="F94" s="49"/>
      <c r="G94" s="47"/>
      <c r="H94" s="48"/>
      <c r="I94" s="49"/>
      <c r="J94" s="47"/>
      <c r="K94" s="48"/>
      <c r="L94" s="49"/>
      <c r="M94" s="47"/>
      <c r="N94" s="48"/>
      <c r="O94" s="49"/>
      <c r="P94" s="47"/>
      <c r="Q94" s="48"/>
      <c r="R94" s="49"/>
      <c r="S94" s="47"/>
      <c r="T94" s="48"/>
      <c r="U94" s="49"/>
      <c r="V94" s="47"/>
      <c r="W94" s="48"/>
      <c r="X94" s="49"/>
      <c r="Y94" s="47"/>
      <c r="Z94" s="48"/>
      <c r="AA94" s="49"/>
      <c r="AB94" s="47"/>
      <c r="AC94" s="48"/>
      <c r="AD94" s="49"/>
      <c r="AE94" s="47"/>
      <c r="AF94" s="48"/>
      <c r="AG94" s="49"/>
      <c r="AH94" s="50" t="str">
        <f t="shared" si="2"/>
        <v/>
      </c>
    </row>
    <row r="95" spans="1:34" ht="15.95" customHeight="1">
      <c r="A95" s="46">
        <v>17</v>
      </c>
      <c r="B95" s="63" t="str">
        <f>IF('(1).Classes'!J23="","",'(1).Classes'!J23)</f>
        <v/>
      </c>
      <c r="C95" s="62" t="str">
        <f>IF('(1).Classes'!K23="","",'(1).Classes'!K23)</f>
        <v/>
      </c>
      <c r="D95" s="47"/>
      <c r="E95" s="48"/>
      <c r="F95" s="49"/>
      <c r="G95" s="47"/>
      <c r="H95" s="48"/>
      <c r="I95" s="49"/>
      <c r="J95" s="47"/>
      <c r="K95" s="48"/>
      <c r="L95" s="49"/>
      <c r="M95" s="47"/>
      <c r="N95" s="48"/>
      <c r="O95" s="49"/>
      <c r="P95" s="47"/>
      <c r="Q95" s="48"/>
      <c r="R95" s="49"/>
      <c r="S95" s="47"/>
      <c r="T95" s="48"/>
      <c r="U95" s="49"/>
      <c r="V95" s="47"/>
      <c r="W95" s="48"/>
      <c r="X95" s="49"/>
      <c r="Y95" s="47"/>
      <c r="Z95" s="48"/>
      <c r="AA95" s="49"/>
      <c r="AB95" s="47"/>
      <c r="AC95" s="48"/>
      <c r="AD95" s="49"/>
      <c r="AE95" s="47"/>
      <c r="AF95" s="48"/>
      <c r="AG95" s="49"/>
      <c r="AH95" s="50" t="str">
        <f t="shared" si="2"/>
        <v/>
      </c>
    </row>
    <row r="96" spans="1:34" ht="15.95" customHeight="1">
      <c r="A96" s="46">
        <v>18</v>
      </c>
      <c r="B96" s="63" t="str">
        <f>IF('(1).Classes'!J24="","",'(1).Classes'!J24)</f>
        <v/>
      </c>
      <c r="C96" s="62" t="str">
        <f>IF('(1).Classes'!K24="","",'(1).Classes'!K24)</f>
        <v/>
      </c>
      <c r="D96" s="47"/>
      <c r="E96" s="48"/>
      <c r="F96" s="49"/>
      <c r="G96" s="47"/>
      <c r="H96" s="48"/>
      <c r="I96" s="49"/>
      <c r="J96" s="47"/>
      <c r="K96" s="48"/>
      <c r="L96" s="49"/>
      <c r="M96" s="47"/>
      <c r="N96" s="48"/>
      <c r="O96" s="49"/>
      <c r="P96" s="47"/>
      <c r="Q96" s="48"/>
      <c r="R96" s="49"/>
      <c r="S96" s="47"/>
      <c r="T96" s="48"/>
      <c r="U96" s="49"/>
      <c r="V96" s="47"/>
      <c r="W96" s="48"/>
      <c r="X96" s="49"/>
      <c r="Y96" s="47"/>
      <c r="Z96" s="48"/>
      <c r="AA96" s="49"/>
      <c r="AB96" s="47"/>
      <c r="AC96" s="48"/>
      <c r="AD96" s="49"/>
      <c r="AE96" s="47"/>
      <c r="AF96" s="48"/>
      <c r="AG96" s="49"/>
      <c r="AH96" s="50" t="str">
        <f t="shared" si="2"/>
        <v/>
      </c>
    </row>
    <row r="97" spans="1:34" ht="15.95" customHeight="1">
      <c r="A97" s="46">
        <v>19</v>
      </c>
      <c r="B97" s="63" t="str">
        <f>IF('(1).Classes'!J25="","",'(1).Classes'!J25)</f>
        <v/>
      </c>
      <c r="C97" s="62" t="str">
        <f>IF('(1).Classes'!K25="","",'(1).Classes'!K25)</f>
        <v/>
      </c>
      <c r="D97" s="47"/>
      <c r="E97" s="48"/>
      <c r="F97" s="49"/>
      <c r="G97" s="47"/>
      <c r="H97" s="48"/>
      <c r="I97" s="49"/>
      <c r="J97" s="47"/>
      <c r="K97" s="48"/>
      <c r="L97" s="49"/>
      <c r="M97" s="47"/>
      <c r="N97" s="48"/>
      <c r="O97" s="49"/>
      <c r="P97" s="47"/>
      <c r="Q97" s="48"/>
      <c r="R97" s="49"/>
      <c r="S97" s="47"/>
      <c r="T97" s="48"/>
      <c r="U97" s="49"/>
      <c r="V97" s="47"/>
      <c r="W97" s="48"/>
      <c r="X97" s="49"/>
      <c r="Y97" s="47"/>
      <c r="Z97" s="48"/>
      <c r="AA97" s="49"/>
      <c r="AB97" s="47"/>
      <c r="AC97" s="48"/>
      <c r="AD97" s="49"/>
      <c r="AE97" s="47"/>
      <c r="AF97" s="48"/>
      <c r="AG97" s="49"/>
      <c r="AH97" s="50" t="str">
        <f t="shared" si="2"/>
        <v/>
      </c>
    </row>
    <row r="98" spans="1:34" ht="15.95" customHeight="1">
      <c r="A98" s="46">
        <v>20</v>
      </c>
      <c r="B98" s="63" t="str">
        <f>IF('(1).Classes'!J26="","",'(1).Classes'!J26)</f>
        <v/>
      </c>
      <c r="C98" s="62" t="str">
        <f>IF('(1).Classes'!K26="","",'(1).Classes'!K26)</f>
        <v/>
      </c>
      <c r="D98" s="47"/>
      <c r="E98" s="48"/>
      <c r="F98" s="49"/>
      <c r="G98" s="47"/>
      <c r="H98" s="48"/>
      <c r="I98" s="49"/>
      <c r="J98" s="47"/>
      <c r="K98" s="48"/>
      <c r="L98" s="49"/>
      <c r="M98" s="47"/>
      <c r="N98" s="48"/>
      <c r="O98" s="49"/>
      <c r="P98" s="47"/>
      <c r="Q98" s="48"/>
      <c r="R98" s="49"/>
      <c r="S98" s="47"/>
      <c r="T98" s="48"/>
      <c r="U98" s="49"/>
      <c r="V98" s="47"/>
      <c r="W98" s="48"/>
      <c r="X98" s="49"/>
      <c r="Y98" s="47"/>
      <c r="Z98" s="48"/>
      <c r="AA98" s="49"/>
      <c r="AB98" s="47"/>
      <c r="AC98" s="48"/>
      <c r="AD98" s="49"/>
      <c r="AE98" s="47"/>
      <c r="AF98" s="48"/>
      <c r="AG98" s="49"/>
      <c r="AH98" s="50" t="str">
        <f t="shared" si="2"/>
        <v/>
      </c>
    </row>
    <row r="99" spans="1:34" ht="15.95" customHeight="1">
      <c r="A99" s="46">
        <v>21</v>
      </c>
      <c r="B99" s="63" t="str">
        <f>IF('(1).Classes'!J27="","",'(1).Classes'!J27)</f>
        <v/>
      </c>
      <c r="C99" s="62" t="str">
        <f>IF('(1).Classes'!K27="","",'(1).Classes'!K27)</f>
        <v/>
      </c>
      <c r="D99" s="47"/>
      <c r="E99" s="48"/>
      <c r="F99" s="49"/>
      <c r="G99" s="47"/>
      <c r="H99" s="48"/>
      <c r="I99" s="49"/>
      <c r="J99" s="47"/>
      <c r="K99" s="48"/>
      <c r="L99" s="49"/>
      <c r="M99" s="47"/>
      <c r="N99" s="48"/>
      <c r="O99" s="49"/>
      <c r="P99" s="47"/>
      <c r="Q99" s="48"/>
      <c r="R99" s="49"/>
      <c r="S99" s="47"/>
      <c r="T99" s="48"/>
      <c r="U99" s="49"/>
      <c r="V99" s="47"/>
      <c r="W99" s="48"/>
      <c r="X99" s="49"/>
      <c r="Y99" s="47"/>
      <c r="Z99" s="48"/>
      <c r="AA99" s="49"/>
      <c r="AB99" s="47"/>
      <c r="AC99" s="48"/>
      <c r="AD99" s="49"/>
      <c r="AE99" s="47"/>
      <c r="AF99" s="48"/>
      <c r="AG99" s="49"/>
      <c r="AH99" s="50" t="str">
        <f t="shared" si="2"/>
        <v/>
      </c>
    </row>
    <row r="100" spans="1:34" ht="15.95" customHeight="1">
      <c r="A100" s="46">
        <v>22</v>
      </c>
      <c r="B100" s="63" t="str">
        <f>IF('(1).Classes'!J28="","",'(1).Classes'!J28)</f>
        <v/>
      </c>
      <c r="C100" s="62" t="str">
        <f>IF('(1).Classes'!K28="","",'(1).Classes'!K28)</f>
        <v/>
      </c>
      <c r="D100" s="47"/>
      <c r="E100" s="48"/>
      <c r="F100" s="49"/>
      <c r="G100" s="47"/>
      <c r="H100" s="48"/>
      <c r="I100" s="49"/>
      <c r="J100" s="47"/>
      <c r="K100" s="48"/>
      <c r="L100" s="49"/>
      <c r="M100" s="47"/>
      <c r="N100" s="48"/>
      <c r="O100" s="49"/>
      <c r="P100" s="47"/>
      <c r="Q100" s="48"/>
      <c r="R100" s="49"/>
      <c r="S100" s="47"/>
      <c r="T100" s="48"/>
      <c r="U100" s="49"/>
      <c r="V100" s="47"/>
      <c r="W100" s="48"/>
      <c r="X100" s="49"/>
      <c r="Y100" s="47"/>
      <c r="Z100" s="48"/>
      <c r="AA100" s="49"/>
      <c r="AB100" s="47"/>
      <c r="AC100" s="48"/>
      <c r="AD100" s="49"/>
      <c r="AE100" s="47"/>
      <c r="AF100" s="48"/>
      <c r="AG100" s="49"/>
      <c r="AH100" s="50" t="str">
        <f t="shared" si="2"/>
        <v/>
      </c>
    </row>
    <row r="101" spans="1:34" ht="15.95" customHeight="1">
      <c r="A101" s="46">
        <v>23</v>
      </c>
      <c r="B101" s="63" t="str">
        <f>IF('(1).Classes'!J29="","",'(1).Classes'!J29)</f>
        <v/>
      </c>
      <c r="C101" s="62" t="str">
        <f>IF('(1).Classes'!K29="","",'(1).Classes'!K29)</f>
        <v/>
      </c>
      <c r="D101" s="47"/>
      <c r="E101" s="48"/>
      <c r="F101" s="49"/>
      <c r="G101" s="47"/>
      <c r="H101" s="48"/>
      <c r="I101" s="49"/>
      <c r="J101" s="47"/>
      <c r="K101" s="48"/>
      <c r="L101" s="49"/>
      <c r="M101" s="47"/>
      <c r="N101" s="48"/>
      <c r="O101" s="49"/>
      <c r="P101" s="47"/>
      <c r="Q101" s="48"/>
      <c r="R101" s="49"/>
      <c r="S101" s="47"/>
      <c r="T101" s="48"/>
      <c r="U101" s="49"/>
      <c r="V101" s="47"/>
      <c r="W101" s="48"/>
      <c r="X101" s="49"/>
      <c r="Y101" s="47"/>
      <c r="Z101" s="48"/>
      <c r="AA101" s="49"/>
      <c r="AB101" s="47"/>
      <c r="AC101" s="48"/>
      <c r="AD101" s="49"/>
      <c r="AE101" s="47"/>
      <c r="AF101" s="48"/>
      <c r="AG101" s="49"/>
      <c r="AH101" s="50" t="str">
        <f t="shared" si="2"/>
        <v/>
      </c>
    </row>
    <row r="102" spans="1:34" ht="15.95" customHeight="1">
      <c r="A102" s="46">
        <v>24</v>
      </c>
      <c r="B102" s="63" t="str">
        <f>IF('(1).Classes'!J30="","",'(1).Classes'!J30)</f>
        <v/>
      </c>
      <c r="C102" s="62" t="str">
        <f>IF('(1).Classes'!K30="","",'(1).Classes'!K30)</f>
        <v/>
      </c>
      <c r="D102" s="47"/>
      <c r="E102" s="48"/>
      <c r="F102" s="49"/>
      <c r="G102" s="47"/>
      <c r="H102" s="48"/>
      <c r="I102" s="49"/>
      <c r="J102" s="47"/>
      <c r="K102" s="48"/>
      <c r="L102" s="49"/>
      <c r="M102" s="47"/>
      <c r="N102" s="48"/>
      <c r="O102" s="49"/>
      <c r="P102" s="47"/>
      <c r="Q102" s="48"/>
      <c r="R102" s="49"/>
      <c r="S102" s="47"/>
      <c r="T102" s="48"/>
      <c r="U102" s="49"/>
      <c r="V102" s="47"/>
      <c r="W102" s="48"/>
      <c r="X102" s="49"/>
      <c r="Y102" s="47"/>
      <c r="Z102" s="48"/>
      <c r="AA102" s="49"/>
      <c r="AB102" s="47"/>
      <c r="AC102" s="48"/>
      <c r="AD102" s="49"/>
      <c r="AE102" s="47"/>
      <c r="AF102" s="48"/>
      <c r="AG102" s="49"/>
      <c r="AH102" s="50" t="str">
        <f t="shared" si="2"/>
        <v/>
      </c>
    </row>
    <row r="103" spans="1:34" ht="15.95" customHeight="1">
      <c r="A103" s="46">
        <v>25</v>
      </c>
      <c r="B103" s="63" t="str">
        <f>IF('(1).Classes'!J31="","",'(1).Classes'!J31)</f>
        <v/>
      </c>
      <c r="C103" s="62" t="str">
        <f>IF('(1).Classes'!K31="","",'(1).Classes'!K31)</f>
        <v/>
      </c>
      <c r="D103" s="47"/>
      <c r="E103" s="48"/>
      <c r="F103" s="49"/>
      <c r="G103" s="47"/>
      <c r="H103" s="48"/>
      <c r="I103" s="49"/>
      <c r="J103" s="47"/>
      <c r="K103" s="48"/>
      <c r="L103" s="49"/>
      <c r="M103" s="47"/>
      <c r="N103" s="48"/>
      <c r="O103" s="49"/>
      <c r="P103" s="47"/>
      <c r="Q103" s="48"/>
      <c r="R103" s="49"/>
      <c r="S103" s="47"/>
      <c r="T103" s="48"/>
      <c r="U103" s="49"/>
      <c r="V103" s="47"/>
      <c r="W103" s="48"/>
      <c r="X103" s="49"/>
      <c r="Y103" s="47"/>
      <c r="Z103" s="48"/>
      <c r="AA103" s="49"/>
      <c r="AB103" s="47"/>
      <c r="AC103" s="48"/>
      <c r="AD103" s="49"/>
      <c r="AE103" s="47"/>
      <c r="AF103" s="48"/>
      <c r="AG103" s="49"/>
      <c r="AH103" s="50" t="str">
        <f t="shared" si="2"/>
        <v/>
      </c>
    </row>
    <row r="104" spans="1:34" ht="15.95" customHeight="1">
      <c r="A104" s="46">
        <v>26</v>
      </c>
      <c r="B104" s="63" t="str">
        <f>IF('(1).Classes'!J32="","",'(1).Classes'!J32)</f>
        <v/>
      </c>
      <c r="C104" s="62" t="str">
        <f>IF('(1).Classes'!K32="","",'(1).Classes'!K32)</f>
        <v/>
      </c>
      <c r="D104" s="47"/>
      <c r="E104" s="48"/>
      <c r="F104" s="49"/>
      <c r="G104" s="47"/>
      <c r="H104" s="48"/>
      <c r="I104" s="49"/>
      <c r="J104" s="47"/>
      <c r="K104" s="48"/>
      <c r="L104" s="49"/>
      <c r="M104" s="47"/>
      <c r="N104" s="48"/>
      <c r="O104" s="49"/>
      <c r="P104" s="47"/>
      <c r="Q104" s="48"/>
      <c r="R104" s="49"/>
      <c r="S104" s="47"/>
      <c r="T104" s="48"/>
      <c r="U104" s="49"/>
      <c r="V104" s="47"/>
      <c r="W104" s="48"/>
      <c r="X104" s="49"/>
      <c r="Y104" s="47"/>
      <c r="Z104" s="48"/>
      <c r="AA104" s="49"/>
      <c r="AB104" s="47"/>
      <c r="AC104" s="48"/>
      <c r="AD104" s="49"/>
      <c r="AE104" s="47"/>
      <c r="AF104" s="48"/>
      <c r="AG104" s="49"/>
      <c r="AH104" s="50" t="str">
        <f t="shared" si="2"/>
        <v/>
      </c>
    </row>
    <row r="105" spans="1:34" ht="15.95" customHeight="1">
      <c r="A105" s="46">
        <v>27</v>
      </c>
      <c r="B105" s="63" t="str">
        <f>IF('(1).Classes'!J33="","",'(1).Classes'!J33)</f>
        <v/>
      </c>
      <c r="C105" s="62" t="str">
        <f>IF('(1).Classes'!K33="","",'(1).Classes'!K33)</f>
        <v/>
      </c>
      <c r="D105" s="47"/>
      <c r="E105" s="48"/>
      <c r="F105" s="49"/>
      <c r="G105" s="47"/>
      <c r="H105" s="48"/>
      <c r="I105" s="49"/>
      <c r="J105" s="47"/>
      <c r="K105" s="48"/>
      <c r="L105" s="49"/>
      <c r="M105" s="47"/>
      <c r="N105" s="48"/>
      <c r="O105" s="49"/>
      <c r="P105" s="47"/>
      <c r="Q105" s="48"/>
      <c r="R105" s="49"/>
      <c r="S105" s="47"/>
      <c r="T105" s="48"/>
      <c r="U105" s="49"/>
      <c r="V105" s="47"/>
      <c r="W105" s="48"/>
      <c r="X105" s="49"/>
      <c r="Y105" s="47"/>
      <c r="Z105" s="48"/>
      <c r="AA105" s="49"/>
      <c r="AB105" s="47"/>
      <c r="AC105" s="48"/>
      <c r="AD105" s="49"/>
      <c r="AE105" s="47"/>
      <c r="AF105" s="48"/>
      <c r="AG105" s="49"/>
      <c r="AH105" s="50" t="str">
        <f t="shared" si="2"/>
        <v/>
      </c>
    </row>
    <row r="106" spans="1:34" ht="15.95" customHeight="1">
      <c r="A106" s="46">
        <v>28</v>
      </c>
      <c r="B106" s="63" t="str">
        <f>IF('(1).Classes'!J34="","",'(1).Classes'!J34)</f>
        <v/>
      </c>
      <c r="C106" s="62" t="str">
        <f>IF('(1).Classes'!K34="","",'(1).Classes'!K34)</f>
        <v/>
      </c>
      <c r="D106" s="47"/>
      <c r="E106" s="48"/>
      <c r="F106" s="49"/>
      <c r="G106" s="47"/>
      <c r="H106" s="48"/>
      <c r="I106" s="49"/>
      <c r="J106" s="47"/>
      <c r="K106" s="48"/>
      <c r="L106" s="49"/>
      <c r="M106" s="47"/>
      <c r="N106" s="48"/>
      <c r="O106" s="49"/>
      <c r="P106" s="47"/>
      <c r="Q106" s="48"/>
      <c r="R106" s="49"/>
      <c r="S106" s="47"/>
      <c r="T106" s="48"/>
      <c r="U106" s="49"/>
      <c r="V106" s="47"/>
      <c r="W106" s="48"/>
      <c r="X106" s="49"/>
      <c r="Y106" s="47"/>
      <c r="Z106" s="48"/>
      <c r="AA106" s="49"/>
      <c r="AB106" s="47"/>
      <c r="AC106" s="48"/>
      <c r="AD106" s="49"/>
      <c r="AE106" s="47"/>
      <c r="AF106" s="48"/>
      <c r="AG106" s="49"/>
      <c r="AH106" s="50" t="str">
        <f t="shared" si="2"/>
        <v/>
      </c>
    </row>
    <row r="107" spans="1:34" ht="15.95" customHeight="1">
      <c r="A107" s="46">
        <v>29</v>
      </c>
      <c r="B107" s="63" t="str">
        <f>IF('(1).Classes'!J35="","",'(1).Classes'!J35)</f>
        <v/>
      </c>
      <c r="C107" s="62" t="str">
        <f>IF('(1).Classes'!K35="","",'(1).Classes'!K35)</f>
        <v/>
      </c>
      <c r="D107" s="47"/>
      <c r="E107" s="48"/>
      <c r="F107" s="49"/>
      <c r="G107" s="47"/>
      <c r="H107" s="48"/>
      <c r="I107" s="49"/>
      <c r="J107" s="47"/>
      <c r="K107" s="48"/>
      <c r="L107" s="49"/>
      <c r="M107" s="47"/>
      <c r="N107" s="48"/>
      <c r="O107" s="49"/>
      <c r="P107" s="47"/>
      <c r="Q107" s="48"/>
      <c r="R107" s="49"/>
      <c r="S107" s="47"/>
      <c r="T107" s="48"/>
      <c r="U107" s="49"/>
      <c r="V107" s="47"/>
      <c r="W107" s="48"/>
      <c r="X107" s="49"/>
      <c r="Y107" s="47"/>
      <c r="Z107" s="48"/>
      <c r="AA107" s="49"/>
      <c r="AB107" s="47"/>
      <c r="AC107" s="48"/>
      <c r="AD107" s="49"/>
      <c r="AE107" s="47"/>
      <c r="AF107" s="48"/>
      <c r="AG107" s="49"/>
      <c r="AH107" s="50" t="str">
        <f t="shared" si="2"/>
        <v/>
      </c>
    </row>
    <row r="108" spans="1:34" ht="15.95" customHeight="1">
      <c r="A108" s="46">
        <v>30</v>
      </c>
      <c r="B108" s="63" t="str">
        <f>IF('(1).Classes'!J36="","",'(1).Classes'!J36)</f>
        <v/>
      </c>
      <c r="C108" s="62" t="str">
        <f>IF('(1).Classes'!K36="","",'(1).Classes'!K36)</f>
        <v/>
      </c>
      <c r="D108" s="47"/>
      <c r="E108" s="48"/>
      <c r="F108" s="49"/>
      <c r="G108" s="47"/>
      <c r="H108" s="48"/>
      <c r="I108" s="49"/>
      <c r="J108" s="47"/>
      <c r="K108" s="48"/>
      <c r="L108" s="49"/>
      <c r="M108" s="47"/>
      <c r="N108" s="48"/>
      <c r="O108" s="49"/>
      <c r="P108" s="47"/>
      <c r="Q108" s="48"/>
      <c r="R108" s="49"/>
      <c r="S108" s="47"/>
      <c r="T108" s="48"/>
      <c r="U108" s="49"/>
      <c r="V108" s="47"/>
      <c r="W108" s="48"/>
      <c r="X108" s="49"/>
      <c r="Y108" s="47"/>
      <c r="Z108" s="48"/>
      <c r="AA108" s="49"/>
      <c r="AB108" s="47"/>
      <c r="AC108" s="48"/>
      <c r="AD108" s="49"/>
      <c r="AE108" s="47"/>
      <c r="AF108" s="48"/>
      <c r="AG108" s="49"/>
      <c r="AH108" s="50" t="str">
        <f t="shared" si="2"/>
        <v/>
      </c>
    </row>
    <row r="109" spans="1:34" ht="15.95" customHeight="1">
      <c r="A109" s="18" t="s">
        <v>0</v>
      </c>
      <c r="B109" s="19">
        <f>'(1).Classes'!B37</f>
        <v>0</v>
      </c>
      <c r="C109" s="60"/>
      <c r="D109" s="222" t="s">
        <v>90</v>
      </c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</row>
    <row r="110" spans="1:34" ht="15.95" customHeight="1">
      <c r="A110" s="18" t="s">
        <v>1</v>
      </c>
      <c r="B110" s="19">
        <f>'(1).Classes'!B38</f>
        <v>0</v>
      </c>
      <c r="C110" s="60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</row>
    <row r="111" spans="1:34" ht="15.95" customHeight="1">
      <c r="A111" s="18" t="s">
        <v>2</v>
      </c>
      <c r="B111" s="19">
        <f>'(1).Classes'!B39</f>
        <v>0</v>
      </c>
      <c r="C111" s="60"/>
      <c r="D111" s="223" t="str">
        <f>D75</f>
        <v>FEBRUARY - JULY 2026</v>
      </c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</row>
    <row r="112" spans="1:34" ht="15.95" customHeight="1">
      <c r="A112" s="18" t="s">
        <v>3</v>
      </c>
      <c r="B112" s="19">
        <f>'(1).Classes'!B40</f>
        <v>0</v>
      </c>
      <c r="C112" s="60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</row>
    <row r="113" spans="1:34" ht="15.95" customHeight="1">
      <c r="A113" s="18" t="s">
        <v>4</v>
      </c>
      <c r="B113" s="19">
        <f>'(1).Classes'!B41</f>
        <v>0</v>
      </c>
      <c r="C113" s="61"/>
      <c r="D113" s="220" t="str">
        <f>IF(OR($B110="K5",$B110="K6",$B110="K7",$B110="K8",$B110="K9",$B110="K10"),"Listening","Up-Low C")</f>
        <v>Up-Low C</v>
      </c>
      <c r="E113" s="220"/>
      <c r="F113" s="220"/>
      <c r="G113" s="220" t="str">
        <f>IF(OR($B110="K5",$B110="K6",$B110="K7",$B110="K8",$B110="K9",$B110="K10"),"Speaking","Alphabet N")</f>
        <v>Alphabet N</v>
      </c>
      <c r="H113" s="220"/>
      <c r="I113" s="220"/>
      <c r="J113" s="220" t="str">
        <f>IF(OR($B110="K5",$B110="K6",$B110="K7",$B110="K8",$B110="K9",$B110="K10"),"Reading","Alphabet S")</f>
        <v>Alphabet S</v>
      </c>
      <c r="K113" s="220"/>
      <c r="L113" s="220"/>
      <c r="M113" s="220" t="str">
        <f>IF(OR($B110="K5",$B110="K6",$B110="K7",$B110="K8",$B110="K9",$B110="K10"),"Writing","Vocabulary")</f>
        <v>Vocabulary</v>
      </c>
      <c r="N113" s="220"/>
      <c r="O113" s="220"/>
      <c r="P113" s="220" t="str">
        <f>IF(OR($B110="K5",$B110="K6",$B110="K7",$B110="K8",$B110="K9",$B110="K10"),"Gram/Vocab","Sprouts")</f>
        <v>Sprouts</v>
      </c>
      <c r="Q113" s="220"/>
      <c r="R113" s="220"/>
      <c r="S113" s="220" t="str">
        <f>IF(OR($B110="K5",$B110="K6",$B110="K7",$B110="K8",$B110="K9",$B110="K10"),"Roots","Phonics")</f>
        <v>Phonics</v>
      </c>
      <c r="T113" s="220"/>
      <c r="U113" s="220"/>
      <c r="V113" s="220" t="str">
        <f>IF(OR($B110="K5",$B110="K6",$B110="K7",$B110="K8",$B110="K9",$B110="K10"),"Phonics","Math")</f>
        <v>Math</v>
      </c>
      <c r="W113" s="220"/>
      <c r="X113" s="220"/>
      <c r="Y113" s="220" t="str">
        <f>IF(OR($B110="K5",$B110="K6",$B110="K7",$B110="K8",$B110="K9",$B110="K10"),"Math","Shape")</f>
        <v>Shape</v>
      </c>
      <c r="Z113" s="220"/>
      <c r="AA113" s="220"/>
      <c r="AB113" s="220" t="s">
        <v>10</v>
      </c>
      <c r="AC113" s="220"/>
      <c r="AD113" s="220"/>
      <c r="AE113" s="220" t="str">
        <f>IF(OR($B110="K5",$B110="K6",$B110="K7",$B110="K8",$B110="K9",$B110="K10"),"Homework","Tracing")</f>
        <v>Tracing</v>
      </c>
      <c r="AF113" s="220"/>
      <c r="AG113" s="220"/>
      <c r="AH113" s="90" t="s">
        <v>11</v>
      </c>
    </row>
    <row r="114" spans="1:34" ht="15.95" customHeight="1" thickBot="1">
      <c r="A114" s="73" t="s">
        <v>5</v>
      </c>
      <c r="B114" s="74" t="s">
        <v>6</v>
      </c>
      <c r="C114" s="75" t="s">
        <v>7</v>
      </c>
      <c r="D114" s="221" t="s">
        <v>9</v>
      </c>
      <c r="E114" s="221"/>
      <c r="F114" s="221"/>
      <c r="G114" s="221" t="s">
        <v>9</v>
      </c>
      <c r="H114" s="221"/>
      <c r="I114" s="221"/>
      <c r="J114" s="221" t="s">
        <v>9</v>
      </c>
      <c r="K114" s="221"/>
      <c r="L114" s="221"/>
      <c r="M114" s="221" t="s">
        <v>9</v>
      </c>
      <c r="N114" s="221"/>
      <c r="O114" s="221"/>
      <c r="P114" s="221" t="s">
        <v>9</v>
      </c>
      <c r="Q114" s="221"/>
      <c r="R114" s="221"/>
      <c r="S114" s="221" t="s">
        <v>9</v>
      </c>
      <c r="T114" s="221"/>
      <c r="U114" s="221"/>
      <c r="V114" s="221" t="s">
        <v>9</v>
      </c>
      <c r="W114" s="221"/>
      <c r="X114" s="221"/>
      <c r="Y114" s="221" t="s">
        <v>9</v>
      </c>
      <c r="Z114" s="221"/>
      <c r="AA114" s="221"/>
      <c r="AB114" s="221" t="s">
        <v>9</v>
      </c>
      <c r="AC114" s="221"/>
      <c r="AD114" s="221"/>
      <c r="AE114" s="221" t="s">
        <v>9</v>
      </c>
      <c r="AF114" s="221"/>
      <c r="AG114" s="221"/>
      <c r="AH114" s="77" t="s">
        <v>12</v>
      </c>
    </row>
    <row r="115" spans="1:34" ht="15.95" customHeight="1">
      <c r="A115" s="46">
        <v>1</v>
      </c>
      <c r="B115" s="63" t="str">
        <f>IF('(1).Classes'!B43="","",'(1).Classes'!B43)</f>
        <v/>
      </c>
      <c r="C115" s="62" t="str">
        <f>IF('(1).Classes'!C43="","",'(1).Classes'!C43)</f>
        <v/>
      </c>
      <c r="D115" s="69"/>
      <c r="E115" s="70"/>
      <c r="F115" s="71"/>
      <c r="G115" s="69"/>
      <c r="H115" s="70"/>
      <c r="I115" s="71"/>
      <c r="J115" s="69"/>
      <c r="K115" s="70"/>
      <c r="L115" s="71"/>
      <c r="M115" s="69"/>
      <c r="N115" s="70"/>
      <c r="O115" s="71"/>
      <c r="P115" s="69"/>
      <c r="Q115" s="70"/>
      <c r="R115" s="71"/>
      <c r="S115" s="69"/>
      <c r="T115" s="70"/>
      <c r="U115" s="71"/>
      <c r="V115" s="69"/>
      <c r="W115" s="70"/>
      <c r="X115" s="71"/>
      <c r="Y115" s="69"/>
      <c r="Z115" s="70"/>
      <c r="AA115" s="71"/>
      <c r="AB115" s="69"/>
      <c r="AC115" s="70"/>
      <c r="AD115" s="71"/>
      <c r="AE115" s="69"/>
      <c r="AF115" s="70"/>
      <c r="AG115" s="71"/>
      <c r="AH115" s="72" t="str">
        <f>IF(B115="","",IF(COUNT(D115:F115)=0,"Incomplete",IF(COUNT(G115:I115)=0,"Incomplete",IF(COUNT(J115:L115)=0,"Incomplete",IF(COUNT(M115:O115)=0,"Incomplete",IF(COUNT(P115:R115)=0,"Incomplete",IF(COUNT(S115:U115)=0,"Incomplete",IF(COUNT(V115:X115)=0,"Incomplete",IF(COUNT(Y115:AA115)=0,"Incomplete",IF(COUNT(AB115:AD115)=0,"Incomplete",IF(COUNT(AE115:AG115)=0,"Incomplete",AVERAGEIF(D115:F115,"&gt;=0")+AVERAGEIF(G115:I115,"&gt;=0")+AVERAGEIF(J115:L115,"&gt;=0")+AVERAGEIF(M115:O115,"&gt;=0")+AVERAGEIF(P115:R115,"&gt;=0")+AVERAGEIF(S115:U115,"&gt;=0")+AVERAGEIF(V115:X115,"&gt;=0")+AVERAGEIF(Y115:AA115,"&gt;=0")+AVERAGEIF(AB115:AD115,"&gt;=0")+AVERAGEIF(AE115:AG115,"&gt;=0"))))))))))))</f>
        <v/>
      </c>
    </row>
    <row r="116" spans="1:34" ht="15.95" customHeight="1">
      <c r="A116" s="46">
        <v>2</v>
      </c>
      <c r="B116" s="63" t="str">
        <f>IF('(1).Classes'!B44="","",'(1).Classes'!B44)</f>
        <v/>
      </c>
      <c r="C116" s="62" t="str">
        <f>IF('(1).Classes'!C44="","",'(1).Classes'!C44)</f>
        <v/>
      </c>
      <c r="D116" s="47"/>
      <c r="E116" s="48"/>
      <c r="F116" s="49"/>
      <c r="G116" s="47"/>
      <c r="H116" s="48"/>
      <c r="I116" s="49"/>
      <c r="J116" s="47"/>
      <c r="K116" s="48"/>
      <c r="L116" s="49"/>
      <c r="M116" s="47"/>
      <c r="N116" s="48"/>
      <c r="O116" s="49"/>
      <c r="P116" s="47"/>
      <c r="Q116" s="48"/>
      <c r="R116" s="49"/>
      <c r="S116" s="47"/>
      <c r="T116" s="48"/>
      <c r="U116" s="49"/>
      <c r="V116" s="47"/>
      <c r="W116" s="48"/>
      <c r="X116" s="49"/>
      <c r="Y116" s="47"/>
      <c r="Z116" s="48"/>
      <c r="AA116" s="49"/>
      <c r="AB116" s="47"/>
      <c r="AC116" s="48"/>
      <c r="AD116" s="49"/>
      <c r="AE116" s="47"/>
      <c r="AF116" s="48"/>
      <c r="AG116" s="49"/>
      <c r="AH116" s="50" t="str">
        <f t="shared" ref="AH116:AH144" si="3">IF(B116="","",IF(COUNT(D116:F116)=0,"Incomplete",IF(COUNT(G116:I116)=0,"Incomplete",IF(COUNT(J116:L116)=0,"Incomplete",IF(COUNT(M116:O116)=0,"Incomplete",IF(COUNT(P116:R116)=0,"Incomplete",IF(COUNT(S116:U116)=0,"Incomplete",IF(COUNT(V116:X116)=0,"Incomplete",IF(COUNT(Y116:AA116)=0,"Incomplete",IF(COUNT(AB116:AD116)=0,"Incomplete",IF(COUNT(AE116:AG116)=0,"Incomplete",AVERAGEIF(D116:F116,"&gt;=0")+AVERAGEIF(G116:I116,"&gt;=0")+AVERAGEIF(J116:L116,"&gt;=0")+AVERAGEIF(M116:O116,"&gt;=0")+AVERAGEIF(P116:R116,"&gt;=0")+AVERAGEIF(S116:U116,"&gt;=0")+AVERAGEIF(V116:X116,"&gt;=0")+AVERAGEIF(Y116:AA116,"&gt;=0")+AVERAGEIF(AB116:AD116,"&gt;=0")+AVERAGEIF(AE116:AG116,"&gt;=0"))))))))))))</f>
        <v/>
      </c>
    </row>
    <row r="117" spans="1:34" ht="15.95" customHeight="1">
      <c r="A117" s="46">
        <v>3</v>
      </c>
      <c r="B117" s="63" t="str">
        <f>IF('(1).Classes'!B45="","",'(1).Classes'!B45)</f>
        <v/>
      </c>
      <c r="C117" s="62" t="str">
        <f>IF('(1).Classes'!C45="","",'(1).Classes'!C45)</f>
        <v/>
      </c>
      <c r="D117" s="47"/>
      <c r="E117" s="48"/>
      <c r="F117" s="49"/>
      <c r="G117" s="47"/>
      <c r="H117" s="48"/>
      <c r="I117" s="49"/>
      <c r="J117" s="47"/>
      <c r="K117" s="48"/>
      <c r="L117" s="49"/>
      <c r="M117" s="47"/>
      <c r="N117" s="48"/>
      <c r="O117" s="49"/>
      <c r="P117" s="47"/>
      <c r="Q117" s="48"/>
      <c r="R117" s="49"/>
      <c r="S117" s="47"/>
      <c r="T117" s="48"/>
      <c r="U117" s="49"/>
      <c r="V117" s="47"/>
      <c r="W117" s="48"/>
      <c r="X117" s="49"/>
      <c r="Y117" s="47"/>
      <c r="Z117" s="48"/>
      <c r="AA117" s="49"/>
      <c r="AB117" s="47"/>
      <c r="AC117" s="48"/>
      <c r="AD117" s="49"/>
      <c r="AE117" s="47"/>
      <c r="AF117" s="48"/>
      <c r="AG117" s="49"/>
      <c r="AH117" s="50" t="str">
        <f t="shared" si="3"/>
        <v/>
      </c>
    </row>
    <row r="118" spans="1:34" ht="15.95" customHeight="1">
      <c r="A118" s="46">
        <v>4</v>
      </c>
      <c r="B118" s="63" t="str">
        <f>IF('(1).Classes'!B46="","",'(1).Classes'!B46)</f>
        <v/>
      </c>
      <c r="C118" s="62" t="str">
        <f>IF('(1).Classes'!C46="","",'(1).Classes'!C46)</f>
        <v/>
      </c>
      <c r="D118" s="47"/>
      <c r="E118" s="48"/>
      <c r="F118" s="49"/>
      <c r="G118" s="47"/>
      <c r="H118" s="48"/>
      <c r="I118" s="49"/>
      <c r="J118" s="47"/>
      <c r="K118" s="48"/>
      <c r="L118" s="49"/>
      <c r="M118" s="47"/>
      <c r="N118" s="48"/>
      <c r="O118" s="49"/>
      <c r="P118" s="47"/>
      <c r="Q118" s="48"/>
      <c r="R118" s="49"/>
      <c r="S118" s="47"/>
      <c r="T118" s="48"/>
      <c r="U118" s="49"/>
      <c r="V118" s="47"/>
      <c r="W118" s="48"/>
      <c r="X118" s="49"/>
      <c r="Y118" s="47"/>
      <c r="Z118" s="48"/>
      <c r="AA118" s="49"/>
      <c r="AB118" s="47"/>
      <c r="AC118" s="48"/>
      <c r="AD118" s="49"/>
      <c r="AE118" s="47"/>
      <c r="AF118" s="48"/>
      <c r="AG118" s="49"/>
      <c r="AH118" s="50" t="str">
        <f t="shared" si="3"/>
        <v/>
      </c>
    </row>
    <row r="119" spans="1:34" ht="15.95" customHeight="1">
      <c r="A119" s="46">
        <v>5</v>
      </c>
      <c r="B119" s="63" t="str">
        <f>IF('(1).Classes'!B47="","",'(1).Classes'!B47)</f>
        <v/>
      </c>
      <c r="C119" s="62" t="str">
        <f>IF('(1).Classes'!C47="","",'(1).Classes'!C47)</f>
        <v/>
      </c>
      <c r="D119" s="47"/>
      <c r="E119" s="48"/>
      <c r="F119" s="49"/>
      <c r="G119" s="47"/>
      <c r="H119" s="48"/>
      <c r="I119" s="49"/>
      <c r="J119" s="47"/>
      <c r="K119" s="48"/>
      <c r="L119" s="49"/>
      <c r="M119" s="47"/>
      <c r="N119" s="48"/>
      <c r="O119" s="49"/>
      <c r="P119" s="47"/>
      <c r="Q119" s="48"/>
      <c r="R119" s="49"/>
      <c r="S119" s="47"/>
      <c r="T119" s="48"/>
      <c r="U119" s="49"/>
      <c r="V119" s="47"/>
      <c r="W119" s="48"/>
      <c r="X119" s="49"/>
      <c r="Y119" s="47"/>
      <c r="Z119" s="48"/>
      <c r="AA119" s="49"/>
      <c r="AB119" s="47"/>
      <c r="AC119" s="48"/>
      <c r="AD119" s="49"/>
      <c r="AE119" s="47"/>
      <c r="AF119" s="48"/>
      <c r="AG119" s="49"/>
      <c r="AH119" s="50" t="str">
        <f t="shared" si="3"/>
        <v/>
      </c>
    </row>
    <row r="120" spans="1:34" ht="15.95" customHeight="1">
      <c r="A120" s="46">
        <v>6</v>
      </c>
      <c r="B120" s="63" t="str">
        <f>IF('(1).Classes'!B48="","",'(1).Classes'!B48)</f>
        <v/>
      </c>
      <c r="C120" s="62" t="str">
        <f>IF('(1).Classes'!C48="","",'(1).Classes'!C48)</f>
        <v/>
      </c>
      <c r="D120" s="47"/>
      <c r="E120" s="48"/>
      <c r="F120" s="49"/>
      <c r="G120" s="47"/>
      <c r="H120" s="48"/>
      <c r="I120" s="49"/>
      <c r="J120" s="47"/>
      <c r="K120" s="48"/>
      <c r="L120" s="49"/>
      <c r="M120" s="47"/>
      <c r="N120" s="48"/>
      <c r="O120" s="49"/>
      <c r="P120" s="47"/>
      <c r="Q120" s="48"/>
      <c r="R120" s="49"/>
      <c r="S120" s="47"/>
      <c r="T120" s="48"/>
      <c r="U120" s="49"/>
      <c r="V120" s="47"/>
      <c r="W120" s="48"/>
      <c r="X120" s="49"/>
      <c r="Y120" s="47"/>
      <c r="Z120" s="48"/>
      <c r="AA120" s="49"/>
      <c r="AB120" s="47"/>
      <c r="AC120" s="48"/>
      <c r="AD120" s="49"/>
      <c r="AE120" s="47"/>
      <c r="AF120" s="48"/>
      <c r="AG120" s="49"/>
      <c r="AH120" s="50" t="str">
        <f t="shared" si="3"/>
        <v/>
      </c>
    </row>
    <row r="121" spans="1:34" ht="15.95" customHeight="1">
      <c r="A121" s="46">
        <v>7</v>
      </c>
      <c r="B121" s="63" t="str">
        <f>IF('(1).Classes'!B49="","",'(1).Classes'!B49)</f>
        <v/>
      </c>
      <c r="C121" s="62" t="str">
        <f>IF('(1).Classes'!C49="","",'(1).Classes'!C49)</f>
        <v/>
      </c>
      <c r="D121" s="47"/>
      <c r="E121" s="48"/>
      <c r="F121" s="49"/>
      <c r="G121" s="47"/>
      <c r="H121" s="48"/>
      <c r="I121" s="49"/>
      <c r="J121" s="47"/>
      <c r="K121" s="48"/>
      <c r="L121" s="49"/>
      <c r="M121" s="47"/>
      <c r="N121" s="48"/>
      <c r="O121" s="49"/>
      <c r="P121" s="47"/>
      <c r="Q121" s="48"/>
      <c r="R121" s="49"/>
      <c r="S121" s="47"/>
      <c r="T121" s="48"/>
      <c r="U121" s="49"/>
      <c r="V121" s="47"/>
      <c r="W121" s="48"/>
      <c r="X121" s="49"/>
      <c r="Y121" s="47"/>
      <c r="Z121" s="48"/>
      <c r="AA121" s="49"/>
      <c r="AB121" s="47"/>
      <c r="AC121" s="48"/>
      <c r="AD121" s="49"/>
      <c r="AE121" s="47"/>
      <c r="AF121" s="48"/>
      <c r="AG121" s="49"/>
      <c r="AH121" s="50" t="str">
        <f t="shared" si="3"/>
        <v/>
      </c>
    </row>
    <row r="122" spans="1:34" ht="15.95" customHeight="1">
      <c r="A122" s="46">
        <v>8</v>
      </c>
      <c r="B122" s="63" t="str">
        <f>IF('(1).Classes'!B50="","",'(1).Classes'!B50)</f>
        <v/>
      </c>
      <c r="C122" s="62" t="str">
        <f>IF('(1).Classes'!C50="","",'(1).Classes'!C50)</f>
        <v/>
      </c>
      <c r="D122" s="47"/>
      <c r="E122" s="48"/>
      <c r="F122" s="49"/>
      <c r="G122" s="47"/>
      <c r="H122" s="48"/>
      <c r="I122" s="49"/>
      <c r="J122" s="47"/>
      <c r="K122" s="48"/>
      <c r="L122" s="49"/>
      <c r="M122" s="47"/>
      <c r="N122" s="48"/>
      <c r="O122" s="49"/>
      <c r="P122" s="47"/>
      <c r="Q122" s="48"/>
      <c r="R122" s="49"/>
      <c r="S122" s="47"/>
      <c r="T122" s="48"/>
      <c r="U122" s="49"/>
      <c r="V122" s="47"/>
      <c r="W122" s="48"/>
      <c r="X122" s="49"/>
      <c r="Y122" s="47"/>
      <c r="Z122" s="48"/>
      <c r="AA122" s="49"/>
      <c r="AB122" s="47"/>
      <c r="AC122" s="48"/>
      <c r="AD122" s="49"/>
      <c r="AE122" s="47"/>
      <c r="AF122" s="48"/>
      <c r="AG122" s="49"/>
      <c r="AH122" s="50" t="str">
        <f t="shared" si="3"/>
        <v/>
      </c>
    </row>
    <row r="123" spans="1:34" ht="15.95" customHeight="1">
      <c r="A123" s="46">
        <v>9</v>
      </c>
      <c r="B123" s="63" t="str">
        <f>IF('(1).Classes'!B51="","",'(1).Classes'!B51)</f>
        <v/>
      </c>
      <c r="C123" s="62" t="str">
        <f>IF('(1).Classes'!C51="","",'(1).Classes'!C51)</f>
        <v/>
      </c>
      <c r="D123" s="47"/>
      <c r="E123" s="48"/>
      <c r="F123" s="49"/>
      <c r="G123" s="47"/>
      <c r="H123" s="48"/>
      <c r="I123" s="49"/>
      <c r="J123" s="47"/>
      <c r="K123" s="48"/>
      <c r="L123" s="49"/>
      <c r="M123" s="47"/>
      <c r="N123" s="48"/>
      <c r="O123" s="49"/>
      <c r="P123" s="47"/>
      <c r="Q123" s="48"/>
      <c r="R123" s="49"/>
      <c r="S123" s="47"/>
      <c r="T123" s="48"/>
      <c r="U123" s="49"/>
      <c r="V123" s="47"/>
      <c r="W123" s="48"/>
      <c r="X123" s="49"/>
      <c r="Y123" s="47"/>
      <c r="Z123" s="48"/>
      <c r="AA123" s="49"/>
      <c r="AB123" s="47"/>
      <c r="AC123" s="48"/>
      <c r="AD123" s="49"/>
      <c r="AE123" s="47"/>
      <c r="AF123" s="48"/>
      <c r="AG123" s="49"/>
      <c r="AH123" s="50" t="str">
        <f t="shared" si="3"/>
        <v/>
      </c>
    </row>
    <row r="124" spans="1:34" ht="15.95" customHeight="1">
      <c r="A124" s="46">
        <v>10</v>
      </c>
      <c r="B124" s="63" t="str">
        <f>IF('(1).Classes'!B52="","",'(1).Classes'!B52)</f>
        <v/>
      </c>
      <c r="C124" s="62" t="str">
        <f>IF('(1).Classes'!C52="","",'(1).Classes'!C52)</f>
        <v/>
      </c>
      <c r="D124" s="47"/>
      <c r="E124" s="48"/>
      <c r="F124" s="49"/>
      <c r="G124" s="47"/>
      <c r="H124" s="48"/>
      <c r="I124" s="49"/>
      <c r="J124" s="47"/>
      <c r="K124" s="48"/>
      <c r="L124" s="49"/>
      <c r="M124" s="47"/>
      <c r="N124" s="48"/>
      <c r="O124" s="49"/>
      <c r="P124" s="47"/>
      <c r="Q124" s="48"/>
      <c r="R124" s="49"/>
      <c r="S124" s="47"/>
      <c r="T124" s="48"/>
      <c r="U124" s="49"/>
      <c r="V124" s="47"/>
      <c r="W124" s="48"/>
      <c r="X124" s="49"/>
      <c r="Y124" s="47"/>
      <c r="Z124" s="48"/>
      <c r="AA124" s="49"/>
      <c r="AB124" s="47"/>
      <c r="AC124" s="48"/>
      <c r="AD124" s="49"/>
      <c r="AE124" s="47"/>
      <c r="AF124" s="48"/>
      <c r="AG124" s="49"/>
      <c r="AH124" s="50" t="str">
        <f t="shared" si="3"/>
        <v/>
      </c>
    </row>
    <row r="125" spans="1:34" ht="15.95" customHeight="1">
      <c r="A125" s="46">
        <v>11</v>
      </c>
      <c r="B125" s="63" t="str">
        <f>IF('(1).Classes'!B53="","",'(1).Classes'!B53)</f>
        <v/>
      </c>
      <c r="C125" s="62" t="str">
        <f>IF('(1).Classes'!C53="","",'(1).Classes'!C53)</f>
        <v/>
      </c>
      <c r="D125" s="47"/>
      <c r="E125" s="48"/>
      <c r="F125" s="49"/>
      <c r="G125" s="47"/>
      <c r="H125" s="48"/>
      <c r="I125" s="49"/>
      <c r="J125" s="47"/>
      <c r="K125" s="48"/>
      <c r="L125" s="49"/>
      <c r="M125" s="47"/>
      <c r="N125" s="48"/>
      <c r="O125" s="49"/>
      <c r="P125" s="47"/>
      <c r="Q125" s="48"/>
      <c r="R125" s="49"/>
      <c r="S125" s="47"/>
      <c r="T125" s="48"/>
      <c r="U125" s="49"/>
      <c r="V125" s="47"/>
      <c r="W125" s="48"/>
      <c r="X125" s="49"/>
      <c r="Y125" s="47"/>
      <c r="Z125" s="48"/>
      <c r="AA125" s="49"/>
      <c r="AB125" s="47"/>
      <c r="AC125" s="48"/>
      <c r="AD125" s="49"/>
      <c r="AE125" s="47"/>
      <c r="AF125" s="48"/>
      <c r="AG125" s="49"/>
      <c r="AH125" s="50" t="str">
        <f t="shared" si="3"/>
        <v/>
      </c>
    </row>
    <row r="126" spans="1:34" ht="15.95" customHeight="1">
      <c r="A126" s="46">
        <v>12</v>
      </c>
      <c r="B126" s="63" t="str">
        <f>IF('(1).Classes'!B54="","",'(1).Classes'!B54)</f>
        <v/>
      </c>
      <c r="C126" s="62" t="str">
        <f>IF('(1).Classes'!C54="","",'(1).Classes'!C54)</f>
        <v/>
      </c>
      <c r="D126" s="47"/>
      <c r="E126" s="48"/>
      <c r="F126" s="49"/>
      <c r="G126" s="47"/>
      <c r="H126" s="48"/>
      <c r="I126" s="49"/>
      <c r="J126" s="47"/>
      <c r="K126" s="48"/>
      <c r="L126" s="49"/>
      <c r="M126" s="47"/>
      <c r="N126" s="48"/>
      <c r="O126" s="49"/>
      <c r="P126" s="47"/>
      <c r="Q126" s="48"/>
      <c r="R126" s="49"/>
      <c r="S126" s="47"/>
      <c r="T126" s="48"/>
      <c r="U126" s="49"/>
      <c r="V126" s="47"/>
      <c r="W126" s="48"/>
      <c r="X126" s="49"/>
      <c r="Y126" s="47"/>
      <c r="Z126" s="48"/>
      <c r="AA126" s="49"/>
      <c r="AB126" s="47"/>
      <c r="AC126" s="48"/>
      <c r="AD126" s="49"/>
      <c r="AE126" s="47"/>
      <c r="AF126" s="48"/>
      <c r="AG126" s="49"/>
      <c r="AH126" s="50" t="str">
        <f t="shared" si="3"/>
        <v/>
      </c>
    </row>
    <row r="127" spans="1:34" ht="15.95" customHeight="1">
      <c r="A127" s="46">
        <v>13</v>
      </c>
      <c r="B127" s="63" t="str">
        <f>IF('(1).Classes'!B55="","",'(1).Classes'!B55)</f>
        <v/>
      </c>
      <c r="C127" s="62" t="str">
        <f>IF('(1).Classes'!C55="","",'(1).Classes'!C55)</f>
        <v/>
      </c>
      <c r="D127" s="47"/>
      <c r="E127" s="48"/>
      <c r="F127" s="49"/>
      <c r="G127" s="47"/>
      <c r="H127" s="48"/>
      <c r="I127" s="49"/>
      <c r="J127" s="47"/>
      <c r="K127" s="48"/>
      <c r="L127" s="49"/>
      <c r="M127" s="47"/>
      <c r="N127" s="48"/>
      <c r="O127" s="49"/>
      <c r="P127" s="47"/>
      <c r="Q127" s="48"/>
      <c r="R127" s="49"/>
      <c r="S127" s="47"/>
      <c r="T127" s="48"/>
      <c r="U127" s="49"/>
      <c r="V127" s="47"/>
      <c r="W127" s="48"/>
      <c r="X127" s="49"/>
      <c r="Y127" s="47"/>
      <c r="Z127" s="48"/>
      <c r="AA127" s="49"/>
      <c r="AB127" s="47"/>
      <c r="AC127" s="48"/>
      <c r="AD127" s="49"/>
      <c r="AE127" s="47"/>
      <c r="AF127" s="48"/>
      <c r="AG127" s="49"/>
      <c r="AH127" s="50" t="str">
        <f t="shared" si="3"/>
        <v/>
      </c>
    </row>
    <row r="128" spans="1:34" ht="15.95" customHeight="1">
      <c r="A128" s="46">
        <v>14</v>
      </c>
      <c r="B128" s="63" t="str">
        <f>IF('(1).Classes'!B56="","",'(1).Classes'!B56)</f>
        <v/>
      </c>
      <c r="C128" s="62" t="str">
        <f>IF('(1).Classes'!C56="","",'(1).Classes'!C56)</f>
        <v/>
      </c>
      <c r="D128" s="47"/>
      <c r="E128" s="48"/>
      <c r="F128" s="49"/>
      <c r="G128" s="47"/>
      <c r="H128" s="48"/>
      <c r="I128" s="49"/>
      <c r="J128" s="47"/>
      <c r="K128" s="48"/>
      <c r="L128" s="49"/>
      <c r="M128" s="47"/>
      <c r="N128" s="48"/>
      <c r="O128" s="49"/>
      <c r="P128" s="47"/>
      <c r="Q128" s="48"/>
      <c r="R128" s="49"/>
      <c r="S128" s="47"/>
      <c r="T128" s="48"/>
      <c r="U128" s="49"/>
      <c r="V128" s="47"/>
      <c r="W128" s="48"/>
      <c r="X128" s="49"/>
      <c r="Y128" s="47"/>
      <c r="Z128" s="48"/>
      <c r="AA128" s="49"/>
      <c r="AB128" s="47"/>
      <c r="AC128" s="48"/>
      <c r="AD128" s="49"/>
      <c r="AE128" s="47"/>
      <c r="AF128" s="48"/>
      <c r="AG128" s="49"/>
      <c r="AH128" s="50" t="str">
        <f t="shared" si="3"/>
        <v/>
      </c>
    </row>
    <row r="129" spans="1:34" ht="15.95" customHeight="1">
      <c r="A129" s="46">
        <v>15</v>
      </c>
      <c r="B129" s="63" t="str">
        <f>IF('(1).Classes'!B57="","",'(1).Classes'!B57)</f>
        <v/>
      </c>
      <c r="C129" s="62" t="str">
        <f>IF('(1).Classes'!C57="","",'(1).Classes'!C57)</f>
        <v/>
      </c>
      <c r="D129" s="47"/>
      <c r="E129" s="48"/>
      <c r="F129" s="49"/>
      <c r="G129" s="47"/>
      <c r="H129" s="48"/>
      <c r="I129" s="49"/>
      <c r="J129" s="47"/>
      <c r="K129" s="48"/>
      <c r="L129" s="49"/>
      <c r="M129" s="47"/>
      <c r="N129" s="48"/>
      <c r="O129" s="49"/>
      <c r="P129" s="47"/>
      <c r="Q129" s="48"/>
      <c r="R129" s="49"/>
      <c r="S129" s="47"/>
      <c r="T129" s="48"/>
      <c r="U129" s="49"/>
      <c r="V129" s="47"/>
      <c r="W129" s="48"/>
      <c r="X129" s="49"/>
      <c r="Y129" s="47"/>
      <c r="Z129" s="48"/>
      <c r="AA129" s="49"/>
      <c r="AB129" s="47"/>
      <c r="AC129" s="48"/>
      <c r="AD129" s="49"/>
      <c r="AE129" s="47"/>
      <c r="AF129" s="48"/>
      <c r="AG129" s="49"/>
      <c r="AH129" s="50" t="str">
        <f t="shared" si="3"/>
        <v/>
      </c>
    </row>
    <row r="130" spans="1:34" ht="15.95" customHeight="1">
      <c r="A130" s="46">
        <v>16</v>
      </c>
      <c r="B130" s="63" t="str">
        <f>IF('(1).Classes'!B58="","",'(1).Classes'!B58)</f>
        <v/>
      </c>
      <c r="C130" s="62" t="str">
        <f>IF('(1).Classes'!C58="","",'(1).Classes'!C58)</f>
        <v/>
      </c>
      <c r="D130" s="47"/>
      <c r="E130" s="48"/>
      <c r="F130" s="49"/>
      <c r="G130" s="47"/>
      <c r="H130" s="48"/>
      <c r="I130" s="49"/>
      <c r="J130" s="47"/>
      <c r="K130" s="48"/>
      <c r="L130" s="49"/>
      <c r="M130" s="47"/>
      <c r="N130" s="48"/>
      <c r="O130" s="49"/>
      <c r="P130" s="47"/>
      <c r="Q130" s="48"/>
      <c r="R130" s="49"/>
      <c r="S130" s="47"/>
      <c r="T130" s="48"/>
      <c r="U130" s="49"/>
      <c r="V130" s="47"/>
      <c r="W130" s="48"/>
      <c r="X130" s="49"/>
      <c r="Y130" s="47"/>
      <c r="Z130" s="48"/>
      <c r="AA130" s="49"/>
      <c r="AB130" s="47"/>
      <c r="AC130" s="48"/>
      <c r="AD130" s="49"/>
      <c r="AE130" s="47"/>
      <c r="AF130" s="48"/>
      <c r="AG130" s="49"/>
      <c r="AH130" s="50" t="str">
        <f t="shared" si="3"/>
        <v/>
      </c>
    </row>
    <row r="131" spans="1:34" ht="15.95" customHeight="1">
      <c r="A131" s="46">
        <v>17</v>
      </c>
      <c r="B131" s="63" t="str">
        <f>IF('(1).Classes'!B59="","",'(1).Classes'!B59)</f>
        <v/>
      </c>
      <c r="C131" s="62" t="str">
        <f>IF('(1).Classes'!C59="","",'(1).Classes'!C59)</f>
        <v/>
      </c>
      <c r="D131" s="47"/>
      <c r="E131" s="48"/>
      <c r="F131" s="49"/>
      <c r="G131" s="47"/>
      <c r="H131" s="48"/>
      <c r="I131" s="49"/>
      <c r="J131" s="47"/>
      <c r="K131" s="48"/>
      <c r="L131" s="49"/>
      <c r="M131" s="47"/>
      <c r="N131" s="48"/>
      <c r="O131" s="49"/>
      <c r="P131" s="47"/>
      <c r="Q131" s="48"/>
      <c r="R131" s="49"/>
      <c r="S131" s="47"/>
      <c r="T131" s="48"/>
      <c r="U131" s="49"/>
      <c r="V131" s="47"/>
      <c r="W131" s="48"/>
      <c r="X131" s="49"/>
      <c r="Y131" s="47"/>
      <c r="Z131" s="48"/>
      <c r="AA131" s="49"/>
      <c r="AB131" s="47"/>
      <c r="AC131" s="48"/>
      <c r="AD131" s="49"/>
      <c r="AE131" s="47"/>
      <c r="AF131" s="48"/>
      <c r="AG131" s="49"/>
      <c r="AH131" s="50" t="str">
        <f t="shared" si="3"/>
        <v/>
      </c>
    </row>
    <row r="132" spans="1:34" ht="15.95" customHeight="1">
      <c r="A132" s="46">
        <v>18</v>
      </c>
      <c r="B132" s="63" t="str">
        <f>IF('(1).Classes'!B60="","",'(1).Classes'!B60)</f>
        <v/>
      </c>
      <c r="C132" s="62" t="str">
        <f>IF('(1).Classes'!C60="","",'(1).Classes'!C60)</f>
        <v/>
      </c>
      <c r="D132" s="47"/>
      <c r="E132" s="48"/>
      <c r="F132" s="49"/>
      <c r="G132" s="47"/>
      <c r="H132" s="48"/>
      <c r="I132" s="49"/>
      <c r="J132" s="47"/>
      <c r="K132" s="48"/>
      <c r="L132" s="49"/>
      <c r="M132" s="47"/>
      <c r="N132" s="48"/>
      <c r="O132" s="49"/>
      <c r="P132" s="47"/>
      <c r="Q132" s="48"/>
      <c r="R132" s="49"/>
      <c r="S132" s="47"/>
      <c r="T132" s="48"/>
      <c r="U132" s="49"/>
      <c r="V132" s="47"/>
      <c r="W132" s="48"/>
      <c r="X132" s="49"/>
      <c r="Y132" s="47"/>
      <c r="Z132" s="48"/>
      <c r="AA132" s="49"/>
      <c r="AB132" s="47"/>
      <c r="AC132" s="48"/>
      <c r="AD132" s="49"/>
      <c r="AE132" s="47"/>
      <c r="AF132" s="48"/>
      <c r="AG132" s="49"/>
      <c r="AH132" s="50" t="str">
        <f t="shared" si="3"/>
        <v/>
      </c>
    </row>
    <row r="133" spans="1:34" ht="15.95" customHeight="1">
      <c r="A133" s="46">
        <v>19</v>
      </c>
      <c r="B133" s="63" t="str">
        <f>IF('(1).Classes'!B61="","",'(1).Classes'!B61)</f>
        <v/>
      </c>
      <c r="C133" s="62" t="str">
        <f>IF('(1).Classes'!C61="","",'(1).Classes'!C61)</f>
        <v/>
      </c>
      <c r="D133" s="47"/>
      <c r="E133" s="48"/>
      <c r="F133" s="49"/>
      <c r="G133" s="47"/>
      <c r="H133" s="48"/>
      <c r="I133" s="49"/>
      <c r="J133" s="47"/>
      <c r="K133" s="48"/>
      <c r="L133" s="49"/>
      <c r="M133" s="47"/>
      <c r="N133" s="48"/>
      <c r="O133" s="49"/>
      <c r="P133" s="47"/>
      <c r="Q133" s="48"/>
      <c r="R133" s="49"/>
      <c r="S133" s="47"/>
      <c r="T133" s="48"/>
      <c r="U133" s="49"/>
      <c r="V133" s="47"/>
      <c r="W133" s="48"/>
      <c r="X133" s="49"/>
      <c r="Y133" s="47"/>
      <c r="Z133" s="48"/>
      <c r="AA133" s="49"/>
      <c r="AB133" s="47"/>
      <c r="AC133" s="48"/>
      <c r="AD133" s="49"/>
      <c r="AE133" s="47"/>
      <c r="AF133" s="48"/>
      <c r="AG133" s="49"/>
      <c r="AH133" s="50" t="str">
        <f t="shared" si="3"/>
        <v/>
      </c>
    </row>
    <row r="134" spans="1:34" ht="15.95" customHeight="1">
      <c r="A134" s="46">
        <v>20</v>
      </c>
      <c r="B134" s="63" t="str">
        <f>IF('(1).Classes'!B62="","",'(1).Classes'!B62)</f>
        <v/>
      </c>
      <c r="C134" s="62" t="str">
        <f>IF('(1).Classes'!C62="","",'(1).Classes'!C62)</f>
        <v/>
      </c>
      <c r="D134" s="47"/>
      <c r="E134" s="48"/>
      <c r="F134" s="49"/>
      <c r="G134" s="47"/>
      <c r="H134" s="48"/>
      <c r="I134" s="49"/>
      <c r="J134" s="47"/>
      <c r="K134" s="48"/>
      <c r="L134" s="49"/>
      <c r="M134" s="47"/>
      <c r="N134" s="48"/>
      <c r="O134" s="49"/>
      <c r="P134" s="47"/>
      <c r="Q134" s="48"/>
      <c r="R134" s="49"/>
      <c r="S134" s="47"/>
      <c r="T134" s="48"/>
      <c r="U134" s="49"/>
      <c r="V134" s="47"/>
      <c r="W134" s="48"/>
      <c r="X134" s="49"/>
      <c r="Y134" s="47"/>
      <c r="Z134" s="48"/>
      <c r="AA134" s="49"/>
      <c r="AB134" s="47"/>
      <c r="AC134" s="48"/>
      <c r="AD134" s="49"/>
      <c r="AE134" s="47"/>
      <c r="AF134" s="48"/>
      <c r="AG134" s="49"/>
      <c r="AH134" s="50" t="str">
        <f t="shared" si="3"/>
        <v/>
      </c>
    </row>
    <row r="135" spans="1:34" ht="15.95" customHeight="1">
      <c r="A135" s="46">
        <v>21</v>
      </c>
      <c r="B135" s="63" t="str">
        <f>IF('(1).Classes'!B63="","",'(1).Classes'!B63)</f>
        <v/>
      </c>
      <c r="C135" s="62" t="str">
        <f>IF('(1).Classes'!C63="","",'(1).Classes'!C63)</f>
        <v/>
      </c>
      <c r="D135" s="47"/>
      <c r="E135" s="48"/>
      <c r="F135" s="49"/>
      <c r="G135" s="47"/>
      <c r="H135" s="48"/>
      <c r="I135" s="49"/>
      <c r="J135" s="47"/>
      <c r="K135" s="48"/>
      <c r="L135" s="49"/>
      <c r="M135" s="47"/>
      <c r="N135" s="48"/>
      <c r="O135" s="49"/>
      <c r="P135" s="47"/>
      <c r="Q135" s="48"/>
      <c r="R135" s="49"/>
      <c r="S135" s="47"/>
      <c r="T135" s="48"/>
      <c r="U135" s="49"/>
      <c r="V135" s="47"/>
      <c r="W135" s="48"/>
      <c r="X135" s="49"/>
      <c r="Y135" s="47"/>
      <c r="Z135" s="48"/>
      <c r="AA135" s="49"/>
      <c r="AB135" s="47"/>
      <c r="AC135" s="48"/>
      <c r="AD135" s="49"/>
      <c r="AE135" s="47"/>
      <c r="AF135" s="48"/>
      <c r="AG135" s="49"/>
      <c r="AH135" s="50" t="str">
        <f t="shared" si="3"/>
        <v/>
      </c>
    </row>
    <row r="136" spans="1:34" ht="15.95" customHeight="1">
      <c r="A136" s="46">
        <v>22</v>
      </c>
      <c r="B136" s="63" t="str">
        <f>IF('(1).Classes'!B64="","",'(1).Classes'!B64)</f>
        <v/>
      </c>
      <c r="C136" s="62" t="str">
        <f>IF('(1).Classes'!C64="","",'(1).Classes'!C64)</f>
        <v/>
      </c>
      <c r="D136" s="47"/>
      <c r="E136" s="48"/>
      <c r="F136" s="49"/>
      <c r="G136" s="47"/>
      <c r="H136" s="48"/>
      <c r="I136" s="49"/>
      <c r="J136" s="47"/>
      <c r="K136" s="48"/>
      <c r="L136" s="49"/>
      <c r="M136" s="47"/>
      <c r="N136" s="48"/>
      <c r="O136" s="49"/>
      <c r="P136" s="47"/>
      <c r="Q136" s="48"/>
      <c r="R136" s="49"/>
      <c r="S136" s="47"/>
      <c r="T136" s="48"/>
      <c r="U136" s="49"/>
      <c r="V136" s="47"/>
      <c r="W136" s="48"/>
      <c r="X136" s="49"/>
      <c r="Y136" s="47"/>
      <c r="Z136" s="48"/>
      <c r="AA136" s="49"/>
      <c r="AB136" s="47"/>
      <c r="AC136" s="48"/>
      <c r="AD136" s="49"/>
      <c r="AE136" s="47"/>
      <c r="AF136" s="48"/>
      <c r="AG136" s="49"/>
      <c r="AH136" s="50" t="str">
        <f t="shared" si="3"/>
        <v/>
      </c>
    </row>
    <row r="137" spans="1:34" ht="15.95" customHeight="1">
      <c r="A137" s="46">
        <v>23</v>
      </c>
      <c r="B137" s="63" t="str">
        <f>IF('(1).Classes'!B65="","",'(1).Classes'!B65)</f>
        <v/>
      </c>
      <c r="C137" s="62" t="str">
        <f>IF('(1).Classes'!C65="","",'(1).Classes'!C65)</f>
        <v/>
      </c>
      <c r="D137" s="47"/>
      <c r="E137" s="48"/>
      <c r="F137" s="49"/>
      <c r="G137" s="47"/>
      <c r="H137" s="48"/>
      <c r="I137" s="49"/>
      <c r="J137" s="47"/>
      <c r="K137" s="48"/>
      <c r="L137" s="49"/>
      <c r="M137" s="47"/>
      <c r="N137" s="48"/>
      <c r="O137" s="49"/>
      <c r="P137" s="47"/>
      <c r="Q137" s="48"/>
      <c r="R137" s="49"/>
      <c r="S137" s="47"/>
      <c r="T137" s="48"/>
      <c r="U137" s="49"/>
      <c r="V137" s="47"/>
      <c r="W137" s="48"/>
      <c r="X137" s="49"/>
      <c r="Y137" s="47"/>
      <c r="Z137" s="48"/>
      <c r="AA137" s="49"/>
      <c r="AB137" s="47"/>
      <c r="AC137" s="48"/>
      <c r="AD137" s="49"/>
      <c r="AE137" s="47"/>
      <c r="AF137" s="48"/>
      <c r="AG137" s="49"/>
      <c r="AH137" s="50" t="str">
        <f t="shared" si="3"/>
        <v/>
      </c>
    </row>
    <row r="138" spans="1:34" ht="15.95" customHeight="1">
      <c r="A138" s="46">
        <v>24</v>
      </c>
      <c r="B138" s="63" t="str">
        <f>IF('(1).Classes'!B66="","",'(1).Classes'!B66)</f>
        <v/>
      </c>
      <c r="C138" s="62" t="str">
        <f>IF('(1).Classes'!C66="","",'(1).Classes'!C66)</f>
        <v/>
      </c>
      <c r="D138" s="47"/>
      <c r="E138" s="48"/>
      <c r="F138" s="49"/>
      <c r="G138" s="47"/>
      <c r="H138" s="48"/>
      <c r="I138" s="49"/>
      <c r="J138" s="47"/>
      <c r="K138" s="48"/>
      <c r="L138" s="49"/>
      <c r="M138" s="47"/>
      <c r="N138" s="48"/>
      <c r="O138" s="49"/>
      <c r="P138" s="47"/>
      <c r="Q138" s="48"/>
      <c r="R138" s="49"/>
      <c r="S138" s="47"/>
      <c r="T138" s="48"/>
      <c r="U138" s="49"/>
      <c r="V138" s="47"/>
      <c r="W138" s="48"/>
      <c r="X138" s="49"/>
      <c r="Y138" s="47"/>
      <c r="Z138" s="48"/>
      <c r="AA138" s="49"/>
      <c r="AB138" s="47"/>
      <c r="AC138" s="48"/>
      <c r="AD138" s="49"/>
      <c r="AE138" s="47"/>
      <c r="AF138" s="48"/>
      <c r="AG138" s="49"/>
      <c r="AH138" s="50" t="str">
        <f t="shared" si="3"/>
        <v/>
      </c>
    </row>
    <row r="139" spans="1:34" ht="15.95" customHeight="1">
      <c r="A139" s="46">
        <v>25</v>
      </c>
      <c r="B139" s="63" t="str">
        <f>IF('(1).Classes'!B67="","",'(1).Classes'!B67)</f>
        <v/>
      </c>
      <c r="C139" s="62" t="str">
        <f>IF('(1).Classes'!C67="","",'(1).Classes'!C67)</f>
        <v/>
      </c>
      <c r="D139" s="47"/>
      <c r="E139" s="48"/>
      <c r="F139" s="49"/>
      <c r="G139" s="47"/>
      <c r="H139" s="48"/>
      <c r="I139" s="49"/>
      <c r="J139" s="47"/>
      <c r="K139" s="48"/>
      <c r="L139" s="49"/>
      <c r="M139" s="47"/>
      <c r="N139" s="48"/>
      <c r="O139" s="49"/>
      <c r="P139" s="47"/>
      <c r="Q139" s="48"/>
      <c r="R139" s="49"/>
      <c r="S139" s="47"/>
      <c r="T139" s="48"/>
      <c r="U139" s="49"/>
      <c r="V139" s="47"/>
      <c r="W139" s="48"/>
      <c r="X139" s="49"/>
      <c r="Y139" s="47"/>
      <c r="Z139" s="48"/>
      <c r="AA139" s="49"/>
      <c r="AB139" s="47"/>
      <c r="AC139" s="48"/>
      <c r="AD139" s="49"/>
      <c r="AE139" s="47"/>
      <c r="AF139" s="48"/>
      <c r="AG139" s="49"/>
      <c r="AH139" s="50" t="str">
        <f t="shared" si="3"/>
        <v/>
      </c>
    </row>
    <row r="140" spans="1:34" ht="15.95" customHeight="1">
      <c r="A140" s="46">
        <v>26</v>
      </c>
      <c r="B140" s="63" t="str">
        <f>IF('(1).Classes'!B68="","",'(1).Classes'!B68)</f>
        <v/>
      </c>
      <c r="C140" s="62" t="str">
        <f>IF('(1).Classes'!C68="","",'(1).Classes'!C68)</f>
        <v/>
      </c>
      <c r="D140" s="47"/>
      <c r="E140" s="48"/>
      <c r="F140" s="49"/>
      <c r="G140" s="47"/>
      <c r="H140" s="48"/>
      <c r="I140" s="49"/>
      <c r="J140" s="47"/>
      <c r="K140" s="48"/>
      <c r="L140" s="49"/>
      <c r="M140" s="47"/>
      <c r="N140" s="48"/>
      <c r="O140" s="49"/>
      <c r="P140" s="47"/>
      <c r="Q140" s="48"/>
      <c r="R140" s="49"/>
      <c r="S140" s="47"/>
      <c r="T140" s="48"/>
      <c r="U140" s="49"/>
      <c r="V140" s="47"/>
      <c r="W140" s="48"/>
      <c r="X140" s="49"/>
      <c r="Y140" s="47"/>
      <c r="Z140" s="48"/>
      <c r="AA140" s="49"/>
      <c r="AB140" s="47"/>
      <c r="AC140" s="48"/>
      <c r="AD140" s="49"/>
      <c r="AE140" s="47"/>
      <c r="AF140" s="48"/>
      <c r="AG140" s="49"/>
      <c r="AH140" s="50" t="str">
        <f t="shared" si="3"/>
        <v/>
      </c>
    </row>
    <row r="141" spans="1:34" ht="15.95" customHeight="1">
      <c r="A141" s="46">
        <v>27</v>
      </c>
      <c r="B141" s="63" t="str">
        <f>IF('(1).Classes'!B69="","",'(1).Classes'!B69)</f>
        <v/>
      </c>
      <c r="C141" s="62" t="str">
        <f>IF('(1).Classes'!C69="","",'(1).Classes'!C69)</f>
        <v/>
      </c>
      <c r="D141" s="47"/>
      <c r="E141" s="48"/>
      <c r="F141" s="49"/>
      <c r="G141" s="47"/>
      <c r="H141" s="48"/>
      <c r="I141" s="49"/>
      <c r="J141" s="47"/>
      <c r="K141" s="48"/>
      <c r="L141" s="49"/>
      <c r="M141" s="47"/>
      <c r="N141" s="48"/>
      <c r="O141" s="49"/>
      <c r="P141" s="47"/>
      <c r="Q141" s="48"/>
      <c r="R141" s="49"/>
      <c r="S141" s="47"/>
      <c r="T141" s="48"/>
      <c r="U141" s="49"/>
      <c r="V141" s="47"/>
      <c r="W141" s="48"/>
      <c r="X141" s="49"/>
      <c r="Y141" s="47"/>
      <c r="Z141" s="48"/>
      <c r="AA141" s="49"/>
      <c r="AB141" s="47"/>
      <c r="AC141" s="48"/>
      <c r="AD141" s="49"/>
      <c r="AE141" s="47"/>
      <c r="AF141" s="48"/>
      <c r="AG141" s="49"/>
      <c r="AH141" s="50" t="str">
        <f t="shared" si="3"/>
        <v/>
      </c>
    </row>
    <row r="142" spans="1:34" ht="15.95" customHeight="1">
      <c r="A142" s="46">
        <v>28</v>
      </c>
      <c r="B142" s="63" t="str">
        <f>IF('(1).Classes'!B70="","",'(1).Classes'!B70)</f>
        <v/>
      </c>
      <c r="C142" s="62" t="str">
        <f>IF('(1).Classes'!C70="","",'(1).Classes'!C70)</f>
        <v/>
      </c>
      <c r="D142" s="47"/>
      <c r="E142" s="48"/>
      <c r="F142" s="49"/>
      <c r="G142" s="47"/>
      <c r="H142" s="48"/>
      <c r="I142" s="49"/>
      <c r="J142" s="47"/>
      <c r="K142" s="48"/>
      <c r="L142" s="49"/>
      <c r="M142" s="47"/>
      <c r="N142" s="48"/>
      <c r="O142" s="49"/>
      <c r="P142" s="47"/>
      <c r="Q142" s="48"/>
      <c r="R142" s="49"/>
      <c r="S142" s="47"/>
      <c r="T142" s="48"/>
      <c r="U142" s="49"/>
      <c r="V142" s="47"/>
      <c r="W142" s="48"/>
      <c r="X142" s="49"/>
      <c r="Y142" s="47"/>
      <c r="Z142" s="48"/>
      <c r="AA142" s="49"/>
      <c r="AB142" s="47"/>
      <c r="AC142" s="48"/>
      <c r="AD142" s="49"/>
      <c r="AE142" s="47"/>
      <c r="AF142" s="48"/>
      <c r="AG142" s="49"/>
      <c r="AH142" s="50" t="str">
        <f t="shared" si="3"/>
        <v/>
      </c>
    </row>
    <row r="143" spans="1:34" ht="15.95" customHeight="1">
      <c r="A143" s="46">
        <v>29</v>
      </c>
      <c r="B143" s="63" t="str">
        <f>IF('(1).Classes'!B71="","",'(1).Classes'!B71)</f>
        <v/>
      </c>
      <c r="C143" s="62" t="str">
        <f>IF('(1).Classes'!C71="","",'(1).Classes'!C71)</f>
        <v/>
      </c>
      <c r="D143" s="47"/>
      <c r="E143" s="48"/>
      <c r="F143" s="49"/>
      <c r="G143" s="47"/>
      <c r="H143" s="48"/>
      <c r="I143" s="49"/>
      <c r="J143" s="47"/>
      <c r="K143" s="48"/>
      <c r="L143" s="49"/>
      <c r="M143" s="47"/>
      <c r="N143" s="48"/>
      <c r="O143" s="49"/>
      <c r="P143" s="47"/>
      <c r="Q143" s="48"/>
      <c r="R143" s="49"/>
      <c r="S143" s="47"/>
      <c r="T143" s="48"/>
      <c r="U143" s="49"/>
      <c r="V143" s="47"/>
      <c r="W143" s="48"/>
      <c r="X143" s="49"/>
      <c r="Y143" s="47"/>
      <c r="Z143" s="48"/>
      <c r="AA143" s="49"/>
      <c r="AB143" s="47"/>
      <c r="AC143" s="48"/>
      <c r="AD143" s="49"/>
      <c r="AE143" s="47"/>
      <c r="AF143" s="48"/>
      <c r="AG143" s="49"/>
      <c r="AH143" s="50" t="str">
        <f t="shared" si="3"/>
        <v/>
      </c>
    </row>
    <row r="144" spans="1:34" ht="15.95" customHeight="1">
      <c r="A144" s="46">
        <v>30</v>
      </c>
      <c r="B144" s="63" t="str">
        <f>IF('(1).Classes'!B72="","",'(1).Classes'!B72)</f>
        <v/>
      </c>
      <c r="C144" s="62" t="str">
        <f>IF('(1).Classes'!C72="","",'(1).Classes'!C72)</f>
        <v/>
      </c>
      <c r="D144" s="47"/>
      <c r="E144" s="48"/>
      <c r="F144" s="49"/>
      <c r="G144" s="47"/>
      <c r="H144" s="48"/>
      <c r="I144" s="49"/>
      <c r="J144" s="47"/>
      <c r="K144" s="48"/>
      <c r="L144" s="49"/>
      <c r="M144" s="47"/>
      <c r="N144" s="48"/>
      <c r="O144" s="49"/>
      <c r="P144" s="47"/>
      <c r="Q144" s="48"/>
      <c r="R144" s="49"/>
      <c r="S144" s="47"/>
      <c r="T144" s="48"/>
      <c r="U144" s="49"/>
      <c r="V144" s="47"/>
      <c r="W144" s="48"/>
      <c r="X144" s="49"/>
      <c r="Y144" s="47"/>
      <c r="Z144" s="48"/>
      <c r="AA144" s="49"/>
      <c r="AB144" s="47"/>
      <c r="AC144" s="48"/>
      <c r="AD144" s="49"/>
      <c r="AE144" s="47"/>
      <c r="AF144" s="48"/>
      <c r="AG144" s="49"/>
      <c r="AH144" s="50" t="str">
        <f t="shared" si="3"/>
        <v/>
      </c>
    </row>
    <row r="145" spans="1:34" ht="15.95" customHeight="1">
      <c r="A145" s="18" t="s">
        <v>0</v>
      </c>
      <c r="B145" s="19">
        <f>'(1).Classes'!F37</f>
        <v>0</v>
      </c>
      <c r="C145" s="60"/>
      <c r="D145" s="222" t="s">
        <v>90</v>
      </c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</row>
    <row r="146" spans="1:34" ht="15.95" customHeight="1">
      <c r="A146" s="18" t="s">
        <v>1</v>
      </c>
      <c r="B146" s="19">
        <f>'(1).Classes'!F38</f>
        <v>0</v>
      </c>
      <c r="C146" s="60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</row>
    <row r="147" spans="1:34" ht="15.95" customHeight="1">
      <c r="A147" s="18" t="s">
        <v>2</v>
      </c>
      <c r="B147" s="19">
        <f>'(1).Classes'!F39</f>
        <v>0</v>
      </c>
      <c r="C147" s="60"/>
      <c r="D147" s="223" t="str">
        <f>D111</f>
        <v>FEBRUARY - JULY 2026</v>
      </c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23"/>
      <c r="AE147" s="223"/>
      <c r="AF147" s="223"/>
      <c r="AG147" s="223"/>
      <c r="AH147" s="223"/>
    </row>
    <row r="148" spans="1:34" ht="15.95" customHeight="1">
      <c r="A148" s="18" t="s">
        <v>3</v>
      </c>
      <c r="B148" s="19">
        <f>'(1).Classes'!F40</f>
        <v>0</v>
      </c>
      <c r="C148" s="60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4"/>
      <c r="AD148" s="224"/>
      <c r="AE148" s="224"/>
      <c r="AF148" s="224"/>
      <c r="AG148" s="224"/>
      <c r="AH148" s="224"/>
    </row>
    <row r="149" spans="1:34" ht="15.95" customHeight="1">
      <c r="A149" s="18" t="s">
        <v>4</v>
      </c>
      <c r="B149" s="19">
        <f>'(1).Classes'!F41</f>
        <v>0</v>
      </c>
      <c r="C149" s="61"/>
      <c r="D149" s="220" t="str">
        <f>IF(OR($B146="K5",$B146="K6",$B146="K7",$B146="K8",$B146="K9",$B146="K10"),"Listening","Up-Low C")</f>
        <v>Up-Low C</v>
      </c>
      <c r="E149" s="220"/>
      <c r="F149" s="220"/>
      <c r="G149" s="220" t="str">
        <f>IF(OR($B146="K5",$B146="K6",$B146="K7",$B146="K8",$B146="K9",$B146="K10"),"Speaking","Alphabet N")</f>
        <v>Alphabet N</v>
      </c>
      <c r="H149" s="220"/>
      <c r="I149" s="220"/>
      <c r="J149" s="220" t="str">
        <f>IF(OR($B146="K5",$B146="K6",$B146="K7",$B146="K8",$B146="K9",$B146="K10"),"Reading","Alphabet S")</f>
        <v>Alphabet S</v>
      </c>
      <c r="K149" s="220"/>
      <c r="L149" s="220"/>
      <c r="M149" s="220" t="str">
        <f>IF(OR($B146="K5",$B146="K6",$B146="K7",$B146="K8",$B146="K9",$B146="K10"),"Writing","Vocabulary")</f>
        <v>Vocabulary</v>
      </c>
      <c r="N149" s="220"/>
      <c r="O149" s="220"/>
      <c r="P149" s="220" t="str">
        <f>IF(OR($B146="K5",$B146="K6",$B146="K7",$B146="K8",$B146="K9",$B146="K10"),"Gram/Vocab","Sprouts")</f>
        <v>Sprouts</v>
      </c>
      <c r="Q149" s="220"/>
      <c r="R149" s="220"/>
      <c r="S149" s="220" t="str">
        <f>IF(OR($B146="K5",$B146="K6",$B146="K7",$B146="K8",$B146="K9",$B146="K10"),"Roots","Phonics")</f>
        <v>Phonics</v>
      </c>
      <c r="T149" s="220"/>
      <c r="U149" s="220"/>
      <c r="V149" s="220" t="str">
        <f>IF(OR($B146="K5",$B146="K6",$B146="K7",$B146="K8",$B146="K9",$B146="K10"),"Phonics","Math")</f>
        <v>Math</v>
      </c>
      <c r="W149" s="220"/>
      <c r="X149" s="220"/>
      <c r="Y149" s="220" t="str">
        <f>IF(OR($B146="K5",$B146="K6",$B146="K7",$B146="K8",$B146="K9",$B146="K10"),"Math","Shape")</f>
        <v>Shape</v>
      </c>
      <c r="Z149" s="220"/>
      <c r="AA149" s="220"/>
      <c r="AB149" s="220" t="s">
        <v>10</v>
      </c>
      <c r="AC149" s="220"/>
      <c r="AD149" s="220"/>
      <c r="AE149" s="220" t="str">
        <f>IF(OR($B146="K5",$B146="K6",$B146="K7",$B146="K8",$B146="K9",$B146="K10"),"Homework","Tracing")</f>
        <v>Tracing</v>
      </c>
      <c r="AF149" s="220"/>
      <c r="AG149" s="220"/>
      <c r="AH149" s="90" t="s">
        <v>11</v>
      </c>
    </row>
    <row r="150" spans="1:34" ht="15.95" customHeight="1" thickBot="1">
      <c r="A150" s="73" t="s">
        <v>5</v>
      </c>
      <c r="B150" s="74" t="s">
        <v>6</v>
      </c>
      <c r="C150" s="75" t="s">
        <v>7</v>
      </c>
      <c r="D150" s="221" t="s">
        <v>9</v>
      </c>
      <c r="E150" s="221"/>
      <c r="F150" s="221"/>
      <c r="G150" s="221" t="s">
        <v>9</v>
      </c>
      <c r="H150" s="221"/>
      <c r="I150" s="221"/>
      <c r="J150" s="221" t="s">
        <v>9</v>
      </c>
      <c r="K150" s="221"/>
      <c r="L150" s="221"/>
      <c r="M150" s="221" t="s">
        <v>9</v>
      </c>
      <c r="N150" s="221"/>
      <c r="O150" s="221"/>
      <c r="P150" s="221" t="s">
        <v>9</v>
      </c>
      <c r="Q150" s="221"/>
      <c r="R150" s="221"/>
      <c r="S150" s="221" t="s">
        <v>9</v>
      </c>
      <c r="T150" s="221"/>
      <c r="U150" s="221"/>
      <c r="V150" s="221" t="s">
        <v>9</v>
      </c>
      <c r="W150" s="221"/>
      <c r="X150" s="221"/>
      <c r="Y150" s="221" t="s">
        <v>9</v>
      </c>
      <c r="Z150" s="221"/>
      <c r="AA150" s="221"/>
      <c r="AB150" s="221" t="s">
        <v>9</v>
      </c>
      <c r="AC150" s="221"/>
      <c r="AD150" s="221"/>
      <c r="AE150" s="221" t="s">
        <v>9</v>
      </c>
      <c r="AF150" s="221"/>
      <c r="AG150" s="221"/>
      <c r="AH150" s="77" t="s">
        <v>12</v>
      </c>
    </row>
    <row r="151" spans="1:34" ht="15.95" customHeight="1">
      <c r="A151" s="46">
        <v>1</v>
      </c>
      <c r="B151" s="63" t="str">
        <f>IF('(1).Classes'!F43="","",'(1).Classes'!F43)</f>
        <v/>
      </c>
      <c r="C151" s="62" t="str">
        <f>IF('(1).Classes'!G43="","",'(1).Classes'!G43)</f>
        <v/>
      </c>
      <c r="D151" s="69"/>
      <c r="E151" s="70"/>
      <c r="F151" s="71"/>
      <c r="G151" s="69"/>
      <c r="H151" s="70"/>
      <c r="I151" s="71"/>
      <c r="J151" s="69"/>
      <c r="K151" s="70"/>
      <c r="L151" s="71"/>
      <c r="M151" s="69"/>
      <c r="N151" s="70"/>
      <c r="O151" s="71"/>
      <c r="P151" s="69"/>
      <c r="Q151" s="70"/>
      <c r="R151" s="71"/>
      <c r="S151" s="69"/>
      <c r="T151" s="70"/>
      <c r="U151" s="71"/>
      <c r="V151" s="69"/>
      <c r="W151" s="70"/>
      <c r="X151" s="71"/>
      <c r="Y151" s="69"/>
      <c r="Z151" s="70"/>
      <c r="AA151" s="71"/>
      <c r="AB151" s="69"/>
      <c r="AC151" s="70"/>
      <c r="AD151" s="71"/>
      <c r="AE151" s="69"/>
      <c r="AF151" s="70"/>
      <c r="AG151" s="71"/>
      <c r="AH151" s="72" t="str">
        <f>IF(B151="","",IF(COUNT(D151:F151)=0,"Incomplete",IF(COUNT(G151:I151)=0,"Incomplete",IF(COUNT(J151:L151)=0,"Incomplete",IF(COUNT(M151:O151)=0,"Incomplete",IF(COUNT(P151:R151)=0,"Incomplete",IF(COUNT(S151:U151)=0,"Incomplete",IF(COUNT(V151:X151)=0,"Incomplete",IF(COUNT(Y151:AA151)=0,"Incomplete",IF(COUNT(AB151:AD151)=0,"Incomplete",IF(COUNT(AE151:AG151)=0,"Incomplete",AVERAGEIF(D151:F151,"&gt;=0")+AVERAGEIF(G151:I151,"&gt;=0")+AVERAGEIF(J151:L151,"&gt;=0")+AVERAGEIF(M151:O151,"&gt;=0")+AVERAGEIF(P151:R151,"&gt;=0")+AVERAGEIF(S151:U151,"&gt;=0")+AVERAGEIF(V151:X151,"&gt;=0")+AVERAGEIF(Y151:AA151,"&gt;=0")+AVERAGEIF(AB151:AD151,"&gt;=0")+AVERAGEIF(AE151:AG151,"&gt;=0"))))))))))))</f>
        <v/>
      </c>
    </row>
    <row r="152" spans="1:34" ht="15.95" customHeight="1">
      <c r="A152" s="46">
        <v>2</v>
      </c>
      <c r="B152" s="63" t="str">
        <f>IF('(1).Classes'!F44="","",'(1).Classes'!F44)</f>
        <v/>
      </c>
      <c r="C152" s="62" t="str">
        <f>IF('(1).Classes'!G44="","",'(1).Classes'!G44)</f>
        <v/>
      </c>
      <c r="D152" s="47"/>
      <c r="E152" s="48"/>
      <c r="F152" s="49"/>
      <c r="G152" s="47"/>
      <c r="H152" s="48"/>
      <c r="I152" s="49"/>
      <c r="J152" s="47"/>
      <c r="K152" s="48"/>
      <c r="L152" s="49"/>
      <c r="M152" s="47"/>
      <c r="N152" s="48"/>
      <c r="O152" s="49"/>
      <c r="P152" s="47"/>
      <c r="Q152" s="48"/>
      <c r="R152" s="49"/>
      <c r="S152" s="47"/>
      <c r="T152" s="48"/>
      <c r="U152" s="49"/>
      <c r="V152" s="47"/>
      <c r="W152" s="48"/>
      <c r="X152" s="49"/>
      <c r="Y152" s="47"/>
      <c r="Z152" s="48"/>
      <c r="AA152" s="49"/>
      <c r="AB152" s="47"/>
      <c r="AC152" s="48"/>
      <c r="AD152" s="49"/>
      <c r="AE152" s="47"/>
      <c r="AF152" s="48"/>
      <c r="AG152" s="49"/>
      <c r="AH152" s="50" t="str">
        <f t="shared" ref="AH152:AH180" si="4">IF(B152="","",IF(COUNT(D152:F152)=0,"Incomplete",IF(COUNT(G152:I152)=0,"Incomplete",IF(COUNT(J152:L152)=0,"Incomplete",IF(COUNT(M152:O152)=0,"Incomplete",IF(COUNT(P152:R152)=0,"Incomplete",IF(COUNT(S152:U152)=0,"Incomplete",IF(COUNT(V152:X152)=0,"Incomplete",IF(COUNT(Y152:AA152)=0,"Incomplete",IF(COUNT(AB152:AD152)=0,"Incomplete",IF(COUNT(AE152:AG152)=0,"Incomplete",AVERAGEIF(D152:F152,"&gt;=0")+AVERAGEIF(G152:I152,"&gt;=0")+AVERAGEIF(J152:L152,"&gt;=0")+AVERAGEIF(M152:O152,"&gt;=0")+AVERAGEIF(P152:R152,"&gt;=0")+AVERAGEIF(S152:U152,"&gt;=0")+AVERAGEIF(V152:X152,"&gt;=0")+AVERAGEIF(Y152:AA152,"&gt;=0")+AVERAGEIF(AB152:AD152,"&gt;=0")+AVERAGEIF(AE152:AG152,"&gt;=0"))))))))))))</f>
        <v/>
      </c>
    </row>
    <row r="153" spans="1:34" ht="15.95" customHeight="1">
      <c r="A153" s="46">
        <v>3</v>
      </c>
      <c r="B153" s="63" t="str">
        <f>IF('(1).Classes'!F45="","",'(1).Classes'!F45)</f>
        <v/>
      </c>
      <c r="C153" s="62" t="str">
        <f>IF('(1).Classes'!G45="","",'(1).Classes'!G45)</f>
        <v/>
      </c>
      <c r="D153" s="47"/>
      <c r="E153" s="48"/>
      <c r="F153" s="49"/>
      <c r="G153" s="47"/>
      <c r="H153" s="48"/>
      <c r="I153" s="49"/>
      <c r="J153" s="47"/>
      <c r="K153" s="48"/>
      <c r="L153" s="49"/>
      <c r="M153" s="47"/>
      <c r="N153" s="48"/>
      <c r="O153" s="49"/>
      <c r="P153" s="47"/>
      <c r="Q153" s="48"/>
      <c r="R153" s="49"/>
      <c r="S153" s="47"/>
      <c r="T153" s="48"/>
      <c r="U153" s="49"/>
      <c r="V153" s="47"/>
      <c r="W153" s="48"/>
      <c r="X153" s="49"/>
      <c r="Y153" s="47"/>
      <c r="Z153" s="48"/>
      <c r="AA153" s="49"/>
      <c r="AB153" s="47"/>
      <c r="AC153" s="48"/>
      <c r="AD153" s="49"/>
      <c r="AE153" s="47"/>
      <c r="AF153" s="48"/>
      <c r="AG153" s="49"/>
      <c r="AH153" s="50" t="str">
        <f t="shared" si="4"/>
        <v/>
      </c>
    </row>
    <row r="154" spans="1:34" ht="15.95" customHeight="1">
      <c r="A154" s="46">
        <v>4</v>
      </c>
      <c r="B154" s="63" t="str">
        <f>IF('(1).Classes'!F46="","",'(1).Classes'!F46)</f>
        <v/>
      </c>
      <c r="C154" s="62" t="str">
        <f>IF('(1).Classes'!G46="","",'(1).Classes'!G46)</f>
        <v/>
      </c>
      <c r="D154" s="47"/>
      <c r="E154" s="48"/>
      <c r="F154" s="49"/>
      <c r="G154" s="47"/>
      <c r="H154" s="48"/>
      <c r="I154" s="49"/>
      <c r="J154" s="47"/>
      <c r="K154" s="48"/>
      <c r="L154" s="49"/>
      <c r="M154" s="47"/>
      <c r="N154" s="48"/>
      <c r="O154" s="49"/>
      <c r="P154" s="47"/>
      <c r="Q154" s="48"/>
      <c r="R154" s="49"/>
      <c r="S154" s="47"/>
      <c r="T154" s="48"/>
      <c r="U154" s="49"/>
      <c r="V154" s="47"/>
      <c r="W154" s="48"/>
      <c r="X154" s="49"/>
      <c r="Y154" s="47"/>
      <c r="Z154" s="48"/>
      <c r="AA154" s="49"/>
      <c r="AB154" s="47"/>
      <c r="AC154" s="48"/>
      <c r="AD154" s="49"/>
      <c r="AE154" s="47"/>
      <c r="AF154" s="48"/>
      <c r="AG154" s="49"/>
      <c r="AH154" s="50" t="str">
        <f t="shared" si="4"/>
        <v/>
      </c>
    </row>
    <row r="155" spans="1:34" ht="15.95" customHeight="1">
      <c r="A155" s="46">
        <v>5</v>
      </c>
      <c r="B155" s="63" t="str">
        <f>IF('(1).Classes'!F47="","",'(1).Classes'!F47)</f>
        <v/>
      </c>
      <c r="C155" s="62" t="str">
        <f>IF('(1).Classes'!G47="","",'(1).Classes'!G47)</f>
        <v/>
      </c>
      <c r="D155" s="47"/>
      <c r="E155" s="48"/>
      <c r="F155" s="49"/>
      <c r="G155" s="47"/>
      <c r="H155" s="48"/>
      <c r="I155" s="49"/>
      <c r="J155" s="47"/>
      <c r="K155" s="48"/>
      <c r="L155" s="49"/>
      <c r="M155" s="47"/>
      <c r="N155" s="48"/>
      <c r="O155" s="49"/>
      <c r="P155" s="47"/>
      <c r="Q155" s="48"/>
      <c r="R155" s="49"/>
      <c r="S155" s="47"/>
      <c r="T155" s="48"/>
      <c r="U155" s="49"/>
      <c r="V155" s="47"/>
      <c r="W155" s="48"/>
      <c r="X155" s="49"/>
      <c r="Y155" s="47"/>
      <c r="Z155" s="48"/>
      <c r="AA155" s="49"/>
      <c r="AB155" s="47"/>
      <c r="AC155" s="48"/>
      <c r="AD155" s="49"/>
      <c r="AE155" s="47"/>
      <c r="AF155" s="48"/>
      <c r="AG155" s="49"/>
      <c r="AH155" s="50" t="str">
        <f t="shared" si="4"/>
        <v/>
      </c>
    </row>
    <row r="156" spans="1:34" ht="15.95" customHeight="1">
      <c r="A156" s="46">
        <v>6</v>
      </c>
      <c r="B156" s="63" t="str">
        <f>IF('(1).Classes'!F48="","",'(1).Classes'!F48)</f>
        <v/>
      </c>
      <c r="C156" s="62" t="str">
        <f>IF('(1).Classes'!G48="","",'(1).Classes'!G48)</f>
        <v/>
      </c>
      <c r="D156" s="47"/>
      <c r="E156" s="48"/>
      <c r="F156" s="49"/>
      <c r="G156" s="47"/>
      <c r="H156" s="48"/>
      <c r="I156" s="49"/>
      <c r="J156" s="47"/>
      <c r="K156" s="48"/>
      <c r="L156" s="49"/>
      <c r="M156" s="47"/>
      <c r="N156" s="48"/>
      <c r="O156" s="49"/>
      <c r="P156" s="47"/>
      <c r="Q156" s="48"/>
      <c r="R156" s="49"/>
      <c r="S156" s="47"/>
      <c r="T156" s="48"/>
      <c r="U156" s="49"/>
      <c r="V156" s="47"/>
      <c r="W156" s="48"/>
      <c r="X156" s="49"/>
      <c r="Y156" s="47"/>
      <c r="Z156" s="48"/>
      <c r="AA156" s="49"/>
      <c r="AB156" s="47"/>
      <c r="AC156" s="48"/>
      <c r="AD156" s="49"/>
      <c r="AE156" s="47"/>
      <c r="AF156" s="48"/>
      <c r="AG156" s="49"/>
      <c r="AH156" s="50" t="str">
        <f t="shared" si="4"/>
        <v/>
      </c>
    </row>
    <row r="157" spans="1:34" ht="15.95" customHeight="1">
      <c r="A157" s="46">
        <v>7</v>
      </c>
      <c r="B157" s="63" t="str">
        <f>IF('(1).Classes'!F49="","",'(1).Classes'!F49)</f>
        <v/>
      </c>
      <c r="C157" s="62" t="str">
        <f>IF('(1).Classes'!G49="","",'(1).Classes'!G49)</f>
        <v/>
      </c>
      <c r="D157" s="47"/>
      <c r="E157" s="48"/>
      <c r="F157" s="49"/>
      <c r="G157" s="47"/>
      <c r="H157" s="48"/>
      <c r="I157" s="49"/>
      <c r="J157" s="47"/>
      <c r="K157" s="48"/>
      <c r="L157" s="49"/>
      <c r="M157" s="47"/>
      <c r="N157" s="48"/>
      <c r="O157" s="49"/>
      <c r="P157" s="47"/>
      <c r="Q157" s="48"/>
      <c r="R157" s="49"/>
      <c r="S157" s="47"/>
      <c r="T157" s="48"/>
      <c r="U157" s="49"/>
      <c r="V157" s="47"/>
      <c r="W157" s="48"/>
      <c r="X157" s="49"/>
      <c r="Y157" s="47"/>
      <c r="Z157" s="48"/>
      <c r="AA157" s="49"/>
      <c r="AB157" s="47"/>
      <c r="AC157" s="48"/>
      <c r="AD157" s="49"/>
      <c r="AE157" s="47"/>
      <c r="AF157" s="48"/>
      <c r="AG157" s="49"/>
      <c r="AH157" s="50" t="str">
        <f t="shared" si="4"/>
        <v/>
      </c>
    </row>
    <row r="158" spans="1:34" ht="15.95" customHeight="1">
      <c r="A158" s="46">
        <v>8</v>
      </c>
      <c r="B158" s="63" t="str">
        <f>IF('(1).Classes'!F50="","",'(1).Classes'!F50)</f>
        <v/>
      </c>
      <c r="C158" s="62" t="str">
        <f>IF('(1).Classes'!G50="","",'(1).Classes'!G50)</f>
        <v/>
      </c>
      <c r="D158" s="47"/>
      <c r="E158" s="48"/>
      <c r="F158" s="49"/>
      <c r="G158" s="47"/>
      <c r="H158" s="48"/>
      <c r="I158" s="49"/>
      <c r="J158" s="47"/>
      <c r="K158" s="48"/>
      <c r="L158" s="49"/>
      <c r="M158" s="47"/>
      <c r="N158" s="48"/>
      <c r="O158" s="49"/>
      <c r="P158" s="47"/>
      <c r="Q158" s="48"/>
      <c r="R158" s="49"/>
      <c r="S158" s="47"/>
      <c r="T158" s="48"/>
      <c r="U158" s="49"/>
      <c r="V158" s="47"/>
      <c r="W158" s="48"/>
      <c r="X158" s="49"/>
      <c r="Y158" s="47"/>
      <c r="Z158" s="48"/>
      <c r="AA158" s="49"/>
      <c r="AB158" s="47"/>
      <c r="AC158" s="48"/>
      <c r="AD158" s="49"/>
      <c r="AE158" s="47"/>
      <c r="AF158" s="48"/>
      <c r="AG158" s="49"/>
      <c r="AH158" s="50" t="str">
        <f t="shared" si="4"/>
        <v/>
      </c>
    </row>
    <row r="159" spans="1:34" ht="15.95" customHeight="1">
      <c r="A159" s="46">
        <v>9</v>
      </c>
      <c r="B159" s="63" t="str">
        <f>IF('(1).Classes'!F51="","",'(1).Classes'!F51)</f>
        <v/>
      </c>
      <c r="C159" s="62" t="str">
        <f>IF('(1).Classes'!G51="","",'(1).Classes'!G51)</f>
        <v/>
      </c>
      <c r="D159" s="47"/>
      <c r="E159" s="48"/>
      <c r="F159" s="49"/>
      <c r="G159" s="47"/>
      <c r="H159" s="48"/>
      <c r="I159" s="49"/>
      <c r="J159" s="47"/>
      <c r="K159" s="48"/>
      <c r="L159" s="49"/>
      <c r="M159" s="47"/>
      <c r="N159" s="48"/>
      <c r="O159" s="49"/>
      <c r="P159" s="47"/>
      <c r="Q159" s="48"/>
      <c r="R159" s="49"/>
      <c r="S159" s="47"/>
      <c r="T159" s="48"/>
      <c r="U159" s="49"/>
      <c r="V159" s="47"/>
      <c r="W159" s="48"/>
      <c r="X159" s="49"/>
      <c r="Y159" s="47"/>
      <c r="Z159" s="48"/>
      <c r="AA159" s="49"/>
      <c r="AB159" s="47"/>
      <c r="AC159" s="48"/>
      <c r="AD159" s="49"/>
      <c r="AE159" s="47"/>
      <c r="AF159" s="48"/>
      <c r="AG159" s="49"/>
      <c r="AH159" s="50" t="str">
        <f t="shared" si="4"/>
        <v/>
      </c>
    </row>
    <row r="160" spans="1:34" ht="15.95" customHeight="1">
      <c r="A160" s="46">
        <v>10</v>
      </c>
      <c r="B160" s="63" t="str">
        <f>IF('(1).Classes'!F52="","",'(1).Classes'!F52)</f>
        <v/>
      </c>
      <c r="C160" s="62" t="str">
        <f>IF('(1).Classes'!G52="","",'(1).Classes'!G52)</f>
        <v/>
      </c>
      <c r="D160" s="47"/>
      <c r="E160" s="48"/>
      <c r="F160" s="49"/>
      <c r="G160" s="47"/>
      <c r="H160" s="48"/>
      <c r="I160" s="49"/>
      <c r="J160" s="47"/>
      <c r="K160" s="48"/>
      <c r="L160" s="49"/>
      <c r="M160" s="47"/>
      <c r="N160" s="48"/>
      <c r="O160" s="49"/>
      <c r="P160" s="47"/>
      <c r="Q160" s="48"/>
      <c r="R160" s="49"/>
      <c r="S160" s="47"/>
      <c r="T160" s="48"/>
      <c r="U160" s="49"/>
      <c r="V160" s="47"/>
      <c r="W160" s="48"/>
      <c r="X160" s="49"/>
      <c r="Y160" s="47"/>
      <c r="Z160" s="48"/>
      <c r="AA160" s="49"/>
      <c r="AB160" s="47"/>
      <c r="AC160" s="48"/>
      <c r="AD160" s="49"/>
      <c r="AE160" s="47"/>
      <c r="AF160" s="48"/>
      <c r="AG160" s="49"/>
      <c r="AH160" s="50" t="str">
        <f t="shared" si="4"/>
        <v/>
      </c>
    </row>
    <row r="161" spans="1:34" ht="15.95" customHeight="1">
      <c r="A161" s="46">
        <v>11</v>
      </c>
      <c r="B161" s="63" t="str">
        <f>IF('(1).Classes'!F53="","",'(1).Classes'!F53)</f>
        <v/>
      </c>
      <c r="C161" s="62" t="str">
        <f>IF('(1).Classes'!G53="","",'(1).Classes'!G53)</f>
        <v/>
      </c>
      <c r="D161" s="47"/>
      <c r="E161" s="48"/>
      <c r="F161" s="49"/>
      <c r="G161" s="47"/>
      <c r="H161" s="48"/>
      <c r="I161" s="49"/>
      <c r="J161" s="47"/>
      <c r="K161" s="48"/>
      <c r="L161" s="49"/>
      <c r="M161" s="47"/>
      <c r="N161" s="48"/>
      <c r="O161" s="49"/>
      <c r="P161" s="47"/>
      <c r="Q161" s="48"/>
      <c r="R161" s="49"/>
      <c r="S161" s="47"/>
      <c r="T161" s="48"/>
      <c r="U161" s="49"/>
      <c r="V161" s="47"/>
      <c r="W161" s="48"/>
      <c r="X161" s="49"/>
      <c r="Y161" s="47"/>
      <c r="Z161" s="48"/>
      <c r="AA161" s="49"/>
      <c r="AB161" s="47"/>
      <c r="AC161" s="48"/>
      <c r="AD161" s="49"/>
      <c r="AE161" s="47"/>
      <c r="AF161" s="48"/>
      <c r="AG161" s="49"/>
      <c r="AH161" s="50" t="str">
        <f t="shared" si="4"/>
        <v/>
      </c>
    </row>
    <row r="162" spans="1:34" ht="15.95" customHeight="1">
      <c r="A162" s="46">
        <v>12</v>
      </c>
      <c r="B162" s="63" t="str">
        <f>IF('(1).Classes'!F54="","",'(1).Classes'!F54)</f>
        <v/>
      </c>
      <c r="C162" s="62" t="str">
        <f>IF('(1).Classes'!G54="","",'(1).Classes'!G54)</f>
        <v/>
      </c>
      <c r="D162" s="47"/>
      <c r="E162" s="48"/>
      <c r="F162" s="49"/>
      <c r="G162" s="47"/>
      <c r="H162" s="48"/>
      <c r="I162" s="49"/>
      <c r="J162" s="47"/>
      <c r="K162" s="48"/>
      <c r="L162" s="49"/>
      <c r="M162" s="47"/>
      <c r="N162" s="48"/>
      <c r="O162" s="49"/>
      <c r="P162" s="47"/>
      <c r="Q162" s="48"/>
      <c r="R162" s="49"/>
      <c r="S162" s="47"/>
      <c r="T162" s="48"/>
      <c r="U162" s="49"/>
      <c r="V162" s="47"/>
      <c r="W162" s="48"/>
      <c r="X162" s="49"/>
      <c r="Y162" s="47"/>
      <c r="Z162" s="48"/>
      <c r="AA162" s="49"/>
      <c r="AB162" s="47"/>
      <c r="AC162" s="48"/>
      <c r="AD162" s="49"/>
      <c r="AE162" s="47"/>
      <c r="AF162" s="48"/>
      <c r="AG162" s="49"/>
      <c r="AH162" s="50" t="str">
        <f t="shared" si="4"/>
        <v/>
      </c>
    </row>
    <row r="163" spans="1:34" ht="15.95" customHeight="1">
      <c r="A163" s="46">
        <v>13</v>
      </c>
      <c r="B163" s="63" t="str">
        <f>IF('(1).Classes'!F55="","",'(1).Classes'!F55)</f>
        <v/>
      </c>
      <c r="C163" s="62" t="str">
        <f>IF('(1).Classes'!G55="","",'(1).Classes'!G55)</f>
        <v/>
      </c>
      <c r="D163" s="47"/>
      <c r="E163" s="48"/>
      <c r="F163" s="49"/>
      <c r="G163" s="47"/>
      <c r="H163" s="48"/>
      <c r="I163" s="49"/>
      <c r="J163" s="47"/>
      <c r="K163" s="48"/>
      <c r="L163" s="49"/>
      <c r="M163" s="47"/>
      <c r="N163" s="48"/>
      <c r="O163" s="49"/>
      <c r="P163" s="47"/>
      <c r="Q163" s="48"/>
      <c r="R163" s="49"/>
      <c r="S163" s="47"/>
      <c r="T163" s="48"/>
      <c r="U163" s="49"/>
      <c r="V163" s="47"/>
      <c r="W163" s="48"/>
      <c r="X163" s="49"/>
      <c r="Y163" s="47"/>
      <c r="Z163" s="48"/>
      <c r="AA163" s="49"/>
      <c r="AB163" s="47"/>
      <c r="AC163" s="48"/>
      <c r="AD163" s="49"/>
      <c r="AE163" s="47"/>
      <c r="AF163" s="48"/>
      <c r="AG163" s="49"/>
      <c r="AH163" s="50" t="str">
        <f t="shared" si="4"/>
        <v/>
      </c>
    </row>
    <row r="164" spans="1:34" ht="15.95" customHeight="1">
      <c r="A164" s="46">
        <v>14</v>
      </c>
      <c r="B164" s="63" t="str">
        <f>IF('(1).Classes'!F56="","",'(1).Classes'!F56)</f>
        <v/>
      </c>
      <c r="C164" s="62" t="str">
        <f>IF('(1).Classes'!G56="","",'(1).Classes'!G56)</f>
        <v/>
      </c>
      <c r="D164" s="47"/>
      <c r="E164" s="48"/>
      <c r="F164" s="49"/>
      <c r="G164" s="47"/>
      <c r="H164" s="48"/>
      <c r="I164" s="49"/>
      <c r="J164" s="47"/>
      <c r="K164" s="48"/>
      <c r="L164" s="49"/>
      <c r="M164" s="47"/>
      <c r="N164" s="48"/>
      <c r="O164" s="49"/>
      <c r="P164" s="47"/>
      <c r="Q164" s="48"/>
      <c r="R164" s="49"/>
      <c r="S164" s="47"/>
      <c r="T164" s="48"/>
      <c r="U164" s="49"/>
      <c r="V164" s="47"/>
      <c r="W164" s="48"/>
      <c r="X164" s="49"/>
      <c r="Y164" s="47"/>
      <c r="Z164" s="48"/>
      <c r="AA164" s="49"/>
      <c r="AB164" s="47"/>
      <c r="AC164" s="48"/>
      <c r="AD164" s="49"/>
      <c r="AE164" s="47"/>
      <c r="AF164" s="48"/>
      <c r="AG164" s="49"/>
      <c r="AH164" s="50" t="str">
        <f t="shared" si="4"/>
        <v/>
      </c>
    </row>
    <row r="165" spans="1:34" ht="15.95" customHeight="1">
      <c r="A165" s="46">
        <v>15</v>
      </c>
      <c r="B165" s="63" t="str">
        <f>IF('(1).Classes'!F57="","",'(1).Classes'!F57)</f>
        <v/>
      </c>
      <c r="C165" s="62" t="str">
        <f>IF('(1).Classes'!G57="","",'(1).Classes'!G57)</f>
        <v/>
      </c>
      <c r="D165" s="47"/>
      <c r="E165" s="48"/>
      <c r="F165" s="49"/>
      <c r="G165" s="47"/>
      <c r="H165" s="48"/>
      <c r="I165" s="49"/>
      <c r="J165" s="47"/>
      <c r="K165" s="48"/>
      <c r="L165" s="49"/>
      <c r="M165" s="47"/>
      <c r="N165" s="48"/>
      <c r="O165" s="49"/>
      <c r="P165" s="47"/>
      <c r="Q165" s="48"/>
      <c r="R165" s="49"/>
      <c r="S165" s="47"/>
      <c r="T165" s="48"/>
      <c r="U165" s="49"/>
      <c r="V165" s="47"/>
      <c r="W165" s="48"/>
      <c r="X165" s="49"/>
      <c r="Y165" s="47"/>
      <c r="Z165" s="48"/>
      <c r="AA165" s="49"/>
      <c r="AB165" s="47"/>
      <c r="AC165" s="48"/>
      <c r="AD165" s="49"/>
      <c r="AE165" s="47"/>
      <c r="AF165" s="48"/>
      <c r="AG165" s="49"/>
      <c r="AH165" s="50" t="str">
        <f t="shared" si="4"/>
        <v/>
      </c>
    </row>
    <row r="166" spans="1:34" ht="15.95" customHeight="1">
      <c r="A166" s="46">
        <v>16</v>
      </c>
      <c r="B166" s="63" t="str">
        <f>IF('(1).Classes'!F58="","",'(1).Classes'!F58)</f>
        <v/>
      </c>
      <c r="C166" s="62" t="str">
        <f>IF('(1).Classes'!G58="","",'(1).Classes'!G58)</f>
        <v/>
      </c>
      <c r="D166" s="47"/>
      <c r="E166" s="48"/>
      <c r="F166" s="49"/>
      <c r="G166" s="47"/>
      <c r="H166" s="48"/>
      <c r="I166" s="49"/>
      <c r="J166" s="47"/>
      <c r="K166" s="48"/>
      <c r="L166" s="49"/>
      <c r="M166" s="47"/>
      <c r="N166" s="48"/>
      <c r="O166" s="49"/>
      <c r="P166" s="47"/>
      <c r="Q166" s="48"/>
      <c r="R166" s="49"/>
      <c r="S166" s="47"/>
      <c r="T166" s="48"/>
      <c r="U166" s="49"/>
      <c r="V166" s="47"/>
      <c r="W166" s="48"/>
      <c r="X166" s="49"/>
      <c r="Y166" s="47"/>
      <c r="Z166" s="48"/>
      <c r="AA166" s="49"/>
      <c r="AB166" s="47"/>
      <c r="AC166" s="48"/>
      <c r="AD166" s="49"/>
      <c r="AE166" s="47"/>
      <c r="AF166" s="48"/>
      <c r="AG166" s="49"/>
      <c r="AH166" s="50" t="str">
        <f t="shared" si="4"/>
        <v/>
      </c>
    </row>
    <row r="167" spans="1:34" ht="15.95" customHeight="1">
      <c r="A167" s="46">
        <v>17</v>
      </c>
      <c r="B167" s="63" t="str">
        <f>IF('(1).Classes'!F59="","",'(1).Classes'!F59)</f>
        <v/>
      </c>
      <c r="C167" s="62" t="str">
        <f>IF('(1).Classes'!G59="","",'(1).Classes'!G59)</f>
        <v/>
      </c>
      <c r="D167" s="47"/>
      <c r="E167" s="48"/>
      <c r="F167" s="49"/>
      <c r="G167" s="47"/>
      <c r="H167" s="48"/>
      <c r="I167" s="49"/>
      <c r="J167" s="47"/>
      <c r="K167" s="48"/>
      <c r="L167" s="49"/>
      <c r="M167" s="47"/>
      <c r="N167" s="48"/>
      <c r="O167" s="49"/>
      <c r="P167" s="47"/>
      <c r="Q167" s="48"/>
      <c r="R167" s="49"/>
      <c r="S167" s="47"/>
      <c r="T167" s="48"/>
      <c r="U167" s="49"/>
      <c r="V167" s="47"/>
      <c r="W167" s="48"/>
      <c r="X167" s="49"/>
      <c r="Y167" s="47"/>
      <c r="Z167" s="48"/>
      <c r="AA167" s="49"/>
      <c r="AB167" s="47"/>
      <c r="AC167" s="48"/>
      <c r="AD167" s="49"/>
      <c r="AE167" s="47"/>
      <c r="AF167" s="48"/>
      <c r="AG167" s="49"/>
      <c r="AH167" s="50" t="str">
        <f t="shared" si="4"/>
        <v/>
      </c>
    </row>
    <row r="168" spans="1:34" ht="15.95" customHeight="1">
      <c r="A168" s="46">
        <v>18</v>
      </c>
      <c r="B168" s="63" t="str">
        <f>IF('(1).Classes'!F60="","",'(1).Classes'!F60)</f>
        <v/>
      </c>
      <c r="C168" s="62" t="str">
        <f>IF('(1).Classes'!G60="","",'(1).Classes'!G60)</f>
        <v/>
      </c>
      <c r="D168" s="47"/>
      <c r="E168" s="48"/>
      <c r="F168" s="49"/>
      <c r="G168" s="47"/>
      <c r="H168" s="48"/>
      <c r="I168" s="49"/>
      <c r="J168" s="47"/>
      <c r="K168" s="48"/>
      <c r="L168" s="49"/>
      <c r="M168" s="47"/>
      <c r="N168" s="48"/>
      <c r="O168" s="49"/>
      <c r="P168" s="47"/>
      <c r="Q168" s="48"/>
      <c r="R168" s="49"/>
      <c r="S168" s="47"/>
      <c r="T168" s="48"/>
      <c r="U168" s="49"/>
      <c r="V168" s="47"/>
      <c r="W168" s="48"/>
      <c r="X168" s="49"/>
      <c r="Y168" s="47"/>
      <c r="Z168" s="48"/>
      <c r="AA168" s="49"/>
      <c r="AB168" s="47"/>
      <c r="AC168" s="48"/>
      <c r="AD168" s="49"/>
      <c r="AE168" s="47"/>
      <c r="AF168" s="48"/>
      <c r="AG168" s="49"/>
      <c r="AH168" s="50" t="str">
        <f t="shared" si="4"/>
        <v/>
      </c>
    </row>
    <row r="169" spans="1:34" ht="15.95" customHeight="1">
      <c r="A169" s="46">
        <v>19</v>
      </c>
      <c r="B169" s="63" t="str">
        <f>IF('(1).Classes'!F61="","",'(1).Classes'!F61)</f>
        <v/>
      </c>
      <c r="C169" s="62" t="str">
        <f>IF('(1).Classes'!G61="","",'(1).Classes'!G61)</f>
        <v/>
      </c>
      <c r="D169" s="47"/>
      <c r="E169" s="48"/>
      <c r="F169" s="49"/>
      <c r="G169" s="47"/>
      <c r="H169" s="48"/>
      <c r="I169" s="49"/>
      <c r="J169" s="47"/>
      <c r="K169" s="48"/>
      <c r="L169" s="49"/>
      <c r="M169" s="47"/>
      <c r="N169" s="48"/>
      <c r="O169" s="49"/>
      <c r="P169" s="47"/>
      <c r="Q169" s="48"/>
      <c r="R169" s="49"/>
      <c r="S169" s="47"/>
      <c r="T169" s="48"/>
      <c r="U169" s="49"/>
      <c r="V169" s="47"/>
      <c r="W169" s="48"/>
      <c r="X169" s="49"/>
      <c r="Y169" s="47"/>
      <c r="Z169" s="48"/>
      <c r="AA169" s="49"/>
      <c r="AB169" s="47"/>
      <c r="AC169" s="48"/>
      <c r="AD169" s="49"/>
      <c r="AE169" s="47"/>
      <c r="AF169" s="48"/>
      <c r="AG169" s="49"/>
      <c r="AH169" s="50" t="str">
        <f t="shared" si="4"/>
        <v/>
      </c>
    </row>
    <row r="170" spans="1:34" ht="15.95" customHeight="1">
      <c r="A170" s="46">
        <v>20</v>
      </c>
      <c r="B170" s="63" t="str">
        <f>IF('(1).Classes'!F62="","",'(1).Classes'!F62)</f>
        <v/>
      </c>
      <c r="C170" s="62" t="str">
        <f>IF('(1).Classes'!G62="","",'(1).Classes'!G62)</f>
        <v/>
      </c>
      <c r="D170" s="47"/>
      <c r="E170" s="48"/>
      <c r="F170" s="49"/>
      <c r="G170" s="47"/>
      <c r="H170" s="48"/>
      <c r="I170" s="49"/>
      <c r="J170" s="47"/>
      <c r="K170" s="48"/>
      <c r="L170" s="49"/>
      <c r="M170" s="47"/>
      <c r="N170" s="48"/>
      <c r="O170" s="49"/>
      <c r="P170" s="47"/>
      <c r="Q170" s="48"/>
      <c r="R170" s="49"/>
      <c r="S170" s="47"/>
      <c r="T170" s="48"/>
      <c r="U170" s="49"/>
      <c r="V170" s="47"/>
      <c r="W170" s="48"/>
      <c r="X170" s="49"/>
      <c r="Y170" s="47"/>
      <c r="Z170" s="48"/>
      <c r="AA170" s="49"/>
      <c r="AB170" s="47"/>
      <c r="AC170" s="48"/>
      <c r="AD170" s="49"/>
      <c r="AE170" s="47"/>
      <c r="AF170" s="48"/>
      <c r="AG170" s="49"/>
      <c r="AH170" s="50" t="str">
        <f t="shared" si="4"/>
        <v/>
      </c>
    </row>
    <row r="171" spans="1:34" ht="15.95" customHeight="1">
      <c r="A171" s="46">
        <v>21</v>
      </c>
      <c r="B171" s="63" t="str">
        <f>IF('(1).Classes'!F63="","",'(1).Classes'!F63)</f>
        <v/>
      </c>
      <c r="C171" s="62" t="str">
        <f>IF('(1).Classes'!G63="","",'(1).Classes'!G63)</f>
        <v/>
      </c>
      <c r="D171" s="47"/>
      <c r="E171" s="48"/>
      <c r="F171" s="49"/>
      <c r="G171" s="47"/>
      <c r="H171" s="48"/>
      <c r="I171" s="49"/>
      <c r="J171" s="47"/>
      <c r="K171" s="48"/>
      <c r="L171" s="49"/>
      <c r="M171" s="47"/>
      <c r="N171" s="48"/>
      <c r="O171" s="49"/>
      <c r="P171" s="47"/>
      <c r="Q171" s="48"/>
      <c r="R171" s="49"/>
      <c r="S171" s="47"/>
      <c r="T171" s="48"/>
      <c r="U171" s="49"/>
      <c r="V171" s="47"/>
      <c r="W171" s="48"/>
      <c r="X171" s="49"/>
      <c r="Y171" s="47"/>
      <c r="Z171" s="48"/>
      <c r="AA171" s="49"/>
      <c r="AB171" s="47"/>
      <c r="AC171" s="48"/>
      <c r="AD171" s="49"/>
      <c r="AE171" s="47"/>
      <c r="AF171" s="48"/>
      <c r="AG171" s="49"/>
      <c r="AH171" s="50" t="str">
        <f t="shared" si="4"/>
        <v/>
      </c>
    </row>
    <row r="172" spans="1:34" ht="15.95" customHeight="1">
      <c r="A172" s="46">
        <v>22</v>
      </c>
      <c r="B172" s="63" t="str">
        <f>IF('(1).Classes'!F64="","",'(1).Classes'!F64)</f>
        <v/>
      </c>
      <c r="C172" s="62" t="str">
        <f>IF('(1).Classes'!G64="","",'(1).Classes'!G64)</f>
        <v/>
      </c>
      <c r="D172" s="47"/>
      <c r="E172" s="48"/>
      <c r="F172" s="49"/>
      <c r="G172" s="47"/>
      <c r="H172" s="48"/>
      <c r="I172" s="49"/>
      <c r="J172" s="47"/>
      <c r="K172" s="48"/>
      <c r="L172" s="49"/>
      <c r="M172" s="47"/>
      <c r="N172" s="48"/>
      <c r="O172" s="49"/>
      <c r="P172" s="47"/>
      <c r="Q172" s="48"/>
      <c r="R172" s="49"/>
      <c r="S172" s="47"/>
      <c r="T172" s="48"/>
      <c r="U172" s="49"/>
      <c r="V172" s="47"/>
      <c r="W172" s="48"/>
      <c r="X172" s="49"/>
      <c r="Y172" s="47"/>
      <c r="Z172" s="48"/>
      <c r="AA172" s="49"/>
      <c r="AB172" s="47"/>
      <c r="AC172" s="48"/>
      <c r="AD172" s="49"/>
      <c r="AE172" s="47"/>
      <c r="AF172" s="48"/>
      <c r="AG172" s="49"/>
      <c r="AH172" s="50" t="str">
        <f t="shared" si="4"/>
        <v/>
      </c>
    </row>
    <row r="173" spans="1:34" ht="15.95" customHeight="1">
      <c r="A173" s="46">
        <v>23</v>
      </c>
      <c r="B173" s="63" t="str">
        <f>IF('(1).Classes'!F65="","",'(1).Classes'!F65)</f>
        <v/>
      </c>
      <c r="C173" s="62" t="str">
        <f>IF('(1).Classes'!G65="","",'(1).Classes'!G65)</f>
        <v/>
      </c>
      <c r="D173" s="47"/>
      <c r="E173" s="48"/>
      <c r="F173" s="49"/>
      <c r="G173" s="47"/>
      <c r="H173" s="48"/>
      <c r="I173" s="49"/>
      <c r="J173" s="47"/>
      <c r="K173" s="48"/>
      <c r="L173" s="49"/>
      <c r="M173" s="47"/>
      <c r="N173" s="48"/>
      <c r="O173" s="49"/>
      <c r="P173" s="47"/>
      <c r="Q173" s="48"/>
      <c r="R173" s="49"/>
      <c r="S173" s="47"/>
      <c r="T173" s="48"/>
      <c r="U173" s="49"/>
      <c r="V173" s="47"/>
      <c r="W173" s="48"/>
      <c r="X173" s="49"/>
      <c r="Y173" s="47"/>
      <c r="Z173" s="48"/>
      <c r="AA173" s="49"/>
      <c r="AB173" s="47"/>
      <c r="AC173" s="48"/>
      <c r="AD173" s="49"/>
      <c r="AE173" s="47"/>
      <c r="AF173" s="48"/>
      <c r="AG173" s="49"/>
      <c r="AH173" s="50" t="str">
        <f t="shared" si="4"/>
        <v/>
      </c>
    </row>
    <row r="174" spans="1:34" ht="15.95" customHeight="1">
      <c r="A174" s="46">
        <v>24</v>
      </c>
      <c r="B174" s="63" t="str">
        <f>IF('(1).Classes'!F66="","",'(1).Classes'!F66)</f>
        <v/>
      </c>
      <c r="C174" s="62" t="str">
        <f>IF('(1).Classes'!G66="","",'(1).Classes'!G66)</f>
        <v/>
      </c>
      <c r="D174" s="47"/>
      <c r="E174" s="48"/>
      <c r="F174" s="49"/>
      <c r="G174" s="47"/>
      <c r="H174" s="48"/>
      <c r="I174" s="49"/>
      <c r="J174" s="47"/>
      <c r="K174" s="48"/>
      <c r="L174" s="49"/>
      <c r="M174" s="47"/>
      <c r="N174" s="48"/>
      <c r="O174" s="49"/>
      <c r="P174" s="47"/>
      <c r="Q174" s="48"/>
      <c r="R174" s="49"/>
      <c r="S174" s="47"/>
      <c r="T174" s="48"/>
      <c r="U174" s="49"/>
      <c r="V174" s="47"/>
      <c r="W174" s="48"/>
      <c r="X174" s="49"/>
      <c r="Y174" s="47"/>
      <c r="Z174" s="48"/>
      <c r="AA174" s="49"/>
      <c r="AB174" s="47"/>
      <c r="AC174" s="48"/>
      <c r="AD174" s="49"/>
      <c r="AE174" s="47"/>
      <c r="AF174" s="48"/>
      <c r="AG174" s="49"/>
      <c r="AH174" s="50" t="str">
        <f t="shared" si="4"/>
        <v/>
      </c>
    </row>
    <row r="175" spans="1:34" ht="15.95" customHeight="1">
      <c r="A175" s="46">
        <v>25</v>
      </c>
      <c r="B175" s="63" t="str">
        <f>IF('(1).Classes'!F67="","",'(1).Classes'!F67)</f>
        <v/>
      </c>
      <c r="C175" s="62" t="str">
        <f>IF('(1).Classes'!G67="","",'(1).Classes'!G67)</f>
        <v/>
      </c>
      <c r="D175" s="47"/>
      <c r="E175" s="48"/>
      <c r="F175" s="49"/>
      <c r="G175" s="47"/>
      <c r="H175" s="48"/>
      <c r="I175" s="49"/>
      <c r="J175" s="47"/>
      <c r="K175" s="48"/>
      <c r="L175" s="49"/>
      <c r="M175" s="47"/>
      <c r="N175" s="48"/>
      <c r="O175" s="49"/>
      <c r="P175" s="47"/>
      <c r="Q175" s="48"/>
      <c r="R175" s="49"/>
      <c r="S175" s="47"/>
      <c r="T175" s="48"/>
      <c r="U175" s="49"/>
      <c r="V175" s="47"/>
      <c r="W175" s="48"/>
      <c r="X175" s="49"/>
      <c r="Y175" s="47"/>
      <c r="Z175" s="48"/>
      <c r="AA175" s="49"/>
      <c r="AB175" s="47"/>
      <c r="AC175" s="48"/>
      <c r="AD175" s="49"/>
      <c r="AE175" s="47"/>
      <c r="AF175" s="48"/>
      <c r="AG175" s="49"/>
      <c r="AH175" s="50" t="str">
        <f t="shared" si="4"/>
        <v/>
      </c>
    </row>
    <row r="176" spans="1:34" ht="15.95" customHeight="1">
      <c r="A176" s="46">
        <v>26</v>
      </c>
      <c r="B176" s="63" t="str">
        <f>IF('(1).Classes'!F68="","",'(1).Classes'!F68)</f>
        <v/>
      </c>
      <c r="C176" s="62" t="str">
        <f>IF('(1).Classes'!G68="","",'(1).Classes'!G68)</f>
        <v/>
      </c>
      <c r="D176" s="47"/>
      <c r="E176" s="48"/>
      <c r="F176" s="49"/>
      <c r="G176" s="47"/>
      <c r="H176" s="48"/>
      <c r="I176" s="49"/>
      <c r="J176" s="47"/>
      <c r="K176" s="48"/>
      <c r="L176" s="49"/>
      <c r="M176" s="47"/>
      <c r="N176" s="48"/>
      <c r="O176" s="49"/>
      <c r="P176" s="47"/>
      <c r="Q176" s="48"/>
      <c r="R176" s="49"/>
      <c r="S176" s="47"/>
      <c r="T176" s="48"/>
      <c r="U176" s="49"/>
      <c r="V176" s="47"/>
      <c r="W176" s="48"/>
      <c r="X176" s="49"/>
      <c r="Y176" s="47"/>
      <c r="Z176" s="48"/>
      <c r="AA176" s="49"/>
      <c r="AB176" s="47"/>
      <c r="AC176" s="48"/>
      <c r="AD176" s="49"/>
      <c r="AE176" s="47"/>
      <c r="AF176" s="48"/>
      <c r="AG176" s="49"/>
      <c r="AH176" s="50" t="str">
        <f t="shared" si="4"/>
        <v/>
      </c>
    </row>
    <row r="177" spans="1:34" ht="15.95" customHeight="1">
      <c r="A177" s="46">
        <v>27</v>
      </c>
      <c r="B177" s="63" t="str">
        <f>IF('(1).Classes'!F69="","",'(1).Classes'!F69)</f>
        <v/>
      </c>
      <c r="C177" s="62" t="str">
        <f>IF('(1).Classes'!G69="","",'(1).Classes'!G69)</f>
        <v/>
      </c>
      <c r="D177" s="47"/>
      <c r="E177" s="48"/>
      <c r="F177" s="49"/>
      <c r="G177" s="47"/>
      <c r="H177" s="48"/>
      <c r="I177" s="49"/>
      <c r="J177" s="47"/>
      <c r="K177" s="48"/>
      <c r="L177" s="49"/>
      <c r="M177" s="47"/>
      <c r="N177" s="48"/>
      <c r="O177" s="49"/>
      <c r="P177" s="47"/>
      <c r="Q177" s="48"/>
      <c r="R177" s="49"/>
      <c r="S177" s="47"/>
      <c r="T177" s="48"/>
      <c r="U177" s="49"/>
      <c r="V177" s="47"/>
      <c r="W177" s="48"/>
      <c r="X177" s="49"/>
      <c r="Y177" s="47"/>
      <c r="Z177" s="48"/>
      <c r="AA177" s="49"/>
      <c r="AB177" s="47"/>
      <c r="AC177" s="48"/>
      <c r="AD177" s="49"/>
      <c r="AE177" s="47"/>
      <c r="AF177" s="48"/>
      <c r="AG177" s="49"/>
      <c r="AH177" s="50" t="str">
        <f t="shared" si="4"/>
        <v/>
      </c>
    </row>
    <row r="178" spans="1:34" ht="15.95" customHeight="1">
      <c r="A178" s="46">
        <v>28</v>
      </c>
      <c r="B178" s="63" t="str">
        <f>IF('(1).Classes'!F70="","",'(1).Classes'!F70)</f>
        <v/>
      </c>
      <c r="C178" s="62" t="str">
        <f>IF('(1).Classes'!G70="","",'(1).Classes'!G70)</f>
        <v/>
      </c>
      <c r="D178" s="47"/>
      <c r="E178" s="48"/>
      <c r="F178" s="49"/>
      <c r="G178" s="47"/>
      <c r="H178" s="48"/>
      <c r="I178" s="49"/>
      <c r="J178" s="47"/>
      <c r="K178" s="48"/>
      <c r="L178" s="49"/>
      <c r="M178" s="47"/>
      <c r="N178" s="48"/>
      <c r="O178" s="49"/>
      <c r="P178" s="47"/>
      <c r="Q178" s="48"/>
      <c r="R178" s="49"/>
      <c r="S178" s="47"/>
      <c r="T178" s="48"/>
      <c r="U178" s="49"/>
      <c r="V178" s="47"/>
      <c r="W178" s="48"/>
      <c r="X178" s="49"/>
      <c r="Y178" s="47"/>
      <c r="Z178" s="48"/>
      <c r="AA178" s="49"/>
      <c r="AB178" s="47"/>
      <c r="AC178" s="48"/>
      <c r="AD178" s="49"/>
      <c r="AE178" s="47"/>
      <c r="AF178" s="48"/>
      <c r="AG178" s="49"/>
      <c r="AH178" s="50" t="str">
        <f t="shared" si="4"/>
        <v/>
      </c>
    </row>
    <row r="179" spans="1:34" ht="15.95" customHeight="1">
      <c r="A179" s="46">
        <v>29</v>
      </c>
      <c r="B179" s="63" t="str">
        <f>IF('(1).Classes'!F71="","",'(1).Classes'!F71)</f>
        <v/>
      </c>
      <c r="C179" s="62" t="str">
        <f>IF('(1).Classes'!G71="","",'(1).Classes'!G71)</f>
        <v/>
      </c>
      <c r="D179" s="47"/>
      <c r="E179" s="48"/>
      <c r="F179" s="49"/>
      <c r="G179" s="47"/>
      <c r="H179" s="48"/>
      <c r="I179" s="49"/>
      <c r="J179" s="47"/>
      <c r="K179" s="48"/>
      <c r="L179" s="49"/>
      <c r="M179" s="47"/>
      <c r="N179" s="48"/>
      <c r="O179" s="49"/>
      <c r="P179" s="47"/>
      <c r="Q179" s="48"/>
      <c r="R179" s="49"/>
      <c r="S179" s="47"/>
      <c r="T179" s="48"/>
      <c r="U179" s="49"/>
      <c r="V179" s="47"/>
      <c r="W179" s="48"/>
      <c r="X179" s="49"/>
      <c r="Y179" s="47"/>
      <c r="Z179" s="48"/>
      <c r="AA179" s="49"/>
      <c r="AB179" s="47"/>
      <c r="AC179" s="48"/>
      <c r="AD179" s="49"/>
      <c r="AE179" s="47"/>
      <c r="AF179" s="48"/>
      <c r="AG179" s="49"/>
      <c r="AH179" s="50" t="str">
        <f t="shared" si="4"/>
        <v/>
      </c>
    </row>
    <row r="180" spans="1:34" ht="15.95" customHeight="1">
      <c r="A180" s="46">
        <v>30</v>
      </c>
      <c r="B180" s="63" t="str">
        <f>IF('(1).Classes'!F72="","",'(1).Classes'!F72)</f>
        <v/>
      </c>
      <c r="C180" s="62" t="str">
        <f>IF('(1).Classes'!G72="","",'(1).Classes'!G72)</f>
        <v/>
      </c>
      <c r="D180" s="47"/>
      <c r="E180" s="48"/>
      <c r="F180" s="49"/>
      <c r="G180" s="47"/>
      <c r="H180" s="48"/>
      <c r="I180" s="49"/>
      <c r="J180" s="47"/>
      <c r="K180" s="48"/>
      <c r="L180" s="49"/>
      <c r="M180" s="47"/>
      <c r="N180" s="48"/>
      <c r="O180" s="49"/>
      <c r="P180" s="47"/>
      <c r="Q180" s="48"/>
      <c r="R180" s="49"/>
      <c r="S180" s="47"/>
      <c r="T180" s="48"/>
      <c r="U180" s="49"/>
      <c r="V180" s="47"/>
      <c r="W180" s="48"/>
      <c r="X180" s="49"/>
      <c r="Y180" s="47"/>
      <c r="Z180" s="48"/>
      <c r="AA180" s="49"/>
      <c r="AB180" s="47"/>
      <c r="AC180" s="48"/>
      <c r="AD180" s="49"/>
      <c r="AE180" s="47"/>
      <c r="AF180" s="48"/>
      <c r="AG180" s="49"/>
      <c r="AH180" s="50" t="str">
        <f t="shared" si="4"/>
        <v/>
      </c>
    </row>
    <row r="181" spans="1:34" ht="15.95" customHeight="1">
      <c r="A181" s="18" t="s">
        <v>0</v>
      </c>
      <c r="B181" s="19">
        <f>'(1).Classes'!J37</f>
        <v>0</v>
      </c>
      <c r="C181" s="60"/>
      <c r="D181" s="222" t="s">
        <v>90</v>
      </c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</row>
    <row r="182" spans="1:34" ht="15.95" customHeight="1">
      <c r="A182" s="18" t="s">
        <v>1</v>
      </c>
      <c r="B182" s="19">
        <f>'(1).Classes'!J38</f>
        <v>0</v>
      </c>
      <c r="C182" s="60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</row>
    <row r="183" spans="1:34" ht="15.95" customHeight="1">
      <c r="A183" s="18" t="s">
        <v>2</v>
      </c>
      <c r="B183" s="19">
        <f>'(1).Classes'!J39</f>
        <v>0</v>
      </c>
      <c r="C183" s="60"/>
      <c r="D183" s="223" t="str">
        <f>D147</f>
        <v>FEBRUARY - JULY 2026</v>
      </c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  <c r="AA183" s="223"/>
      <c r="AB183" s="223"/>
      <c r="AC183" s="223"/>
      <c r="AD183" s="223"/>
      <c r="AE183" s="223"/>
      <c r="AF183" s="223"/>
      <c r="AG183" s="223"/>
      <c r="AH183" s="223"/>
    </row>
    <row r="184" spans="1:34" ht="15.95" customHeight="1">
      <c r="A184" s="18" t="s">
        <v>3</v>
      </c>
      <c r="B184" s="19">
        <f>'(1).Classes'!J40</f>
        <v>0</v>
      </c>
      <c r="C184" s="60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  <c r="AG184" s="224"/>
      <c r="AH184" s="224"/>
    </row>
    <row r="185" spans="1:34" ht="15.95" customHeight="1">
      <c r="A185" s="18" t="s">
        <v>4</v>
      </c>
      <c r="B185" s="19">
        <f>'(1).Classes'!J41</f>
        <v>0</v>
      </c>
      <c r="C185" s="61"/>
      <c r="D185" s="220" t="str">
        <f>IF(OR($B182="K5",$B182="K6",$B182="K7",$B182="K8",$B182="K9",$B182="K10"),"Listening","Up-Low C")</f>
        <v>Up-Low C</v>
      </c>
      <c r="E185" s="220"/>
      <c r="F185" s="220"/>
      <c r="G185" s="220" t="str">
        <f>IF(OR($B182="K5",$B182="K6",$B182="K7",$B182="K8",$B182="K9",$B182="K10"),"Speaking","Alphabet N")</f>
        <v>Alphabet N</v>
      </c>
      <c r="H185" s="220"/>
      <c r="I185" s="220"/>
      <c r="J185" s="220" t="str">
        <f>IF(OR($B182="K5",$B182="K6",$B182="K7",$B182="K8",$B182="K9",$B182="K10"),"Reading","Alphabet S")</f>
        <v>Alphabet S</v>
      </c>
      <c r="K185" s="220"/>
      <c r="L185" s="220"/>
      <c r="M185" s="220" t="str">
        <f>IF(OR($B182="K5",$B182="K6",$B182="K7",$B182="K8",$B182="K9",$B182="K10"),"Writing","Vocabulary")</f>
        <v>Vocabulary</v>
      </c>
      <c r="N185" s="220"/>
      <c r="O185" s="220"/>
      <c r="P185" s="220" t="str">
        <f>IF(OR($B182="K5",$B182="K6",$B182="K7",$B182="K8",$B182="K9",$B182="K10"),"Gram/Vocab","Sprouts")</f>
        <v>Sprouts</v>
      </c>
      <c r="Q185" s="220"/>
      <c r="R185" s="220"/>
      <c r="S185" s="220" t="str">
        <f>IF(OR($B182="K5",$B182="K6",$B182="K7",$B182="K8",$B182="K9",$B182="K10"),"Roots","Phonics")</f>
        <v>Phonics</v>
      </c>
      <c r="T185" s="220"/>
      <c r="U185" s="220"/>
      <c r="V185" s="220" t="str">
        <f>IF(OR($B182="K5",$B182="K6",$B182="K7",$B182="K8",$B182="K9",$B182="K10"),"Phonics","Math")</f>
        <v>Math</v>
      </c>
      <c r="W185" s="220"/>
      <c r="X185" s="220"/>
      <c r="Y185" s="220" t="str">
        <f>IF(OR($B182="K5",$B182="K6",$B182="K7",$B182="K8",$B182="K9",$B182="K10"),"Math","Shape")</f>
        <v>Shape</v>
      </c>
      <c r="Z185" s="220"/>
      <c r="AA185" s="220"/>
      <c r="AB185" s="220" t="s">
        <v>10</v>
      </c>
      <c r="AC185" s="220"/>
      <c r="AD185" s="220"/>
      <c r="AE185" s="220" t="str">
        <f>IF(OR($B182="K5",$B182="K6",$B182="K7",$B182="K8",$B182="K9",$B182="K10"),"Homework","Tracing")</f>
        <v>Tracing</v>
      </c>
      <c r="AF185" s="220"/>
      <c r="AG185" s="220"/>
      <c r="AH185" s="90" t="s">
        <v>11</v>
      </c>
    </row>
    <row r="186" spans="1:34" ht="15.95" customHeight="1" thickBot="1">
      <c r="A186" s="73" t="s">
        <v>5</v>
      </c>
      <c r="B186" s="74" t="s">
        <v>6</v>
      </c>
      <c r="C186" s="75" t="s">
        <v>7</v>
      </c>
      <c r="D186" s="221" t="s">
        <v>9</v>
      </c>
      <c r="E186" s="221"/>
      <c r="F186" s="221"/>
      <c r="G186" s="221" t="s">
        <v>9</v>
      </c>
      <c r="H186" s="221"/>
      <c r="I186" s="221"/>
      <c r="J186" s="221" t="s">
        <v>9</v>
      </c>
      <c r="K186" s="221"/>
      <c r="L186" s="221"/>
      <c r="M186" s="221" t="s">
        <v>9</v>
      </c>
      <c r="N186" s="221"/>
      <c r="O186" s="221"/>
      <c r="P186" s="221" t="s">
        <v>9</v>
      </c>
      <c r="Q186" s="221"/>
      <c r="R186" s="221"/>
      <c r="S186" s="221" t="s">
        <v>9</v>
      </c>
      <c r="T186" s="221"/>
      <c r="U186" s="221"/>
      <c r="V186" s="221" t="s">
        <v>9</v>
      </c>
      <c r="W186" s="221"/>
      <c r="X186" s="221"/>
      <c r="Y186" s="221" t="s">
        <v>9</v>
      </c>
      <c r="Z186" s="221"/>
      <c r="AA186" s="221"/>
      <c r="AB186" s="221" t="s">
        <v>9</v>
      </c>
      <c r="AC186" s="221"/>
      <c r="AD186" s="221"/>
      <c r="AE186" s="221" t="s">
        <v>9</v>
      </c>
      <c r="AF186" s="221"/>
      <c r="AG186" s="221"/>
      <c r="AH186" s="77" t="s">
        <v>12</v>
      </c>
    </row>
    <row r="187" spans="1:34" ht="15.95" customHeight="1">
      <c r="A187" s="46">
        <v>1</v>
      </c>
      <c r="B187" s="63" t="str">
        <f>IF('(1).Classes'!J43="","",'(1).Classes'!J43)</f>
        <v/>
      </c>
      <c r="C187" s="62" t="str">
        <f>IF('(1).Classes'!K43="","",'(1).Classes'!K43)</f>
        <v/>
      </c>
      <c r="D187" s="69"/>
      <c r="E187" s="70"/>
      <c r="F187" s="71"/>
      <c r="G187" s="69"/>
      <c r="H187" s="70"/>
      <c r="I187" s="71"/>
      <c r="J187" s="69"/>
      <c r="K187" s="70"/>
      <c r="L187" s="71"/>
      <c r="M187" s="69"/>
      <c r="N187" s="70"/>
      <c r="O187" s="71"/>
      <c r="P187" s="69"/>
      <c r="Q187" s="70"/>
      <c r="R187" s="71"/>
      <c r="S187" s="69"/>
      <c r="T187" s="70"/>
      <c r="U187" s="71"/>
      <c r="V187" s="69"/>
      <c r="W187" s="70"/>
      <c r="X187" s="71"/>
      <c r="Y187" s="69"/>
      <c r="Z187" s="70"/>
      <c r="AA187" s="71"/>
      <c r="AB187" s="69"/>
      <c r="AC187" s="70"/>
      <c r="AD187" s="71"/>
      <c r="AE187" s="69"/>
      <c r="AF187" s="70"/>
      <c r="AG187" s="71"/>
      <c r="AH187" s="72" t="str">
        <f>IF(B187="","",IF(COUNT(D187:F187)=0,"Incomplete",IF(COUNT(G187:I187)=0,"Incomplete",IF(COUNT(J187:L187)=0,"Incomplete",IF(COUNT(M187:O187)=0,"Incomplete",IF(COUNT(P187:R187)=0,"Incomplete",IF(COUNT(S187:U187)=0,"Incomplete",IF(COUNT(V187:X187)=0,"Incomplete",IF(COUNT(Y187:AA187)=0,"Incomplete",IF(COUNT(AB187:AD187)=0,"Incomplete",IF(COUNT(AE187:AG187)=0,"Incomplete",AVERAGEIF(D187:F187,"&gt;=0")+AVERAGEIF(G187:I187,"&gt;=0")+AVERAGEIF(J187:L187,"&gt;=0")+AVERAGEIF(M187:O187,"&gt;=0")+AVERAGEIF(P187:R187,"&gt;=0")+AVERAGEIF(S187:U187,"&gt;=0")+AVERAGEIF(V187:X187,"&gt;=0")+AVERAGEIF(Y187:AA187,"&gt;=0")+AVERAGEIF(AB187:AD187,"&gt;=0")+AVERAGEIF(AE187:AG187,"&gt;=0"))))))))))))</f>
        <v/>
      </c>
    </row>
    <row r="188" spans="1:34" ht="15.95" customHeight="1">
      <c r="A188" s="46">
        <v>2</v>
      </c>
      <c r="B188" s="63" t="str">
        <f>IF('(1).Classes'!J44="","",'(1).Classes'!J44)</f>
        <v/>
      </c>
      <c r="C188" s="62" t="str">
        <f>IF('(1).Classes'!K44="","",'(1).Classes'!K44)</f>
        <v/>
      </c>
      <c r="D188" s="47"/>
      <c r="E188" s="48"/>
      <c r="F188" s="49"/>
      <c r="G188" s="47"/>
      <c r="H188" s="48"/>
      <c r="I188" s="49"/>
      <c r="J188" s="47"/>
      <c r="K188" s="48"/>
      <c r="L188" s="49"/>
      <c r="M188" s="47"/>
      <c r="N188" s="48"/>
      <c r="O188" s="49"/>
      <c r="P188" s="47"/>
      <c r="Q188" s="48"/>
      <c r="R188" s="49"/>
      <c r="S188" s="47"/>
      <c r="T188" s="48"/>
      <c r="U188" s="49"/>
      <c r="V188" s="47"/>
      <c r="W188" s="48"/>
      <c r="X188" s="49"/>
      <c r="Y188" s="47"/>
      <c r="Z188" s="48"/>
      <c r="AA188" s="49"/>
      <c r="AB188" s="47"/>
      <c r="AC188" s="48"/>
      <c r="AD188" s="49"/>
      <c r="AE188" s="47"/>
      <c r="AF188" s="48"/>
      <c r="AG188" s="49"/>
      <c r="AH188" s="50" t="str">
        <f t="shared" ref="AH188:AH216" si="5">IF(B188="","",IF(COUNT(D188:F188)=0,"Incomplete",IF(COUNT(G188:I188)=0,"Incomplete",IF(COUNT(J188:L188)=0,"Incomplete",IF(COUNT(M188:O188)=0,"Incomplete",IF(COUNT(P188:R188)=0,"Incomplete",IF(COUNT(S188:U188)=0,"Incomplete",IF(COUNT(V188:X188)=0,"Incomplete",IF(COUNT(Y188:AA188)=0,"Incomplete",IF(COUNT(AB188:AD188)=0,"Incomplete",IF(COUNT(AE188:AG188)=0,"Incomplete",AVERAGEIF(D188:F188,"&gt;=0")+AVERAGEIF(G188:I188,"&gt;=0")+AVERAGEIF(J188:L188,"&gt;=0")+AVERAGEIF(M188:O188,"&gt;=0")+AVERAGEIF(P188:R188,"&gt;=0")+AVERAGEIF(S188:U188,"&gt;=0")+AVERAGEIF(V188:X188,"&gt;=0")+AVERAGEIF(Y188:AA188,"&gt;=0")+AVERAGEIF(AB188:AD188,"&gt;=0")+AVERAGEIF(AE188:AG188,"&gt;=0"))))))))))))</f>
        <v/>
      </c>
    </row>
    <row r="189" spans="1:34" ht="15.95" customHeight="1">
      <c r="A189" s="46">
        <v>3</v>
      </c>
      <c r="B189" s="63" t="str">
        <f>IF('(1).Classes'!J45="","",'(1).Classes'!J45)</f>
        <v/>
      </c>
      <c r="C189" s="62" t="str">
        <f>IF('(1).Classes'!K45="","",'(1).Classes'!K45)</f>
        <v/>
      </c>
      <c r="D189" s="47"/>
      <c r="E189" s="48"/>
      <c r="F189" s="49"/>
      <c r="G189" s="47"/>
      <c r="H189" s="48"/>
      <c r="I189" s="49"/>
      <c r="J189" s="47"/>
      <c r="K189" s="48"/>
      <c r="L189" s="49"/>
      <c r="M189" s="47"/>
      <c r="N189" s="48"/>
      <c r="O189" s="49"/>
      <c r="P189" s="47"/>
      <c r="Q189" s="48"/>
      <c r="R189" s="49"/>
      <c r="S189" s="47"/>
      <c r="T189" s="48"/>
      <c r="U189" s="49"/>
      <c r="V189" s="47"/>
      <c r="W189" s="48"/>
      <c r="X189" s="49"/>
      <c r="Y189" s="47"/>
      <c r="Z189" s="48"/>
      <c r="AA189" s="49"/>
      <c r="AB189" s="47"/>
      <c r="AC189" s="48"/>
      <c r="AD189" s="49"/>
      <c r="AE189" s="47"/>
      <c r="AF189" s="48"/>
      <c r="AG189" s="49"/>
      <c r="AH189" s="50" t="str">
        <f t="shared" si="5"/>
        <v/>
      </c>
    </row>
    <row r="190" spans="1:34" ht="15.95" customHeight="1">
      <c r="A190" s="46">
        <v>4</v>
      </c>
      <c r="B190" s="63" t="str">
        <f>IF('(1).Classes'!J46="","",'(1).Classes'!J46)</f>
        <v/>
      </c>
      <c r="C190" s="62" t="str">
        <f>IF('(1).Classes'!K46="","",'(1).Classes'!K46)</f>
        <v/>
      </c>
      <c r="D190" s="47"/>
      <c r="E190" s="48"/>
      <c r="F190" s="49"/>
      <c r="G190" s="47"/>
      <c r="H190" s="48"/>
      <c r="I190" s="49"/>
      <c r="J190" s="47"/>
      <c r="K190" s="48"/>
      <c r="L190" s="49"/>
      <c r="M190" s="47"/>
      <c r="N190" s="48"/>
      <c r="O190" s="49"/>
      <c r="P190" s="47"/>
      <c r="Q190" s="48"/>
      <c r="R190" s="49"/>
      <c r="S190" s="47"/>
      <c r="T190" s="48"/>
      <c r="U190" s="49"/>
      <c r="V190" s="47"/>
      <c r="W190" s="48"/>
      <c r="X190" s="49"/>
      <c r="Y190" s="47"/>
      <c r="Z190" s="48"/>
      <c r="AA190" s="49"/>
      <c r="AB190" s="47"/>
      <c r="AC190" s="48"/>
      <c r="AD190" s="49"/>
      <c r="AE190" s="47"/>
      <c r="AF190" s="48"/>
      <c r="AG190" s="49"/>
      <c r="AH190" s="50" t="str">
        <f t="shared" si="5"/>
        <v/>
      </c>
    </row>
    <row r="191" spans="1:34" ht="15.95" customHeight="1">
      <c r="A191" s="46">
        <v>5</v>
      </c>
      <c r="B191" s="63" t="str">
        <f>IF('(1).Classes'!J47="","",'(1).Classes'!J47)</f>
        <v/>
      </c>
      <c r="C191" s="62" t="str">
        <f>IF('(1).Classes'!K47="","",'(1).Classes'!K47)</f>
        <v/>
      </c>
      <c r="D191" s="47"/>
      <c r="E191" s="48"/>
      <c r="F191" s="49"/>
      <c r="G191" s="47"/>
      <c r="H191" s="48"/>
      <c r="I191" s="49"/>
      <c r="J191" s="47"/>
      <c r="K191" s="48"/>
      <c r="L191" s="49"/>
      <c r="M191" s="47"/>
      <c r="N191" s="48"/>
      <c r="O191" s="49"/>
      <c r="P191" s="47"/>
      <c r="Q191" s="48"/>
      <c r="R191" s="49"/>
      <c r="S191" s="47"/>
      <c r="T191" s="48"/>
      <c r="U191" s="49"/>
      <c r="V191" s="47"/>
      <c r="W191" s="48"/>
      <c r="X191" s="49"/>
      <c r="Y191" s="47"/>
      <c r="Z191" s="48"/>
      <c r="AA191" s="49"/>
      <c r="AB191" s="47"/>
      <c r="AC191" s="48"/>
      <c r="AD191" s="49"/>
      <c r="AE191" s="47"/>
      <c r="AF191" s="48"/>
      <c r="AG191" s="49"/>
      <c r="AH191" s="50" t="str">
        <f t="shared" si="5"/>
        <v/>
      </c>
    </row>
    <row r="192" spans="1:34" ht="15.95" customHeight="1">
      <c r="A192" s="46">
        <v>6</v>
      </c>
      <c r="B192" s="63" t="str">
        <f>IF('(1).Classes'!J48="","",'(1).Classes'!J48)</f>
        <v/>
      </c>
      <c r="C192" s="62" t="str">
        <f>IF('(1).Classes'!K48="","",'(1).Classes'!K48)</f>
        <v/>
      </c>
      <c r="D192" s="47"/>
      <c r="E192" s="48"/>
      <c r="F192" s="49"/>
      <c r="G192" s="47"/>
      <c r="H192" s="48"/>
      <c r="I192" s="49"/>
      <c r="J192" s="47"/>
      <c r="K192" s="48"/>
      <c r="L192" s="49"/>
      <c r="M192" s="47"/>
      <c r="N192" s="48"/>
      <c r="O192" s="49"/>
      <c r="P192" s="47"/>
      <c r="Q192" s="48"/>
      <c r="R192" s="49"/>
      <c r="S192" s="47"/>
      <c r="T192" s="48"/>
      <c r="U192" s="49"/>
      <c r="V192" s="47"/>
      <c r="W192" s="48"/>
      <c r="X192" s="49"/>
      <c r="Y192" s="47"/>
      <c r="Z192" s="48"/>
      <c r="AA192" s="49"/>
      <c r="AB192" s="47"/>
      <c r="AC192" s="48"/>
      <c r="AD192" s="49"/>
      <c r="AE192" s="47"/>
      <c r="AF192" s="48"/>
      <c r="AG192" s="49"/>
      <c r="AH192" s="50" t="str">
        <f t="shared" si="5"/>
        <v/>
      </c>
    </row>
    <row r="193" spans="1:34" ht="15.95" customHeight="1">
      <c r="A193" s="46">
        <v>7</v>
      </c>
      <c r="B193" s="63" t="str">
        <f>IF('(1).Classes'!J49="","",'(1).Classes'!J49)</f>
        <v/>
      </c>
      <c r="C193" s="62" t="str">
        <f>IF('(1).Classes'!K49="","",'(1).Classes'!K49)</f>
        <v/>
      </c>
      <c r="D193" s="47"/>
      <c r="E193" s="48"/>
      <c r="F193" s="49"/>
      <c r="G193" s="47"/>
      <c r="H193" s="48"/>
      <c r="I193" s="49"/>
      <c r="J193" s="47"/>
      <c r="K193" s="48"/>
      <c r="L193" s="49"/>
      <c r="M193" s="47"/>
      <c r="N193" s="48"/>
      <c r="O193" s="49"/>
      <c r="P193" s="47"/>
      <c r="Q193" s="48"/>
      <c r="R193" s="49"/>
      <c r="S193" s="47"/>
      <c r="T193" s="48"/>
      <c r="U193" s="49"/>
      <c r="V193" s="47"/>
      <c r="W193" s="48"/>
      <c r="X193" s="49"/>
      <c r="Y193" s="47"/>
      <c r="Z193" s="48"/>
      <c r="AA193" s="49"/>
      <c r="AB193" s="47"/>
      <c r="AC193" s="48"/>
      <c r="AD193" s="49"/>
      <c r="AE193" s="47"/>
      <c r="AF193" s="48"/>
      <c r="AG193" s="49"/>
      <c r="AH193" s="50" t="str">
        <f t="shared" si="5"/>
        <v/>
      </c>
    </row>
    <row r="194" spans="1:34" ht="15.95" customHeight="1">
      <c r="A194" s="46">
        <v>8</v>
      </c>
      <c r="B194" s="63" t="str">
        <f>IF('(1).Classes'!J50="","",'(1).Classes'!J50)</f>
        <v/>
      </c>
      <c r="C194" s="62" t="str">
        <f>IF('(1).Classes'!K50="","",'(1).Classes'!K50)</f>
        <v/>
      </c>
      <c r="D194" s="47"/>
      <c r="E194" s="48"/>
      <c r="F194" s="49"/>
      <c r="G194" s="47"/>
      <c r="H194" s="48"/>
      <c r="I194" s="49"/>
      <c r="J194" s="47"/>
      <c r="K194" s="48"/>
      <c r="L194" s="49"/>
      <c r="M194" s="47"/>
      <c r="N194" s="48"/>
      <c r="O194" s="49"/>
      <c r="P194" s="47"/>
      <c r="Q194" s="48"/>
      <c r="R194" s="49"/>
      <c r="S194" s="47"/>
      <c r="T194" s="48"/>
      <c r="U194" s="49"/>
      <c r="V194" s="47"/>
      <c r="W194" s="48"/>
      <c r="X194" s="49"/>
      <c r="Y194" s="47"/>
      <c r="Z194" s="48"/>
      <c r="AA194" s="49"/>
      <c r="AB194" s="47"/>
      <c r="AC194" s="48"/>
      <c r="AD194" s="49"/>
      <c r="AE194" s="47"/>
      <c r="AF194" s="48"/>
      <c r="AG194" s="49"/>
      <c r="AH194" s="50" t="str">
        <f t="shared" si="5"/>
        <v/>
      </c>
    </row>
    <row r="195" spans="1:34" ht="15.95" customHeight="1">
      <c r="A195" s="46">
        <v>9</v>
      </c>
      <c r="B195" s="63" t="str">
        <f>IF('(1).Classes'!J51="","",'(1).Classes'!J51)</f>
        <v/>
      </c>
      <c r="C195" s="62" t="str">
        <f>IF('(1).Classes'!K51="","",'(1).Classes'!K51)</f>
        <v/>
      </c>
      <c r="D195" s="47"/>
      <c r="E195" s="48"/>
      <c r="F195" s="49"/>
      <c r="G195" s="47"/>
      <c r="H195" s="48"/>
      <c r="I195" s="49"/>
      <c r="J195" s="47"/>
      <c r="K195" s="48"/>
      <c r="L195" s="49"/>
      <c r="M195" s="47"/>
      <c r="N195" s="48"/>
      <c r="O195" s="49"/>
      <c r="P195" s="47"/>
      <c r="Q195" s="48"/>
      <c r="R195" s="49"/>
      <c r="S195" s="47"/>
      <c r="T195" s="48"/>
      <c r="U195" s="49"/>
      <c r="V195" s="47"/>
      <c r="W195" s="48"/>
      <c r="X195" s="49"/>
      <c r="Y195" s="47"/>
      <c r="Z195" s="48"/>
      <c r="AA195" s="49"/>
      <c r="AB195" s="47"/>
      <c r="AC195" s="48"/>
      <c r="AD195" s="49"/>
      <c r="AE195" s="47"/>
      <c r="AF195" s="48"/>
      <c r="AG195" s="49"/>
      <c r="AH195" s="50" t="str">
        <f t="shared" si="5"/>
        <v/>
      </c>
    </row>
    <row r="196" spans="1:34" ht="15.95" customHeight="1">
      <c r="A196" s="46">
        <v>10</v>
      </c>
      <c r="B196" s="63" t="str">
        <f>IF('(1).Classes'!J52="","",'(1).Classes'!J52)</f>
        <v/>
      </c>
      <c r="C196" s="62" t="str">
        <f>IF('(1).Classes'!K52="","",'(1).Classes'!K52)</f>
        <v/>
      </c>
      <c r="D196" s="47"/>
      <c r="E196" s="48"/>
      <c r="F196" s="49"/>
      <c r="G196" s="47"/>
      <c r="H196" s="48"/>
      <c r="I196" s="49"/>
      <c r="J196" s="47"/>
      <c r="K196" s="48"/>
      <c r="L196" s="49"/>
      <c r="M196" s="47"/>
      <c r="N196" s="48"/>
      <c r="O196" s="49"/>
      <c r="P196" s="47"/>
      <c r="Q196" s="48"/>
      <c r="R196" s="49"/>
      <c r="S196" s="47"/>
      <c r="T196" s="48"/>
      <c r="U196" s="49"/>
      <c r="V196" s="47"/>
      <c r="W196" s="48"/>
      <c r="X196" s="49"/>
      <c r="Y196" s="47"/>
      <c r="Z196" s="48"/>
      <c r="AA196" s="49"/>
      <c r="AB196" s="47"/>
      <c r="AC196" s="48"/>
      <c r="AD196" s="49"/>
      <c r="AE196" s="47"/>
      <c r="AF196" s="48"/>
      <c r="AG196" s="49"/>
      <c r="AH196" s="50" t="str">
        <f t="shared" si="5"/>
        <v/>
      </c>
    </row>
    <row r="197" spans="1:34" ht="15.95" customHeight="1">
      <c r="A197" s="46">
        <v>11</v>
      </c>
      <c r="B197" s="63" t="str">
        <f>IF('(1).Classes'!J53="","",'(1).Classes'!J53)</f>
        <v/>
      </c>
      <c r="C197" s="62" t="str">
        <f>IF('(1).Classes'!K53="","",'(1).Classes'!K53)</f>
        <v/>
      </c>
      <c r="D197" s="47"/>
      <c r="E197" s="48"/>
      <c r="F197" s="49"/>
      <c r="G197" s="47"/>
      <c r="H197" s="48"/>
      <c r="I197" s="49"/>
      <c r="J197" s="47"/>
      <c r="K197" s="48"/>
      <c r="L197" s="49"/>
      <c r="M197" s="47"/>
      <c r="N197" s="48"/>
      <c r="O197" s="49"/>
      <c r="P197" s="47"/>
      <c r="Q197" s="48"/>
      <c r="R197" s="49"/>
      <c r="S197" s="47"/>
      <c r="T197" s="48"/>
      <c r="U197" s="49"/>
      <c r="V197" s="47"/>
      <c r="W197" s="48"/>
      <c r="X197" s="49"/>
      <c r="Y197" s="47"/>
      <c r="Z197" s="48"/>
      <c r="AA197" s="49"/>
      <c r="AB197" s="47"/>
      <c r="AC197" s="48"/>
      <c r="AD197" s="49"/>
      <c r="AE197" s="47"/>
      <c r="AF197" s="48"/>
      <c r="AG197" s="49"/>
      <c r="AH197" s="50" t="str">
        <f t="shared" si="5"/>
        <v/>
      </c>
    </row>
    <row r="198" spans="1:34" ht="15.95" customHeight="1">
      <c r="A198" s="46">
        <v>12</v>
      </c>
      <c r="B198" s="63" t="str">
        <f>IF('(1).Classes'!J54="","",'(1).Classes'!J54)</f>
        <v/>
      </c>
      <c r="C198" s="62" t="str">
        <f>IF('(1).Classes'!K54="","",'(1).Classes'!K54)</f>
        <v/>
      </c>
      <c r="D198" s="47"/>
      <c r="E198" s="48"/>
      <c r="F198" s="49"/>
      <c r="G198" s="47"/>
      <c r="H198" s="48"/>
      <c r="I198" s="49"/>
      <c r="J198" s="47"/>
      <c r="K198" s="48"/>
      <c r="L198" s="49"/>
      <c r="M198" s="47"/>
      <c r="N198" s="48"/>
      <c r="O198" s="49"/>
      <c r="P198" s="47"/>
      <c r="Q198" s="48"/>
      <c r="R198" s="49"/>
      <c r="S198" s="47"/>
      <c r="T198" s="48"/>
      <c r="U198" s="49"/>
      <c r="V198" s="47"/>
      <c r="W198" s="48"/>
      <c r="X198" s="49"/>
      <c r="Y198" s="47"/>
      <c r="Z198" s="48"/>
      <c r="AA198" s="49"/>
      <c r="AB198" s="47"/>
      <c r="AC198" s="48"/>
      <c r="AD198" s="49"/>
      <c r="AE198" s="47"/>
      <c r="AF198" s="48"/>
      <c r="AG198" s="49"/>
      <c r="AH198" s="50" t="str">
        <f t="shared" si="5"/>
        <v/>
      </c>
    </row>
    <row r="199" spans="1:34" ht="15.95" customHeight="1">
      <c r="A199" s="46">
        <v>13</v>
      </c>
      <c r="B199" s="63" t="str">
        <f>IF('(1).Classes'!J55="","",'(1).Classes'!J55)</f>
        <v/>
      </c>
      <c r="C199" s="62" t="str">
        <f>IF('(1).Classes'!K55="","",'(1).Classes'!K55)</f>
        <v/>
      </c>
      <c r="D199" s="47"/>
      <c r="E199" s="48"/>
      <c r="F199" s="49"/>
      <c r="G199" s="47"/>
      <c r="H199" s="48"/>
      <c r="I199" s="49"/>
      <c r="J199" s="47"/>
      <c r="K199" s="48"/>
      <c r="L199" s="49"/>
      <c r="M199" s="47"/>
      <c r="N199" s="48"/>
      <c r="O199" s="49"/>
      <c r="P199" s="47"/>
      <c r="Q199" s="48"/>
      <c r="R199" s="49"/>
      <c r="S199" s="47"/>
      <c r="T199" s="48"/>
      <c r="U199" s="49"/>
      <c r="V199" s="47"/>
      <c r="W199" s="48"/>
      <c r="X199" s="49"/>
      <c r="Y199" s="47"/>
      <c r="Z199" s="48"/>
      <c r="AA199" s="49"/>
      <c r="AB199" s="47"/>
      <c r="AC199" s="48"/>
      <c r="AD199" s="49"/>
      <c r="AE199" s="47"/>
      <c r="AF199" s="48"/>
      <c r="AG199" s="49"/>
      <c r="AH199" s="50" t="str">
        <f t="shared" si="5"/>
        <v/>
      </c>
    </row>
    <row r="200" spans="1:34" ht="15.95" customHeight="1">
      <c r="A200" s="46">
        <v>14</v>
      </c>
      <c r="B200" s="63" t="str">
        <f>IF('(1).Classes'!J56="","",'(1).Classes'!J56)</f>
        <v/>
      </c>
      <c r="C200" s="62" t="str">
        <f>IF('(1).Classes'!K56="","",'(1).Classes'!K56)</f>
        <v/>
      </c>
      <c r="D200" s="47"/>
      <c r="E200" s="48"/>
      <c r="F200" s="49"/>
      <c r="G200" s="47"/>
      <c r="H200" s="48"/>
      <c r="I200" s="49"/>
      <c r="J200" s="47"/>
      <c r="K200" s="48"/>
      <c r="L200" s="49"/>
      <c r="M200" s="47"/>
      <c r="N200" s="48"/>
      <c r="O200" s="49"/>
      <c r="P200" s="47"/>
      <c r="Q200" s="48"/>
      <c r="R200" s="49"/>
      <c r="S200" s="47"/>
      <c r="T200" s="48"/>
      <c r="U200" s="49"/>
      <c r="V200" s="47"/>
      <c r="W200" s="48"/>
      <c r="X200" s="49"/>
      <c r="Y200" s="47"/>
      <c r="Z200" s="48"/>
      <c r="AA200" s="49"/>
      <c r="AB200" s="47"/>
      <c r="AC200" s="48"/>
      <c r="AD200" s="49"/>
      <c r="AE200" s="47"/>
      <c r="AF200" s="48"/>
      <c r="AG200" s="49"/>
      <c r="AH200" s="50" t="str">
        <f t="shared" si="5"/>
        <v/>
      </c>
    </row>
    <row r="201" spans="1:34" ht="15.95" customHeight="1">
      <c r="A201" s="46">
        <v>15</v>
      </c>
      <c r="B201" s="63" t="str">
        <f>IF('(1).Classes'!J57="","",'(1).Classes'!J57)</f>
        <v/>
      </c>
      <c r="C201" s="62" t="str">
        <f>IF('(1).Classes'!K57="","",'(1).Classes'!K57)</f>
        <v/>
      </c>
      <c r="D201" s="47"/>
      <c r="E201" s="48"/>
      <c r="F201" s="49"/>
      <c r="G201" s="47"/>
      <c r="H201" s="48"/>
      <c r="I201" s="49"/>
      <c r="J201" s="47"/>
      <c r="K201" s="48"/>
      <c r="L201" s="49"/>
      <c r="M201" s="47"/>
      <c r="N201" s="48"/>
      <c r="O201" s="49"/>
      <c r="P201" s="47"/>
      <c r="Q201" s="48"/>
      <c r="R201" s="49"/>
      <c r="S201" s="47"/>
      <c r="T201" s="48"/>
      <c r="U201" s="49"/>
      <c r="V201" s="47"/>
      <c r="W201" s="48"/>
      <c r="X201" s="49"/>
      <c r="Y201" s="47"/>
      <c r="Z201" s="48"/>
      <c r="AA201" s="49"/>
      <c r="AB201" s="47"/>
      <c r="AC201" s="48"/>
      <c r="AD201" s="49"/>
      <c r="AE201" s="47"/>
      <c r="AF201" s="48"/>
      <c r="AG201" s="49"/>
      <c r="AH201" s="50" t="str">
        <f t="shared" si="5"/>
        <v/>
      </c>
    </row>
    <row r="202" spans="1:34" ht="15.95" customHeight="1">
      <c r="A202" s="46">
        <v>16</v>
      </c>
      <c r="B202" s="63" t="str">
        <f>IF('(1).Classes'!J58="","",'(1).Classes'!J58)</f>
        <v/>
      </c>
      <c r="C202" s="62" t="str">
        <f>IF('(1).Classes'!K58="","",'(1).Classes'!K58)</f>
        <v/>
      </c>
      <c r="D202" s="47"/>
      <c r="E202" s="48"/>
      <c r="F202" s="49"/>
      <c r="G202" s="47"/>
      <c r="H202" s="48"/>
      <c r="I202" s="49"/>
      <c r="J202" s="47"/>
      <c r="K202" s="48"/>
      <c r="L202" s="49"/>
      <c r="M202" s="47"/>
      <c r="N202" s="48"/>
      <c r="O202" s="49"/>
      <c r="P202" s="47"/>
      <c r="Q202" s="48"/>
      <c r="R202" s="49"/>
      <c r="S202" s="47"/>
      <c r="T202" s="48"/>
      <c r="U202" s="49"/>
      <c r="V202" s="47"/>
      <c r="W202" s="48"/>
      <c r="X202" s="49"/>
      <c r="Y202" s="47"/>
      <c r="Z202" s="48"/>
      <c r="AA202" s="49"/>
      <c r="AB202" s="47"/>
      <c r="AC202" s="48"/>
      <c r="AD202" s="49"/>
      <c r="AE202" s="47"/>
      <c r="AF202" s="48"/>
      <c r="AG202" s="49"/>
      <c r="AH202" s="50" t="str">
        <f t="shared" si="5"/>
        <v/>
      </c>
    </row>
    <row r="203" spans="1:34" ht="15.95" customHeight="1">
      <c r="A203" s="46">
        <v>17</v>
      </c>
      <c r="B203" s="63" t="str">
        <f>IF('(1).Classes'!J59="","",'(1).Classes'!J59)</f>
        <v/>
      </c>
      <c r="C203" s="62" t="str">
        <f>IF('(1).Classes'!K59="","",'(1).Classes'!K59)</f>
        <v/>
      </c>
      <c r="D203" s="47"/>
      <c r="E203" s="48"/>
      <c r="F203" s="49"/>
      <c r="G203" s="47"/>
      <c r="H203" s="48"/>
      <c r="I203" s="49"/>
      <c r="J203" s="47"/>
      <c r="K203" s="48"/>
      <c r="L203" s="49"/>
      <c r="M203" s="47"/>
      <c r="N203" s="48"/>
      <c r="O203" s="49"/>
      <c r="P203" s="47"/>
      <c r="Q203" s="48"/>
      <c r="R203" s="49"/>
      <c r="S203" s="47"/>
      <c r="T203" s="48"/>
      <c r="U203" s="49"/>
      <c r="V203" s="47"/>
      <c r="W203" s="48"/>
      <c r="X203" s="49"/>
      <c r="Y203" s="47"/>
      <c r="Z203" s="48"/>
      <c r="AA203" s="49"/>
      <c r="AB203" s="47"/>
      <c r="AC203" s="48"/>
      <c r="AD203" s="49"/>
      <c r="AE203" s="47"/>
      <c r="AF203" s="48"/>
      <c r="AG203" s="49"/>
      <c r="AH203" s="50" t="str">
        <f t="shared" si="5"/>
        <v/>
      </c>
    </row>
    <row r="204" spans="1:34" ht="15.95" customHeight="1">
      <c r="A204" s="46">
        <v>18</v>
      </c>
      <c r="B204" s="63" t="str">
        <f>IF('(1).Classes'!J60="","",'(1).Classes'!J60)</f>
        <v/>
      </c>
      <c r="C204" s="62" t="str">
        <f>IF('(1).Classes'!K60="","",'(1).Classes'!K60)</f>
        <v/>
      </c>
      <c r="D204" s="47"/>
      <c r="E204" s="48"/>
      <c r="F204" s="49"/>
      <c r="G204" s="47"/>
      <c r="H204" s="48"/>
      <c r="I204" s="49"/>
      <c r="J204" s="47"/>
      <c r="K204" s="48"/>
      <c r="L204" s="49"/>
      <c r="M204" s="47"/>
      <c r="N204" s="48"/>
      <c r="O204" s="49"/>
      <c r="P204" s="47"/>
      <c r="Q204" s="48"/>
      <c r="R204" s="49"/>
      <c r="S204" s="47"/>
      <c r="T204" s="48"/>
      <c r="U204" s="49"/>
      <c r="V204" s="47"/>
      <c r="W204" s="48"/>
      <c r="X204" s="49"/>
      <c r="Y204" s="47"/>
      <c r="Z204" s="48"/>
      <c r="AA204" s="49"/>
      <c r="AB204" s="47"/>
      <c r="AC204" s="48"/>
      <c r="AD204" s="49"/>
      <c r="AE204" s="47"/>
      <c r="AF204" s="48"/>
      <c r="AG204" s="49"/>
      <c r="AH204" s="50" t="str">
        <f t="shared" si="5"/>
        <v/>
      </c>
    </row>
    <row r="205" spans="1:34" ht="15.95" customHeight="1">
      <c r="A205" s="46">
        <v>19</v>
      </c>
      <c r="B205" s="63" t="str">
        <f>IF('(1).Classes'!J61="","",'(1).Classes'!J61)</f>
        <v/>
      </c>
      <c r="C205" s="62" t="str">
        <f>IF('(1).Classes'!K61="","",'(1).Classes'!K61)</f>
        <v/>
      </c>
      <c r="D205" s="47"/>
      <c r="E205" s="48"/>
      <c r="F205" s="49"/>
      <c r="G205" s="47"/>
      <c r="H205" s="48"/>
      <c r="I205" s="49"/>
      <c r="J205" s="47"/>
      <c r="K205" s="48"/>
      <c r="L205" s="49"/>
      <c r="M205" s="47"/>
      <c r="N205" s="48"/>
      <c r="O205" s="49"/>
      <c r="P205" s="47"/>
      <c r="Q205" s="48"/>
      <c r="R205" s="49"/>
      <c r="S205" s="47"/>
      <c r="T205" s="48"/>
      <c r="U205" s="49"/>
      <c r="V205" s="47"/>
      <c r="W205" s="48"/>
      <c r="X205" s="49"/>
      <c r="Y205" s="47"/>
      <c r="Z205" s="48"/>
      <c r="AA205" s="49"/>
      <c r="AB205" s="47"/>
      <c r="AC205" s="48"/>
      <c r="AD205" s="49"/>
      <c r="AE205" s="47"/>
      <c r="AF205" s="48"/>
      <c r="AG205" s="49"/>
      <c r="AH205" s="50" t="str">
        <f t="shared" si="5"/>
        <v/>
      </c>
    </row>
    <row r="206" spans="1:34" ht="15.95" customHeight="1">
      <c r="A206" s="46">
        <v>20</v>
      </c>
      <c r="B206" s="63" t="str">
        <f>IF('(1).Classes'!J62="","",'(1).Classes'!J62)</f>
        <v/>
      </c>
      <c r="C206" s="62" t="str">
        <f>IF('(1).Classes'!K62="","",'(1).Classes'!K62)</f>
        <v/>
      </c>
      <c r="D206" s="47"/>
      <c r="E206" s="48"/>
      <c r="F206" s="49"/>
      <c r="G206" s="47"/>
      <c r="H206" s="48"/>
      <c r="I206" s="49"/>
      <c r="J206" s="47"/>
      <c r="K206" s="48"/>
      <c r="L206" s="49"/>
      <c r="M206" s="47"/>
      <c r="N206" s="48"/>
      <c r="O206" s="49"/>
      <c r="P206" s="47"/>
      <c r="Q206" s="48"/>
      <c r="R206" s="49"/>
      <c r="S206" s="47"/>
      <c r="T206" s="48"/>
      <c r="U206" s="49"/>
      <c r="V206" s="47"/>
      <c r="W206" s="48"/>
      <c r="X206" s="49"/>
      <c r="Y206" s="47"/>
      <c r="Z206" s="48"/>
      <c r="AA206" s="49"/>
      <c r="AB206" s="47"/>
      <c r="AC206" s="48"/>
      <c r="AD206" s="49"/>
      <c r="AE206" s="47"/>
      <c r="AF206" s="48"/>
      <c r="AG206" s="49"/>
      <c r="AH206" s="50" t="str">
        <f t="shared" si="5"/>
        <v/>
      </c>
    </row>
    <row r="207" spans="1:34" ht="15.95" customHeight="1">
      <c r="A207" s="46">
        <v>21</v>
      </c>
      <c r="B207" s="63" t="str">
        <f>IF('(1).Classes'!J63="","",'(1).Classes'!J63)</f>
        <v/>
      </c>
      <c r="C207" s="62" t="str">
        <f>IF('(1).Classes'!K63="","",'(1).Classes'!K63)</f>
        <v/>
      </c>
      <c r="D207" s="47"/>
      <c r="E207" s="48"/>
      <c r="F207" s="49"/>
      <c r="G207" s="47"/>
      <c r="H207" s="48"/>
      <c r="I207" s="49"/>
      <c r="J207" s="47"/>
      <c r="K207" s="48"/>
      <c r="L207" s="49"/>
      <c r="M207" s="47"/>
      <c r="N207" s="48"/>
      <c r="O207" s="49"/>
      <c r="P207" s="47"/>
      <c r="Q207" s="48"/>
      <c r="R207" s="49"/>
      <c r="S207" s="47"/>
      <c r="T207" s="48"/>
      <c r="U207" s="49"/>
      <c r="V207" s="47"/>
      <c r="W207" s="48"/>
      <c r="X207" s="49"/>
      <c r="Y207" s="47"/>
      <c r="Z207" s="48"/>
      <c r="AA207" s="49"/>
      <c r="AB207" s="47"/>
      <c r="AC207" s="48"/>
      <c r="AD207" s="49"/>
      <c r="AE207" s="47"/>
      <c r="AF207" s="48"/>
      <c r="AG207" s="49"/>
      <c r="AH207" s="50" t="str">
        <f t="shared" si="5"/>
        <v/>
      </c>
    </row>
    <row r="208" spans="1:34" ht="15.95" customHeight="1">
      <c r="A208" s="46">
        <v>22</v>
      </c>
      <c r="B208" s="63" t="str">
        <f>IF('(1).Classes'!J64="","",'(1).Classes'!J64)</f>
        <v/>
      </c>
      <c r="C208" s="62" t="str">
        <f>IF('(1).Classes'!K64="","",'(1).Classes'!K64)</f>
        <v/>
      </c>
      <c r="D208" s="47"/>
      <c r="E208" s="48"/>
      <c r="F208" s="49"/>
      <c r="G208" s="47"/>
      <c r="H208" s="48"/>
      <c r="I208" s="49"/>
      <c r="J208" s="47"/>
      <c r="K208" s="48"/>
      <c r="L208" s="49"/>
      <c r="M208" s="47"/>
      <c r="N208" s="48"/>
      <c r="O208" s="49"/>
      <c r="P208" s="47"/>
      <c r="Q208" s="48"/>
      <c r="R208" s="49"/>
      <c r="S208" s="47"/>
      <c r="T208" s="48"/>
      <c r="U208" s="49"/>
      <c r="V208" s="47"/>
      <c r="W208" s="48"/>
      <c r="X208" s="49"/>
      <c r="Y208" s="47"/>
      <c r="Z208" s="48"/>
      <c r="AA208" s="49"/>
      <c r="AB208" s="47"/>
      <c r="AC208" s="48"/>
      <c r="AD208" s="49"/>
      <c r="AE208" s="47"/>
      <c r="AF208" s="48"/>
      <c r="AG208" s="49"/>
      <c r="AH208" s="50" t="str">
        <f t="shared" si="5"/>
        <v/>
      </c>
    </row>
    <row r="209" spans="1:34" ht="15.95" customHeight="1">
      <c r="A209" s="46">
        <v>23</v>
      </c>
      <c r="B209" s="63" t="str">
        <f>IF('(1).Classes'!J65="","",'(1).Classes'!J65)</f>
        <v/>
      </c>
      <c r="C209" s="62" t="str">
        <f>IF('(1).Classes'!K65="","",'(1).Classes'!K65)</f>
        <v/>
      </c>
      <c r="D209" s="47"/>
      <c r="E209" s="48"/>
      <c r="F209" s="49"/>
      <c r="G209" s="47"/>
      <c r="H209" s="48"/>
      <c r="I209" s="49"/>
      <c r="J209" s="47"/>
      <c r="K209" s="48"/>
      <c r="L209" s="49"/>
      <c r="M209" s="47"/>
      <c r="N209" s="48"/>
      <c r="O209" s="49"/>
      <c r="P209" s="47"/>
      <c r="Q209" s="48"/>
      <c r="R209" s="49"/>
      <c r="S209" s="47"/>
      <c r="T209" s="48"/>
      <c r="U209" s="49"/>
      <c r="V209" s="47"/>
      <c r="W209" s="48"/>
      <c r="X209" s="49"/>
      <c r="Y209" s="47"/>
      <c r="Z209" s="48"/>
      <c r="AA209" s="49"/>
      <c r="AB209" s="47"/>
      <c r="AC209" s="48"/>
      <c r="AD209" s="49"/>
      <c r="AE209" s="47"/>
      <c r="AF209" s="48"/>
      <c r="AG209" s="49"/>
      <c r="AH209" s="50" t="str">
        <f t="shared" si="5"/>
        <v/>
      </c>
    </row>
    <row r="210" spans="1:34" ht="15.95" customHeight="1">
      <c r="A210" s="46">
        <v>24</v>
      </c>
      <c r="B210" s="63" t="str">
        <f>IF('(1).Classes'!J66="","",'(1).Classes'!J66)</f>
        <v/>
      </c>
      <c r="C210" s="62" t="str">
        <f>IF('(1).Classes'!K66="","",'(1).Classes'!K66)</f>
        <v/>
      </c>
      <c r="D210" s="47"/>
      <c r="E210" s="48"/>
      <c r="F210" s="49"/>
      <c r="G210" s="47"/>
      <c r="H210" s="48"/>
      <c r="I210" s="49"/>
      <c r="J210" s="47"/>
      <c r="K210" s="48"/>
      <c r="L210" s="49"/>
      <c r="M210" s="47"/>
      <c r="N210" s="48"/>
      <c r="O210" s="49"/>
      <c r="P210" s="47"/>
      <c r="Q210" s="48"/>
      <c r="R210" s="49"/>
      <c r="S210" s="47"/>
      <c r="T210" s="48"/>
      <c r="U210" s="49"/>
      <c r="V210" s="47"/>
      <c r="W210" s="48"/>
      <c r="X210" s="49"/>
      <c r="Y210" s="47"/>
      <c r="Z210" s="48"/>
      <c r="AA210" s="49"/>
      <c r="AB210" s="47"/>
      <c r="AC210" s="48"/>
      <c r="AD210" s="49"/>
      <c r="AE210" s="47"/>
      <c r="AF210" s="48"/>
      <c r="AG210" s="49"/>
      <c r="AH210" s="50" t="str">
        <f t="shared" si="5"/>
        <v/>
      </c>
    </row>
    <row r="211" spans="1:34" ht="15.95" customHeight="1">
      <c r="A211" s="46">
        <v>25</v>
      </c>
      <c r="B211" s="63" t="str">
        <f>IF('(1).Classes'!J67="","",'(1).Classes'!J67)</f>
        <v/>
      </c>
      <c r="C211" s="62" t="str">
        <f>IF('(1).Classes'!K67="","",'(1).Classes'!K67)</f>
        <v/>
      </c>
      <c r="D211" s="47"/>
      <c r="E211" s="48"/>
      <c r="F211" s="49"/>
      <c r="G211" s="47"/>
      <c r="H211" s="48"/>
      <c r="I211" s="49"/>
      <c r="J211" s="47"/>
      <c r="K211" s="48"/>
      <c r="L211" s="49"/>
      <c r="M211" s="47"/>
      <c r="N211" s="48"/>
      <c r="O211" s="49"/>
      <c r="P211" s="47"/>
      <c r="Q211" s="48"/>
      <c r="R211" s="49"/>
      <c r="S211" s="47"/>
      <c r="T211" s="48"/>
      <c r="U211" s="49"/>
      <c r="V211" s="47"/>
      <c r="W211" s="48"/>
      <c r="X211" s="49"/>
      <c r="Y211" s="47"/>
      <c r="Z211" s="48"/>
      <c r="AA211" s="49"/>
      <c r="AB211" s="47"/>
      <c r="AC211" s="48"/>
      <c r="AD211" s="49"/>
      <c r="AE211" s="47"/>
      <c r="AF211" s="48"/>
      <c r="AG211" s="49"/>
      <c r="AH211" s="50" t="str">
        <f t="shared" si="5"/>
        <v/>
      </c>
    </row>
    <row r="212" spans="1:34" ht="15.95" customHeight="1">
      <c r="A212" s="46">
        <v>26</v>
      </c>
      <c r="B212" s="63" t="str">
        <f>IF('(1).Classes'!J68="","",'(1).Classes'!J68)</f>
        <v/>
      </c>
      <c r="C212" s="62" t="str">
        <f>IF('(1).Classes'!K68="","",'(1).Classes'!K68)</f>
        <v/>
      </c>
      <c r="D212" s="47"/>
      <c r="E212" s="48"/>
      <c r="F212" s="49"/>
      <c r="G212" s="47"/>
      <c r="H212" s="48"/>
      <c r="I212" s="49"/>
      <c r="J212" s="47"/>
      <c r="K212" s="48"/>
      <c r="L212" s="49"/>
      <c r="M212" s="47"/>
      <c r="N212" s="48"/>
      <c r="O212" s="49"/>
      <c r="P212" s="47"/>
      <c r="Q212" s="48"/>
      <c r="R212" s="49"/>
      <c r="S212" s="47"/>
      <c r="T212" s="48"/>
      <c r="U212" s="49"/>
      <c r="V212" s="47"/>
      <c r="W212" s="48"/>
      <c r="X212" s="49"/>
      <c r="Y212" s="47"/>
      <c r="Z212" s="48"/>
      <c r="AA212" s="49"/>
      <c r="AB212" s="47"/>
      <c r="AC212" s="48"/>
      <c r="AD212" s="49"/>
      <c r="AE212" s="47"/>
      <c r="AF212" s="48"/>
      <c r="AG212" s="49"/>
      <c r="AH212" s="50" t="str">
        <f t="shared" si="5"/>
        <v/>
      </c>
    </row>
    <row r="213" spans="1:34" ht="15.95" customHeight="1">
      <c r="A213" s="46">
        <v>27</v>
      </c>
      <c r="B213" s="63" t="str">
        <f>IF('(1).Classes'!J69="","",'(1).Classes'!J69)</f>
        <v/>
      </c>
      <c r="C213" s="62" t="str">
        <f>IF('(1).Classes'!K69="","",'(1).Classes'!K69)</f>
        <v/>
      </c>
      <c r="D213" s="47"/>
      <c r="E213" s="48"/>
      <c r="F213" s="49"/>
      <c r="G213" s="47"/>
      <c r="H213" s="48"/>
      <c r="I213" s="49"/>
      <c r="J213" s="47"/>
      <c r="K213" s="48"/>
      <c r="L213" s="49"/>
      <c r="M213" s="47"/>
      <c r="N213" s="48"/>
      <c r="O213" s="49"/>
      <c r="P213" s="47"/>
      <c r="Q213" s="48"/>
      <c r="R213" s="49"/>
      <c r="S213" s="47"/>
      <c r="T213" s="48"/>
      <c r="U213" s="49"/>
      <c r="V213" s="47"/>
      <c r="W213" s="48"/>
      <c r="X213" s="49"/>
      <c r="Y213" s="47"/>
      <c r="Z213" s="48"/>
      <c r="AA213" s="49"/>
      <c r="AB213" s="47"/>
      <c r="AC213" s="48"/>
      <c r="AD213" s="49"/>
      <c r="AE213" s="47"/>
      <c r="AF213" s="48"/>
      <c r="AG213" s="49"/>
      <c r="AH213" s="50" t="str">
        <f t="shared" si="5"/>
        <v/>
      </c>
    </row>
    <row r="214" spans="1:34" ht="15.95" customHeight="1">
      <c r="A214" s="46">
        <v>28</v>
      </c>
      <c r="B214" s="63" t="str">
        <f>IF('(1).Classes'!J70="","",'(1).Classes'!J70)</f>
        <v/>
      </c>
      <c r="C214" s="62" t="str">
        <f>IF('(1).Classes'!K70="","",'(1).Classes'!K70)</f>
        <v/>
      </c>
      <c r="D214" s="47"/>
      <c r="E214" s="48"/>
      <c r="F214" s="49"/>
      <c r="G214" s="47"/>
      <c r="H214" s="48"/>
      <c r="I214" s="49"/>
      <c r="J214" s="47"/>
      <c r="K214" s="48"/>
      <c r="L214" s="49"/>
      <c r="M214" s="47"/>
      <c r="N214" s="48"/>
      <c r="O214" s="49"/>
      <c r="P214" s="47"/>
      <c r="Q214" s="48"/>
      <c r="R214" s="49"/>
      <c r="S214" s="47"/>
      <c r="T214" s="48"/>
      <c r="U214" s="49"/>
      <c r="V214" s="47"/>
      <c r="W214" s="48"/>
      <c r="X214" s="49"/>
      <c r="Y214" s="47"/>
      <c r="Z214" s="48"/>
      <c r="AA214" s="49"/>
      <c r="AB214" s="47"/>
      <c r="AC214" s="48"/>
      <c r="AD214" s="49"/>
      <c r="AE214" s="47"/>
      <c r="AF214" s="48"/>
      <c r="AG214" s="49"/>
      <c r="AH214" s="50" t="str">
        <f t="shared" si="5"/>
        <v/>
      </c>
    </row>
    <row r="215" spans="1:34" ht="15.95" customHeight="1">
      <c r="A215" s="46">
        <v>29</v>
      </c>
      <c r="B215" s="63" t="str">
        <f>IF('(1).Classes'!J71="","",'(1).Classes'!J71)</f>
        <v/>
      </c>
      <c r="C215" s="62" t="str">
        <f>IF('(1).Classes'!K71="","",'(1).Classes'!K71)</f>
        <v/>
      </c>
      <c r="D215" s="47"/>
      <c r="E215" s="48"/>
      <c r="F215" s="49"/>
      <c r="G215" s="47"/>
      <c r="H215" s="48"/>
      <c r="I215" s="49"/>
      <c r="J215" s="47"/>
      <c r="K215" s="48"/>
      <c r="L215" s="49"/>
      <c r="M215" s="47"/>
      <c r="N215" s="48"/>
      <c r="O215" s="49"/>
      <c r="P215" s="47"/>
      <c r="Q215" s="48"/>
      <c r="R215" s="49"/>
      <c r="S215" s="47"/>
      <c r="T215" s="48"/>
      <c r="U215" s="49"/>
      <c r="V215" s="47"/>
      <c r="W215" s="48"/>
      <c r="X215" s="49"/>
      <c r="Y215" s="47"/>
      <c r="Z215" s="48"/>
      <c r="AA215" s="49"/>
      <c r="AB215" s="47"/>
      <c r="AC215" s="48"/>
      <c r="AD215" s="49"/>
      <c r="AE215" s="47"/>
      <c r="AF215" s="48"/>
      <c r="AG215" s="49"/>
      <c r="AH215" s="50" t="str">
        <f t="shared" si="5"/>
        <v/>
      </c>
    </row>
    <row r="216" spans="1:34" ht="15.95" customHeight="1">
      <c r="A216" s="46">
        <v>30</v>
      </c>
      <c r="B216" s="63" t="str">
        <f>IF('(1).Classes'!J72="","",'(1).Classes'!J72)</f>
        <v/>
      </c>
      <c r="C216" s="62" t="str">
        <f>IF('(1).Classes'!K72="","",'(1).Classes'!K72)</f>
        <v/>
      </c>
      <c r="D216" s="47"/>
      <c r="E216" s="48"/>
      <c r="F216" s="49"/>
      <c r="G216" s="47"/>
      <c r="H216" s="48"/>
      <c r="I216" s="49"/>
      <c r="J216" s="47"/>
      <c r="K216" s="48"/>
      <c r="L216" s="49"/>
      <c r="M216" s="47"/>
      <c r="N216" s="48"/>
      <c r="O216" s="49"/>
      <c r="P216" s="47"/>
      <c r="Q216" s="48"/>
      <c r="R216" s="49"/>
      <c r="S216" s="47"/>
      <c r="T216" s="48"/>
      <c r="U216" s="49"/>
      <c r="V216" s="47"/>
      <c r="W216" s="48"/>
      <c r="X216" s="49"/>
      <c r="Y216" s="47"/>
      <c r="Z216" s="48"/>
      <c r="AA216" s="49"/>
      <c r="AB216" s="47"/>
      <c r="AC216" s="48"/>
      <c r="AD216" s="49"/>
      <c r="AE216" s="47"/>
      <c r="AF216" s="48"/>
      <c r="AG216" s="49"/>
      <c r="AH216" s="50" t="str">
        <f t="shared" si="5"/>
        <v/>
      </c>
    </row>
  </sheetData>
  <mergeCells count="132">
    <mergeCell ref="AE114:AG114"/>
    <mergeCell ref="J77:L77"/>
    <mergeCell ref="M77:O77"/>
    <mergeCell ref="AB186:AD186"/>
    <mergeCell ref="AB185:AD185"/>
    <mergeCell ref="AE185:AG185"/>
    <mergeCell ref="D73:AH74"/>
    <mergeCell ref="D75:AH76"/>
    <mergeCell ref="D109:AH110"/>
    <mergeCell ref="D111:AH112"/>
    <mergeCell ref="D145:AH146"/>
    <mergeCell ref="D147:AH148"/>
    <mergeCell ref="D181:AH182"/>
    <mergeCell ref="D183:AH184"/>
    <mergeCell ref="G149:I149"/>
    <mergeCell ref="Y114:AA114"/>
    <mergeCell ref="AB114:AD114"/>
    <mergeCell ref="D113:F113"/>
    <mergeCell ref="G113:I113"/>
    <mergeCell ref="J113:L113"/>
    <mergeCell ref="M113:O113"/>
    <mergeCell ref="P113:R113"/>
    <mergeCell ref="S113:U113"/>
    <mergeCell ref="V113:X113"/>
    <mergeCell ref="Y113:AA113"/>
    <mergeCell ref="AB113:AD113"/>
    <mergeCell ref="AE113:AG113"/>
    <mergeCell ref="J42:L42"/>
    <mergeCell ref="M42:O42"/>
    <mergeCell ref="P42:R42"/>
    <mergeCell ref="S42:U42"/>
    <mergeCell ref="V42:X42"/>
    <mergeCell ref="Y42:AA42"/>
    <mergeCell ref="AB42:AD42"/>
    <mergeCell ref="P77:R77"/>
    <mergeCell ref="S77:U77"/>
    <mergeCell ref="V77:X77"/>
    <mergeCell ref="Y77:AA77"/>
    <mergeCell ref="AB77:AD77"/>
    <mergeCell ref="AE77:AG77"/>
    <mergeCell ref="AE78:AG78"/>
    <mergeCell ref="J6:L6"/>
    <mergeCell ref="M6:O6"/>
    <mergeCell ref="P6:R6"/>
    <mergeCell ref="S6:U6"/>
    <mergeCell ref="V6:X6"/>
    <mergeCell ref="Y6:AA6"/>
    <mergeCell ref="AB6:AD6"/>
    <mergeCell ref="AE186:AG186"/>
    <mergeCell ref="D185:F185"/>
    <mergeCell ref="G185:I185"/>
    <mergeCell ref="J185:L185"/>
    <mergeCell ref="M185:O185"/>
    <mergeCell ref="P185:R185"/>
    <mergeCell ref="S185:U185"/>
    <mergeCell ref="V185:X185"/>
    <mergeCell ref="Y185:AA185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V114:X114"/>
    <mergeCell ref="D114:F114"/>
    <mergeCell ref="G114:I114"/>
    <mergeCell ref="J114:L114"/>
    <mergeCell ref="M114:O114"/>
    <mergeCell ref="P114:R114"/>
    <mergeCell ref="S114:U114"/>
    <mergeCell ref="AE6:AG6"/>
    <mergeCell ref="AB41:AD41"/>
    <mergeCell ref="D6:F6"/>
    <mergeCell ref="AE41:AG41"/>
    <mergeCell ref="D37:AH38"/>
    <mergeCell ref="D39:AH40"/>
    <mergeCell ref="AE42:AG42"/>
    <mergeCell ref="D41:F41"/>
    <mergeCell ref="G41:I41"/>
    <mergeCell ref="J41:L41"/>
    <mergeCell ref="M41:O41"/>
    <mergeCell ref="P41:R41"/>
    <mergeCell ref="S41:U41"/>
    <mergeCell ref="V41:X41"/>
    <mergeCell ref="Y41:AA41"/>
    <mergeCell ref="D42:F42"/>
    <mergeCell ref="G42:I42"/>
    <mergeCell ref="D1:AH2"/>
    <mergeCell ref="D3:AH4"/>
    <mergeCell ref="D77:F77"/>
    <mergeCell ref="G77:I77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D5:F5"/>
    <mergeCell ref="G5:I5"/>
    <mergeCell ref="J5:L5"/>
    <mergeCell ref="M5:O5"/>
    <mergeCell ref="Y5:AA5"/>
    <mergeCell ref="AB5:AD5"/>
    <mergeCell ref="AE5:AG5"/>
    <mergeCell ref="P5:R5"/>
    <mergeCell ref="S5:U5"/>
    <mergeCell ref="V5:X5"/>
    <mergeCell ref="G6:I6"/>
    <mergeCell ref="AE149:AG149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D149:F149"/>
    <mergeCell ref="J149:L149"/>
    <mergeCell ref="M149:O149"/>
    <mergeCell ref="P149:R149"/>
    <mergeCell ref="S149:U149"/>
    <mergeCell ref="V149:X149"/>
    <mergeCell ref="Y149:AA149"/>
    <mergeCell ref="AB149:AD149"/>
  </mergeCells>
  <phoneticPr fontId="6" type="noConversion"/>
  <conditionalFormatting sqref="A7:AH36">
    <cfRule type="expression" dxfId="347" priority="102">
      <formula>$AH7="Change"</formula>
    </cfRule>
    <cfRule type="expression" dxfId="346" priority="103">
      <formula>$AH7="Stop"</formula>
    </cfRule>
    <cfRule type="expression" dxfId="345" priority="104">
      <formula>$AH7="Incomplete"</formula>
    </cfRule>
  </conditionalFormatting>
  <conditionalFormatting sqref="A43:AH72">
    <cfRule type="expression" dxfId="344" priority="22">
      <formula>$AH43="Change"</formula>
    </cfRule>
    <cfRule type="expression" dxfId="343" priority="23">
      <formula>$AH43="Stop"</formula>
    </cfRule>
    <cfRule type="expression" dxfId="342" priority="24">
      <formula>$AH43="Incomplete"</formula>
    </cfRule>
  </conditionalFormatting>
  <conditionalFormatting sqref="A79:AH108">
    <cfRule type="expression" dxfId="341" priority="17">
      <formula>$AH79="Change"</formula>
    </cfRule>
    <cfRule type="expression" dxfId="340" priority="18">
      <formula>$AH79="Stop"</formula>
    </cfRule>
    <cfRule type="expression" dxfId="339" priority="19">
      <formula>$AH79="Incomplete"</formula>
    </cfRule>
  </conditionalFormatting>
  <conditionalFormatting sqref="A115:AH144">
    <cfRule type="expression" dxfId="338" priority="12">
      <formula>$AH115="Change"</formula>
    </cfRule>
    <cfRule type="expression" dxfId="337" priority="13">
      <formula>$AH115="Stop"</formula>
    </cfRule>
    <cfRule type="expression" dxfId="336" priority="14">
      <formula>$AH115="Incomplete"</formula>
    </cfRule>
  </conditionalFormatting>
  <conditionalFormatting sqref="A151:AH180">
    <cfRule type="expression" dxfId="335" priority="7">
      <formula>$AH151="Change"</formula>
    </cfRule>
    <cfRule type="expression" dxfId="334" priority="8">
      <formula>$AH151="Stop"</formula>
    </cfRule>
    <cfRule type="expression" dxfId="333" priority="9">
      <formula>$AH151="Incomplete"</formula>
    </cfRule>
  </conditionalFormatting>
  <conditionalFormatting sqref="A187:AH216">
    <cfRule type="expression" dxfId="332" priority="2">
      <formula>$AH187="Change"</formula>
    </cfRule>
    <cfRule type="expression" dxfId="331" priority="3">
      <formula>$AH187="Stop"</formula>
    </cfRule>
    <cfRule type="expression" dxfId="330" priority="4">
      <formula>$AH187="Incomplete"</formula>
    </cfRule>
  </conditionalFormatting>
  <conditionalFormatting sqref="D7:AG36">
    <cfRule type="cellIs" dxfId="329" priority="101" operator="equal">
      <formula>0</formula>
    </cfRule>
  </conditionalFormatting>
  <conditionalFormatting sqref="D43:AG72">
    <cfRule type="cellIs" dxfId="328" priority="21" operator="equal">
      <formula>0</formula>
    </cfRule>
  </conditionalFormatting>
  <conditionalFormatting sqref="D79:AG108">
    <cfRule type="cellIs" dxfId="327" priority="16" operator="equal">
      <formula>0</formula>
    </cfRule>
  </conditionalFormatting>
  <conditionalFormatting sqref="D115:AG144">
    <cfRule type="cellIs" dxfId="326" priority="11" operator="equal">
      <formula>0</formula>
    </cfRule>
  </conditionalFormatting>
  <conditionalFormatting sqref="D151:AG180">
    <cfRule type="cellIs" dxfId="325" priority="6" operator="equal">
      <formula>0</formula>
    </cfRule>
  </conditionalFormatting>
  <conditionalFormatting sqref="D187:AG216">
    <cfRule type="cellIs" dxfId="324" priority="1" operator="equal">
      <formula>0</formula>
    </cfRule>
  </conditionalFormatting>
  <conditionalFormatting sqref="AH7:AH36">
    <cfRule type="containsText" dxfId="323" priority="105" operator="containsText" text="Incomplete">
      <formula>NOT(ISERROR(SEARCH("Incomplete",AH7)))</formula>
    </cfRule>
  </conditionalFormatting>
  <conditionalFormatting sqref="AH43:AH72">
    <cfRule type="containsText" dxfId="322" priority="25" operator="containsText" text="Incomplete">
      <formula>NOT(ISERROR(SEARCH("Incomplete",AH43)))</formula>
    </cfRule>
  </conditionalFormatting>
  <conditionalFormatting sqref="AH79:AH108">
    <cfRule type="containsText" dxfId="321" priority="20" operator="containsText" text="Incomplete">
      <formula>NOT(ISERROR(SEARCH("Incomplete",AH79)))</formula>
    </cfRule>
  </conditionalFormatting>
  <conditionalFormatting sqref="AH115:AH144">
    <cfRule type="containsText" dxfId="320" priority="15" operator="containsText" text="Incomplete">
      <formula>NOT(ISERROR(SEARCH("Incomplete",AH115)))</formula>
    </cfRule>
  </conditionalFormatting>
  <conditionalFormatting sqref="AH151:AH180">
    <cfRule type="containsText" dxfId="319" priority="10" operator="containsText" text="Incomplete">
      <formula>NOT(ISERROR(SEARCH("Incomplete",AH151)))</formula>
    </cfRule>
  </conditionalFormatting>
  <conditionalFormatting sqref="AH187:AH216">
    <cfRule type="containsText" dxfId="318" priority="5" operator="containsText" text="Incomplete">
      <formula>NOT(ISERROR(SEARCH("Incomplete",AH187)))</formula>
    </cfRule>
  </conditionalFormatting>
  <dataValidations count="1">
    <dataValidation type="decimal" allowBlank="1" showErrorMessage="1" errorTitle="Impossible!" error="Cancel it and then type the correct score." sqref="D7:AG36 D151:AG180 D43:AG72 D79:AG108 D115:AG144 D187:AG216" xr:uid="{9EBCA2DC-7D76-46A0-BC3B-EBA8A7E1F6B7}">
      <formula1>0</formula1>
      <formula2>10</formula2>
    </dataValidation>
  </dataValidations>
  <printOptions horizontalCentered="1" verticalCentered="1"/>
  <pageMargins left="0" right="0" top="0.25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A47C-3D1B-470E-9286-7C99104A6407}">
  <sheetPr>
    <tabColor rgb="FFFFFF00"/>
  </sheetPr>
  <dimension ref="A1:N216"/>
  <sheetViews>
    <sheetView tabSelected="1" workbookViewId="0">
      <selection activeCell="D25" sqref="D25:M25"/>
    </sheetView>
  </sheetViews>
  <sheetFormatPr defaultColWidth="10.28515625" defaultRowHeight="15.95" customHeight="1"/>
  <cols>
    <col min="1" max="1" width="5.7109375" style="5" customWidth="1"/>
    <col min="2" max="2" width="18.7109375" style="5" customWidth="1"/>
    <col min="3" max="3" width="4.7109375" style="5" customWidth="1"/>
    <col min="4" max="13" width="10.28515625" style="116"/>
    <col min="14" max="14" width="10.28515625" style="42"/>
    <col min="15" max="16384" width="10.28515625" style="5"/>
  </cols>
  <sheetData>
    <row r="1" spans="1:14" ht="15.95" customHeight="1">
      <c r="A1" s="18" t="s">
        <v>0</v>
      </c>
      <c r="B1" s="19" t="str">
        <f>'(2).Midterm Daily'!B1</f>
        <v>C2</v>
      </c>
      <c r="C1" s="60"/>
      <c r="D1" s="222" t="s">
        <v>118</v>
      </c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2" spans="1:14" ht="15.95" customHeight="1">
      <c r="A2" s="18" t="s">
        <v>1</v>
      </c>
      <c r="B2" s="19" t="str">
        <f>'(2).Midterm Daily'!B2</f>
        <v>K1B</v>
      </c>
      <c r="C2" s="60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14" ht="15.95" customHeight="1">
      <c r="A3" s="18" t="s">
        <v>2</v>
      </c>
      <c r="B3" s="19" t="str">
        <f>'(2).Midterm Daily'!B3</f>
        <v>3:00-5:30</v>
      </c>
      <c r="C3" s="60"/>
      <c r="D3" s="223" t="str">
        <f>'(2).Midterm Daily'!D3</f>
        <v>FEBRUARY - JULY 2026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</row>
    <row r="4" spans="1:14" ht="15.95" customHeight="1">
      <c r="A4" s="18" t="s">
        <v>3</v>
      </c>
      <c r="B4" s="19">
        <f>'(2).Midterm Daily'!B4</f>
        <v>5</v>
      </c>
      <c r="C4" s="60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</row>
    <row r="5" spans="1:14" ht="15.95" customHeight="1">
      <c r="A5" s="18" t="s">
        <v>4</v>
      </c>
      <c r="B5" s="19" t="str">
        <f>'(2).Midterm Daily'!B5</f>
        <v>Hong Leeheng</v>
      </c>
      <c r="C5" s="61"/>
      <c r="D5" s="112" t="str">
        <f>IF(OR($B2="K5",$B2="K6",$B2="K7",$B2="K8",$B2="K9",$B2="K10"),"Listening","Up-Low C")</f>
        <v>Up-Low C</v>
      </c>
      <c r="E5" s="112" t="str">
        <f>IF(OR($B2="K5",$B2="K6",$B2="K7",$B2="K8",$B2="K9",$B2="K10"),"Speaking","Alphabet N")</f>
        <v>Alphabet N</v>
      </c>
      <c r="F5" s="112" t="str">
        <f>IF(OR($B2="K5",$B2="K6",$B2="K7",$B2="K8",$B2="K9",$B2="K10"),"Reading","Alphabet S")</f>
        <v>Alphabet S</v>
      </c>
      <c r="G5" s="112" t="str">
        <f>IF(OR($B2="K5",$B2="K6",$B2="K7",$B2="K8",$B2="K9",$B2="K10"),"Writing","Vocabulary")</f>
        <v>Vocabulary</v>
      </c>
      <c r="H5" s="112" t="str">
        <f>IF(OR($B2="K5",$B2="K6",$B2="K7",$B2="K8",$B2="K9",$B2="K10"),"Grammar","Sprouts")</f>
        <v>Sprouts</v>
      </c>
      <c r="I5" s="112" t="str">
        <f>IF(OR($B2="K5",$B2="K6",$B2="K7",$B2="K8",$B2="K9",$B2="K10"),"Vocabulary","Phonics")</f>
        <v>Phonics</v>
      </c>
      <c r="J5" s="112" t="str">
        <f>IF(OR($B2="K5",$B2="K6",$B2="K7",$B2="K8",$B2="K9",$B2="K10"),"Roots","Math")</f>
        <v>Math</v>
      </c>
      <c r="K5" s="112" t="str">
        <f>IF(OR($B2="K5",$B2="K6",$B2="K7",$B2="K8",$B2="K9",$B2="K10"),"Phonics","Shape")</f>
        <v>Shape</v>
      </c>
      <c r="L5" s="112" t="str">
        <f>IF(OR($B2="K5",$B2="K6",$B2="K7",$B2="K8",$B2="K9",$B2="K10"),"Math","Science")</f>
        <v>Science</v>
      </c>
      <c r="M5" s="112" t="str">
        <f>IF(OR($B2="K5",$B2="K6",$B2="K7",$B2="K8",$B2="K9",$B2="K10"),"Science","Tracing")</f>
        <v>Tracing</v>
      </c>
      <c r="N5" s="90" t="s">
        <v>12</v>
      </c>
    </row>
    <row r="6" spans="1:14" ht="15.95" customHeight="1" thickBot="1">
      <c r="A6" s="80" t="s">
        <v>5</v>
      </c>
      <c r="B6" s="74" t="s">
        <v>6</v>
      </c>
      <c r="C6" s="81" t="s">
        <v>7</v>
      </c>
      <c r="D6" s="113" t="s">
        <v>9</v>
      </c>
      <c r="E6" s="113" t="s">
        <v>9</v>
      </c>
      <c r="F6" s="113" t="s">
        <v>9</v>
      </c>
      <c r="G6" s="113" t="s">
        <v>9</v>
      </c>
      <c r="H6" s="113" t="s">
        <v>9</v>
      </c>
      <c r="I6" s="113" t="s">
        <v>9</v>
      </c>
      <c r="J6" s="113" t="s">
        <v>9</v>
      </c>
      <c r="K6" s="113" t="s">
        <v>9</v>
      </c>
      <c r="L6" s="113" t="s">
        <v>9</v>
      </c>
      <c r="M6" s="113" t="s">
        <v>9</v>
      </c>
      <c r="N6" s="77" t="s">
        <v>13</v>
      </c>
    </row>
    <row r="7" spans="1:14" s="12" customFormat="1" ht="15.95" customHeight="1">
      <c r="A7" s="78">
        <v>1</v>
      </c>
      <c r="B7" s="68" t="str">
        <f>IF('(2).Midterm Daily'!B7="","",'(2).Midterm Daily'!B7)</f>
        <v>Chhim Chansithika</v>
      </c>
      <c r="C7" s="79" t="str">
        <f>IF('(2).Midterm Daily'!C7="","",'(2).Midterm Daily'!C7)</f>
        <v>F</v>
      </c>
      <c r="D7" s="114">
        <v>9</v>
      </c>
      <c r="E7" s="114">
        <v>8.5</v>
      </c>
      <c r="F7" s="114">
        <v>10</v>
      </c>
      <c r="G7" s="114">
        <v>5.5</v>
      </c>
      <c r="H7" s="114">
        <v>7.5</v>
      </c>
      <c r="I7" s="114">
        <v>9</v>
      </c>
      <c r="J7" s="114">
        <v>10</v>
      </c>
      <c r="K7" s="114">
        <v>10</v>
      </c>
      <c r="L7" s="114">
        <v>10</v>
      </c>
      <c r="M7" s="114">
        <v>8</v>
      </c>
      <c r="N7" s="89" t="str">
        <f>IF('(2).Midterm Daily'!AH7="Change","Change",IF('(2).Midterm Daily'!AH7="Stop","Stop",IF(B7="","",IF(COUNTA(D7:M7)&lt;10,"Incomplete",""))))</f>
        <v/>
      </c>
    </row>
    <row r="8" spans="1:14" ht="15.95" customHeight="1">
      <c r="A8" s="66">
        <v>2</v>
      </c>
      <c r="B8" s="63" t="str">
        <f>IF('(2).Midterm Daily'!B8="","",'(2).Midterm Daily'!B8)</f>
        <v>Chhout Senghour</v>
      </c>
      <c r="C8" s="67" t="str">
        <f>IF('(2).Midterm Daily'!C8="","",'(2).Midterm Daily'!C8)</f>
        <v>M</v>
      </c>
      <c r="D8" s="115">
        <v>6.5</v>
      </c>
      <c r="E8" s="115">
        <v>6.75</v>
      </c>
      <c r="F8" s="115">
        <v>3</v>
      </c>
      <c r="G8" s="115">
        <v>5</v>
      </c>
      <c r="H8" s="115">
        <v>2</v>
      </c>
      <c r="I8" s="115">
        <v>6</v>
      </c>
      <c r="J8" s="115">
        <v>10</v>
      </c>
      <c r="K8" s="115">
        <v>7</v>
      </c>
      <c r="L8" s="115">
        <v>6</v>
      </c>
      <c r="M8" s="115">
        <v>8</v>
      </c>
      <c r="N8" s="50" t="str">
        <f>IF('(2).Midterm Daily'!AH8="Change","Change",IF('(2).Midterm Daily'!AH8="Stop","Stop",IF(B8="","",IF(COUNTA(D8:M8)&lt;10,"Incomplete",""))))</f>
        <v/>
      </c>
    </row>
    <row r="9" spans="1:14" ht="15.95" customHeight="1">
      <c r="A9" s="66">
        <v>3</v>
      </c>
      <c r="B9" s="63" t="str">
        <f>IF('(2).Midterm Daily'!B9="","",'(2).Midterm Daily'!B9)</f>
        <v>Det Phouri</v>
      </c>
      <c r="C9" s="67" t="str">
        <f>IF('(2).Midterm Daily'!C9="","",'(2).Midterm Daily'!C9)</f>
        <v>M</v>
      </c>
      <c r="D9" s="115">
        <v>9</v>
      </c>
      <c r="E9" s="115">
        <v>9</v>
      </c>
      <c r="F9" s="115">
        <v>8.25</v>
      </c>
      <c r="G9" s="115">
        <v>8</v>
      </c>
      <c r="H9" s="115">
        <v>7.25</v>
      </c>
      <c r="I9" s="115">
        <v>9</v>
      </c>
      <c r="J9" s="115">
        <v>10</v>
      </c>
      <c r="K9" s="115">
        <v>8</v>
      </c>
      <c r="L9" s="115">
        <v>10</v>
      </c>
      <c r="M9" s="115">
        <v>8.5</v>
      </c>
      <c r="N9" s="50" t="str">
        <f>IF('(2).Midterm Daily'!AH9="Change","Change",IF('(2).Midterm Daily'!AH9="Stop","Stop",IF(B9="","",IF(COUNTA(D9:M9)&lt;10,"Incomplete",""))))</f>
        <v/>
      </c>
    </row>
    <row r="10" spans="1:14" ht="15.95" customHeight="1">
      <c r="A10" s="66">
        <v>4</v>
      </c>
      <c r="B10" s="63" t="str">
        <f>IF('(2).Midterm Daily'!B10="","",'(2).Midterm Daily'!B10)</f>
        <v>Dy Chanto</v>
      </c>
      <c r="C10" s="67" t="str">
        <f>IF('(2).Midterm Daily'!C10="","",'(2).Midterm Daily'!C10)</f>
        <v>M</v>
      </c>
      <c r="D10" s="115">
        <v>6.5</v>
      </c>
      <c r="E10" s="115">
        <v>4</v>
      </c>
      <c r="F10" s="115">
        <v>0.5</v>
      </c>
      <c r="G10" s="115">
        <v>5.5</v>
      </c>
      <c r="H10" s="115">
        <v>3</v>
      </c>
      <c r="I10" s="115">
        <v>2</v>
      </c>
      <c r="J10" s="115">
        <v>10</v>
      </c>
      <c r="K10" s="115">
        <v>9</v>
      </c>
      <c r="L10" s="115">
        <v>6.5</v>
      </c>
      <c r="M10" s="115">
        <v>8</v>
      </c>
      <c r="N10" s="50" t="str">
        <f>IF('(2).Midterm Daily'!AH10="Change","Change",IF('(2).Midterm Daily'!AH10="Stop","Stop",IF(B10="","",IF(COUNTA(D10:M10)&lt;10,"Incomplete",""))))</f>
        <v/>
      </c>
    </row>
    <row r="11" spans="1:14" ht="15.95" customHeight="1">
      <c r="A11" s="66">
        <v>5</v>
      </c>
      <c r="B11" s="63" t="str">
        <f>IF('(2).Midterm Daily'!B11="","",'(2).Midterm Daily'!B11)</f>
        <v>Dy Meyly</v>
      </c>
      <c r="C11" s="67" t="str">
        <f>IF('(2).Midterm Daily'!C11="","",'(2).Midterm Daily'!C11)</f>
        <v>F</v>
      </c>
      <c r="D11" s="115">
        <v>10</v>
      </c>
      <c r="E11" s="115">
        <v>10</v>
      </c>
      <c r="F11" s="115">
        <v>10</v>
      </c>
      <c r="G11" s="115">
        <v>10</v>
      </c>
      <c r="H11" s="115">
        <v>10</v>
      </c>
      <c r="I11" s="115">
        <v>10</v>
      </c>
      <c r="J11" s="115">
        <v>10</v>
      </c>
      <c r="K11" s="115">
        <v>10</v>
      </c>
      <c r="L11" s="115">
        <v>10</v>
      </c>
      <c r="M11" s="115">
        <v>10</v>
      </c>
      <c r="N11" s="50" t="str">
        <f>IF('(2).Midterm Daily'!AH11="Change","Change",IF('(2).Midterm Daily'!AH11="Stop","Stop",IF(B11="","",IF(COUNTA(D11:M11)&lt;10,"Incomplete",""))))</f>
        <v/>
      </c>
    </row>
    <row r="12" spans="1:14" ht="15.95" customHeight="1">
      <c r="A12" s="66">
        <v>6</v>
      </c>
      <c r="B12" s="63" t="str">
        <f>IF('(2).Midterm Daily'!B12="","",'(2).Midterm Daily'!B12)</f>
        <v>Heang Limhak</v>
      </c>
      <c r="C12" s="67" t="str">
        <f>IF('(2).Midterm Daily'!C12="","",'(2).Midterm Daily'!C12)</f>
        <v>M</v>
      </c>
      <c r="D12" s="115">
        <v>9.75</v>
      </c>
      <c r="E12" s="115">
        <v>8.75</v>
      </c>
      <c r="F12" s="115">
        <v>9.5</v>
      </c>
      <c r="G12" s="115">
        <v>8</v>
      </c>
      <c r="H12" s="115">
        <v>5</v>
      </c>
      <c r="I12" s="115">
        <v>10</v>
      </c>
      <c r="J12" s="115">
        <v>7</v>
      </c>
      <c r="K12" s="115">
        <v>7</v>
      </c>
      <c r="L12" s="115">
        <v>9</v>
      </c>
      <c r="M12" s="115">
        <v>9.5</v>
      </c>
      <c r="N12" s="50" t="str">
        <f>IF('(2).Midterm Daily'!AH12="Change","Change",IF('(2).Midterm Daily'!AH12="Stop","Stop",IF(B12="","",IF(COUNTA(D12:M12)&lt;10,"Incomplete",""))))</f>
        <v/>
      </c>
    </row>
    <row r="13" spans="1:14" ht="15.95" customHeight="1">
      <c r="A13" s="66">
        <v>7</v>
      </c>
      <c r="B13" s="63" t="str">
        <f>IF('(2).Midterm Daily'!B13="","",'(2).Midterm Daily'!B13)</f>
        <v>Keo Tepsatsjak</v>
      </c>
      <c r="C13" s="67" t="str">
        <f>IF('(2).Midterm Daily'!C13="","",'(2).Midterm Daily'!C13)</f>
        <v>M</v>
      </c>
      <c r="D13" s="115">
        <v>9</v>
      </c>
      <c r="E13" s="115">
        <v>8.5</v>
      </c>
      <c r="F13" s="115">
        <v>10</v>
      </c>
      <c r="G13" s="115">
        <v>9.5</v>
      </c>
      <c r="H13" s="115">
        <v>9</v>
      </c>
      <c r="I13" s="115">
        <v>10</v>
      </c>
      <c r="J13" s="115">
        <v>10</v>
      </c>
      <c r="K13" s="115">
        <v>10</v>
      </c>
      <c r="L13" s="115">
        <v>10</v>
      </c>
      <c r="M13" s="115">
        <v>9.75</v>
      </c>
      <c r="N13" s="50" t="str">
        <f>IF('(2).Midterm Daily'!AH13="Change","Change",IF('(2).Midterm Daily'!AH13="Stop","Stop",IF(B13="","",IF(COUNTA(D13:M13)&lt;10,"Incomplete",""))))</f>
        <v/>
      </c>
    </row>
    <row r="14" spans="1:14" ht="15.95" customHeight="1">
      <c r="A14" s="66">
        <v>8</v>
      </c>
      <c r="B14" s="63" t="str">
        <f>IF('(2).Midterm Daily'!B14="","",'(2).Midterm Daily'!B14)</f>
        <v>Kong Yonghae</v>
      </c>
      <c r="C14" s="67" t="str">
        <f>IF('(2).Midterm Daily'!C14="","",'(2).Midterm Daily'!C14)</f>
        <v>M</v>
      </c>
      <c r="D14" s="115">
        <v>10</v>
      </c>
      <c r="E14" s="115">
        <v>9.25</v>
      </c>
      <c r="F14" s="115">
        <v>9.75</v>
      </c>
      <c r="G14" s="115">
        <v>10</v>
      </c>
      <c r="H14" s="115">
        <v>9</v>
      </c>
      <c r="I14" s="115">
        <v>10</v>
      </c>
      <c r="J14" s="115">
        <v>10</v>
      </c>
      <c r="K14" s="115">
        <v>10</v>
      </c>
      <c r="L14" s="115">
        <v>10</v>
      </c>
      <c r="M14" s="115">
        <v>10</v>
      </c>
      <c r="N14" s="50" t="str">
        <f>IF('(2).Midterm Daily'!AH14="Change","Change",IF('(2).Midterm Daily'!AH14="Stop","Stop",IF(B14="","",IF(COUNTA(D14:M14)&lt;10,"Incomplete",""))))</f>
        <v/>
      </c>
    </row>
    <row r="15" spans="1:14" ht="15.95" customHeight="1">
      <c r="A15" s="66">
        <v>9</v>
      </c>
      <c r="B15" s="63" t="str">
        <f>IF('(2).Midterm Daily'!B15="","",'(2).Midterm Daily'!B15)</f>
        <v>Lim Davymulika</v>
      </c>
      <c r="C15" s="67" t="str">
        <f>IF('(2).Midterm Daily'!C15="","",'(2).Midterm Daily'!C15)</f>
        <v>F</v>
      </c>
      <c r="D15" s="115">
        <v>9.5</v>
      </c>
      <c r="E15" s="115">
        <v>7</v>
      </c>
      <c r="F15" s="115">
        <v>9</v>
      </c>
      <c r="G15" s="115">
        <v>6</v>
      </c>
      <c r="H15" s="115">
        <v>7.75</v>
      </c>
      <c r="I15" s="115">
        <v>7</v>
      </c>
      <c r="J15" s="115">
        <v>10</v>
      </c>
      <c r="K15" s="115">
        <v>7</v>
      </c>
      <c r="L15" s="115">
        <v>10</v>
      </c>
      <c r="M15" s="115">
        <v>9</v>
      </c>
      <c r="N15" s="50" t="str">
        <f>IF('(2).Midterm Daily'!AH15="Change","Change",IF('(2).Midterm Daily'!AH15="Stop","Stop",IF(B15="","",IF(COUNTA(D15:M15)&lt;10,"Incomplete",""))))</f>
        <v/>
      </c>
    </row>
    <row r="16" spans="1:14" ht="15.95" customHeight="1">
      <c r="A16" s="66">
        <v>10</v>
      </c>
      <c r="B16" s="63" t="str">
        <f>IF('(2).Midterm Daily'!B16="","",'(2).Midterm Daily'!B16)</f>
        <v>Lot SamAngvichara</v>
      </c>
      <c r="C16" s="67" t="str">
        <f>IF('(2).Midterm Daily'!C16="","",'(2).Midterm Daily'!C16)</f>
        <v>F</v>
      </c>
      <c r="D16" s="115">
        <v>9</v>
      </c>
      <c r="E16" s="115">
        <v>9.5</v>
      </c>
      <c r="F16" s="115">
        <v>10</v>
      </c>
      <c r="G16" s="115">
        <v>10</v>
      </c>
      <c r="H16" s="115">
        <v>10</v>
      </c>
      <c r="I16" s="115">
        <v>10</v>
      </c>
      <c r="J16" s="115">
        <v>10</v>
      </c>
      <c r="K16" s="115">
        <v>10</v>
      </c>
      <c r="L16" s="115">
        <v>10</v>
      </c>
      <c r="M16" s="115">
        <v>9</v>
      </c>
      <c r="N16" s="50" t="str">
        <f>IF('(2).Midterm Daily'!AH16="Change","Change",IF('(2).Midterm Daily'!AH16="Stop","Stop",IF(B16="","",IF(COUNTA(D16:M16)&lt;10,"Incomplete",""))))</f>
        <v/>
      </c>
    </row>
    <row r="17" spans="1:14" ht="15.95" customHeight="1">
      <c r="A17" s="66">
        <v>11</v>
      </c>
      <c r="B17" s="63" t="str">
        <f>IF('(2).Midterm Daily'!B17="","",'(2).Midterm Daily'!B17)</f>
        <v>Lot Vichheka</v>
      </c>
      <c r="C17" s="67" t="str">
        <f>IF('(2).Midterm Daily'!C17="","",'(2).Midterm Daily'!C17)</f>
        <v>M</v>
      </c>
      <c r="D17" s="115">
        <v>9.5</v>
      </c>
      <c r="E17" s="115">
        <v>10</v>
      </c>
      <c r="F17" s="115">
        <v>10</v>
      </c>
      <c r="G17" s="115">
        <v>10</v>
      </c>
      <c r="H17" s="115">
        <v>10</v>
      </c>
      <c r="I17" s="115">
        <v>10</v>
      </c>
      <c r="J17" s="115">
        <v>10</v>
      </c>
      <c r="K17" s="115">
        <v>10</v>
      </c>
      <c r="L17" s="115">
        <v>10</v>
      </c>
      <c r="M17" s="115">
        <v>9.75</v>
      </c>
      <c r="N17" s="50" t="str">
        <f>IF('(2).Midterm Daily'!AH17="Change","Change",IF('(2).Midterm Daily'!AH17="Stop","Stop",IF(B17="","",IF(COUNTA(D17:M17)&lt;10,"Incomplete",""))))</f>
        <v/>
      </c>
    </row>
    <row r="18" spans="1:14" ht="15.95" customHeight="1">
      <c r="A18" s="66">
        <v>12</v>
      </c>
      <c r="B18" s="63" t="str">
        <f>IF('(2).Midterm Daily'!B18="","",'(2).Midterm Daily'!B18)</f>
        <v>Ly Kanha</v>
      </c>
      <c r="C18" s="67" t="str">
        <f>IF('(2).Midterm Daily'!C18="","",'(2).Midterm Daily'!C18)</f>
        <v>F</v>
      </c>
      <c r="D18" s="115">
        <v>8</v>
      </c>
      <c r="E18" s="115">
        <v>8.5</v>
      </c>
      <c r="F18" s="115">
        <v>10</v>
      </c>
      <c r="G18" s="115">
        <v>9</v>
      </c>
      <c r="H18" s="115">
        <v>9</v>
      </c>
      <c r="I18" s="115">
        <v>9</v>
      </c>
      <c r="J18" s="115">
        <v>10</v>
      </c>
      <c r="K18" s="115">
        <v>10</v>
      </c>
      <c r="L18" s="115">
        <v>8</v>
      </c>
      <c r="M18" s="115">
        <v>10</v>
      </c>
      <c r="N18" s="50" t="str">
        <f>IF('(2).Midterm Daily'!AH18="Change","Change",IF('(2).Midterm Daily'!AH18="Stop","Stop",IF(B18="","",IF(COUNTA(D18:M18)&lt;10,"Incomplete",""))))</f>
        <v/>
      </c>
    </row>
    <row r="19" spans="1:14" ht="15.95" customHeight="1">
      <c r="A19" s="66">
        <v>13</v>
      </c>
      <c r="B19" s="63" t="str">
        <f>IF('(2).Midterm Daily'!B19="","",'(2).Midterm Daily'!B19)</f>
        <v>Ly Sanmoniroth</v>
      </c>
      <c r="C19" s="67" t="str">
        <f>IF('(2).Midterm Daily'!C19="","",'(2).Midterm Daily'!C19)</f>
        <v>F</v>
      </c>
      <c r="D19" s="115">
        <v>8</v>
      </c>
      <c r="E19" s="115">
        <v>7.75</v>
      </c>
      <c r="F19" s="115">
        <v>9.5</v>
      </c>
      <c r="G19" s="115">
        <v>8</v>
      </c>
      <c r="H19" s="115">
        <v>7</v>
      </c>
      <c r="I19" s="115">
        <v>9</v>
      </c>
      <c r="J19" s="115">
        <v>9.5</v>
      </c>
      <c r="K19" s="115">
        <v>6</v>
      </c>
      <c r="L19" s="115">
        <v>9</v>
      </c>
      <c r="M19" s="115">
        <v>9</v>
      </c>
      <c r="N19" s="50" t="str">
        <f>IF('(2).Midterm Daily'!AH19="Change","Change",IF('(2).Midterm Daily'!AH19="Stop","Stop",IF(B19="","",IF(COUNTA(D19:M19)&lt;10,"Incomplete",""))))</f>
        <v/>
      </c>
    </row>
    <row r="20" spans="1:14" ht="15.95" customHeight="1">
      <c r="A20" s="66">
        <v>14</v>
      </c>
      <c r="B20" s="63" t="str">
        <f>IF('(2).Midterm Daily'!B20="","",'(2).Midterm Daily'!B20)</f>
        <v>Noun Thoreakrith</v>
      </c>
      <c r="C20" s="67" t="str">
        <f>IF('(2).Midterm Daily'!C20="","",'(2).Midterm Daily'!C20)</f>
        <v>M</v>
      </c>
      <c r="D20" s="115">
        <v>9</v>
      </c>
      <c r="E20" s="115">
        <v>8</v>
      </c>
      <c r="F20" s="115">
        <v>8.5</v>
      </c>
      <c r="G20" s="115">
        <v>8</v>
      </c>
      <c r="H20" s="115">
        <v>7.5</v>
      </c>
      <c r="I20" s="115">
        <v>10</v>
      </c>
      <c r="J20" s="115">
        <v>10</v>
      </c>
      <c r="K20" s="115">
        <v>10</v>
      </c>
      <c r="L20" s="115">
        <v>10</v>
      </c>
      <c r="M20" s="115">
        <v>9.5</v>
      </c>
      <c r="N20" s="50" t="str">
        <f>IF('(2).Midterm Daily'!AH20="Change","Change",IF('(2).Midterm Daily'!AH20="Stop","Stop",IF(B20="","",IF(COUNTA(D20:M20)&lt;10,"Incomplete",""))))</f>
        <v/>
      </c>
    </row>
    <row r="21" spans="1:14" ht="15.95" customHeight="1">
      <c r="A21" s="66">
        <v>15</v>
      </c>
      <c r="B21" s="63" t="str">
        <f>IF('(2).Midterm Daily'!B21="","",'(2).Midterm Daily'!B21)</f>
        <v>OL Amara</v>
      </c>
      <c r="C21" s="67" t="str">
        <f>IF('(2).Midterm Daily'!C21="","",'(2).Midterm Daily'!C21)</f>
        <v>F</v>
      </c>
      <c r="D21" s="115">
        <v>10</v>
      </c>
      <c r="E21" s="115">
        <v>9</v>
      </c>
      <c r="F21" s="115">
        <v>10</v>
      </c>
      <c r="G21" s="115">
        <v>10</v>
      </c>
      <c r="H21" s="115">
        <v>9</v>
      </c>
      <c r="I21" s="115">
        <v>10</v>
      </c>
      <c r="J21" s="115">
        <v>10</v>
      </c>
      <c r="K21" s="115">
        <v>10</v>
      </c>
      <c r="L21" s="115">
        <v>10</v>
      </c>
      <c r="M21" s="115">
        <v>10</v>
      </c>
      <c r="N21" s="50" t="str">
        <f>IF('(2).Midterm Daily'!AH21="Change","Change",IF('(2).Midterm Daily'!AH21="Stop","Stop",IF(B21="","",IF(COUNTA(D21:M21)&lt;10,"Incomplete",""))))</f>
        <v/>
      </c>
    </row>
    <row r="22" spans="1:14" ht="15.95" customHeight="1">
      <c r="A22" s="66">
        <v>16</v>
      </c>
      <c r="B22" s="63" t="str">
        <f>IF('(2).Midterm Daily'!B22="","",'(2).Midterm Daily'!B22)</f>
        <v>Prom Monometa</v>
      </c>
      <c r="C22" s="67" t="str">
        <f>IF('(2).Midterm Daily'!C22="","",'(2).Midterm Daily'!C22)</f>
        <v>M</v>
      </c>
      <c r="D22" s="115">
        <v>9.5</v>
      </c>
      <c r="E22" s="115">
        <v>7.5</v>
      </c>
      <c r="F22" s="115">
        <v>8.5</v>
      </c>
      <c r="G22" s="115">
        <v>5</v>
      </c>
      <c r="H22" s="115">
        <v>6</v>
      </c>
      <c r="I22" s="115">
        <v>9</v>
      </c>
      <c r="J22" s="115">
        <v>10</v>
      </c>
      <c r="K22" s="115">
        <v>8</v>
      </c>
      <c r="L22" s="115">
        <v>9</v>
      </c>
      <c r="M22" s="115">
        <v>9</v>
      </c>
      <c r="N22" s="50" t="str">
        <f>IF('(2).Midterm Daily'!AH22="Change","Change",IF('(2).Midterm Daily'!AH22="Stop","Stop",IF(B22="","",IF(COUNTA(D22:M22)&lt;10,"Incomplete",""))))</f>
        <v/>
      </c>
    </row>
    <row r="23" spans="1:14" ht="15.95" customHeight="1">
      <c r="A23" s="66">
        <v>17</v>
      </c>
      <c r="B23" s="63" t="str">
        <f>IF('(2).Midterm Daily'!B23="","",'(2).Midterm Daily'!B23)</f>
        <v>Seng Moamunyriangsey</v>
      </c>
      <c r="C23" s="67" t="str">
        <f>IF('(2).Midterm Daily'!C23="","",'(2).Midterm Daily'!C23)</f>
        <v>F</v>
      </c>
      <c r="D23" s="115">
        <v>8</v>
      </c>
      <c r="E23" s="115">
        <v>8.5</v>
      </c>
      <c r="F23" s="115">
        <v>8</v>
      </c>
      <c r="G23" s="115">
        <v>5</v>
      </c>
      <c r="H23" s="115">
        <v>6</v>
      </c>
      <c r="I23" s="115">
        <v>8</v>
      </c>
      <c r="J23" s="115">
        <v>10</v>
      </c>
      <c r="K23" s="115">
        <v>8</v>
      </c>
      <c r="L23" s="115">
        <v>9</v>
      </c>
      <c r="M23" s="115">
        <v>8.5</v>
      </c>
      <c r="N23" s="50" t="str">
        <f>IF('(2).Midterm Daily'!AH23="Change","Change",IF('(2).Midterm Daily'!AH23="Stop","Stop",IF(B23="","",IF(COUNTA(D23:M23)&lt;10,"Incomplete",""))))</f>
        <v/>
      </c>
    </row>
    <row r="24" spans="1:14" ht="15.95" customHeight="1">
      <c r="A24" s="66">
        <v>18</v>
      </c>
      <c r="B24" s="63" t="str">
        <f>IF('(2).Midterm Daily'!B24="","",'(2).Midterm Daily'!B24)</f>
        <v>Thuy Chanmeylinh</v>
      </c>
      <c r="C24" s="67" t="str">
        <f>IF('(2).Midterm Daily'!C24="","",'(2).Midterm Daily'!C24)</f>
        <v>F</v>
      </c>
      <c r="D24" s="115">
        <v>9</v>
      </c>
      <c r="E24" s="115">
        <v>9.75</v>
      </c>
      <c r="F24" s="115">
        <v>10</v>
      </c>
      <c r="G24" s="115">
        <v>9</v>
      </c>
      <c r="H24" s="115">
        <v>10</v>
      </c>
      <c r="I24" s="115">
        <v>10</v>
      </c>
      <c r="J24" s="115">
        <v>10</v>
      </c>
      <c r="K24" s="115">
        <v>10</v>
      </c>
      <c r="L24" s="115">
        <v>10</v>
      </c>
      <c r="M24" s="115">
        <v>10</v>
      </c>
      <c r="N24" s="50" t="str">
        <f>IF('(2).Midterm Daily'!AH24="Change","Change",IF('(2).Midterm Daily'!AH24="Stop","Stop",IF(B24="","",IF(COUNTA(D24:M24)&lt;10,"Incomplete",""))))</f>
        <v/>
      </c>
    </row>
    <row r="25" spans="1:14" ht="15.95" customHeight="1">
      <c r="A25" s="66">
        <v>19</v>
      </c>
      <c r="B25" s="63" t="str">
        <f>IF('(2).Midterm Daily'!B25="","",'(2).Midterm Daily'!B25)</f>
        <v>Vy Monineath</v>
      </c>
      <c r="C25" s="67" t="str">
        <f>IF('(2).Midterm Daily'!C25="","",'(2).Midterm Daily'!C25)</f>
        <v>F</v>
      </c>
      <c r="D25" s="115">
        <v>9</v>
      </c>
      <c r="E25" s="115">
        <v>10</v>
      </c>
      <c r="F25" s="115">
        <v>10</v>
      </c>
      <c r="G25" s="115">
        <v>10</v>
      </c>
      <c r="H25" s="115">
        <v>9</v>
      </c>
      <c r="I25" s="115">
        <v>10</v>
      </c>
      <c r="J25" s="115">
        <v>10</v>
      </c>
      <c r="K25" s="115">
        <v>10</v>
      </c>
      <c r="L25" s="115">
        <v>10</v>
      </c>
      <c r="M25" s="115">
        <v>10</v>
      </c>
      <c r="N25" s="50" t="str">
        <f>IF('(2).Midterm Daily'!AH25="Change","Change",IF('(2).Midterm Daily'!AH25="Stop","Stop",IF(B25="","",IF(COUNTA(D25:M25)&lt;10,"Incomplete",""))))</f>
        <v/>
      </c>
    </row>
    <row r="26" spans="1:14" ht="15.95" customHeight="1">
      <c r="A26" s="66">
        <v>20</v>
      </c>
      <c r="B26" s="63" t="str">
        <f>IF('(2).Midterm Daily'!B26="","",'(2).Midterm Daily'!B26)</f>
        <v/>
      </c>
      <c r="C26" s="67" t="str">
        <f>IF('(2).Midterm Daily'!C26="","",'(2).Midterm Daily'!C26)</f>
        <v/>
      </c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50" t="str">
        <f>IF('(2).Midterm Daily'!AH26="Change","Change",IF('(2).Midterm Daily'!AH26="Stop","Stop",IF(B26="","",IF(COUNTA(D26:M26)&lt;10,"Incomplete",""))))</f>
        <v/>
      </c>
    </row>
    <row r="27" spans="1:14" ht="15.95" customHeight="1">
      <c r="A27" s="66">
        <v>21</v>
      </c>
      <c r="B27" s="63" t="str">
        <f>IF('(2).Midterm Daily'!B27="","",'(2).Midterm Daily'!B27)</f>
        <v/>
      </c>
      <c r="C27" s="67" t="str">
        <f>IF('(2).Midterm Daily'!C27="","",'(2).Midterm Daily'!C27)</f>
        <v/>
      </c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50" t="str">
        <f>IF('(2).Midterm Daily'!AH27="Change","Change",IF('(2).Midterm Daily'!AH27="Stop","Stop",IF(B27="","",IF(COUNTA(D27:M27)&lt;10,"Incomplete",""))))</f>
        <v/>
      </c>
    </row>
    <row r="28" spans="1:14" ht="15.95" customHeight="1">
      <c r="A28" s="66">
        <v>22</v>
      </c>
      <c r="B28" s="63" t="str">
        <f>IF('(2).Midterm Daily'!B28="","",'(2).Midterm Daily'!B28)</f>
        <v/>
      </c>
      <c r="C28" s="67" t="str">
        <f>IF('(2).Midterm Daily'!C28="","",'(2).Midterm Daily'!C28)</f>
        <v/>
      </c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50" t="str">
        <f>IF('(2).Midterm Daily'!AH28="Change","Change",IF('(2).Midterm Daily'!AH28="Stop","Stop",IF(B28="","",IF(COUNTA(D28:M28)&lt;10,"Incomplete",""))))</f>
        <v/>
      </c>
    </row>
    <row r="29" spans="1:14" ht="15.95" customHeight="1">
      <c r="A29" s="66">
        <v>23</v>
      </c>
      <c r="B29" s="63" t="str">
        <f>IF('(2).Midterm Daily'!B29="","",'(2).Midterm Daily'!B29)</f>
        <v/>
      </c>
      <c r="C29" s="67" t="str">
        <f>IF('(2).Midterm Daily'!C29="","",'(2).Midterm Daily'!C29)</f>
        <v/>
      </c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50" t="str">
        <f>IF('(2).Midterm Daily'!AH29="Change","Change",IF('(2).Midterm Daily'!AH29="Stop","Stop",IF(B29="","",IF(COUNTA(D29:M29)&lt;10,"Incomplete",""))))</f>
        <v/>
      </c>
    </row>
    <row r="30" spans="1:14" ht="15.95" customHeight="1">
      <c r="A30" s="66">
        <v>24</v>
      </c>
      <c r="B30" s="63" t="str">
        <f>IF('(2).Midterm Daily'!B30="","",'(2).Midterm Daily'!B30)</f>
        <v/>
      </c>
      <c r="C30" s="67" t="str">
        <f>IF('(2).Midterm Daily'!C30="","",'(2).Midterm Daily'!C30)</f>
        <v/>
      </c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50" t="str">
        <f>IF('(2).Midterm Daily'!AH30="Change","Change",IF('(2).Midterm Daily'!AH30="Stop","Stop",IF(B30="","",IF(COUNTA(D30:M30)&lt;10,"Incomplete",""))))</f>
        <v/>
      </c>
    </row>
    <row r="31" spans="1:14" ht="15.95" customHeight="1">
      <c r="A31" s="66">
        <v>25</v>
      </c>
      <c r="B31" s="63" t="str">
        <f>IF('(2).Midterm Daily'!B31="","",'(2).Midterm Daily'!B31)</f>
        <v/>
      </c>
      <c r="C31" s="67" t="str">
        <f>IF('(2).Midterm Daily'!C31="","",'(2).Midterm Daily'!C31)</f>
        <v/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50" t="str">
        <f>IF('(2).Midterm Daily'!AH31="Change","Change",IF('(2).Midterm Daily'!AH31="Stop","Stop",IF(B31="","",IF(COUNTA(D31:M31)&lt;10,"Incomplete",""))))</f>
        <v/>
      </c>
    </row>
    <row r="32" spans="1:14" ht="15.95" customHeight="1">
      <c r="A32" s="66">
        <v>26</v>
      </c>
      <c r="B32" s="63" t="str">
        <f>IF('(2).Midterm Daily'!B32="","",'(2).Midterm Daily'!B32)</f>
        <v/>
      </c>
      <c r="C32" s="67" t="str">
        <f>IF('(2).Midterm Daily'!C32="","",'(2).Midterm Daily'!C32)</f>
        <v/>
      </c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50" t="str">
        <f>IF('(2).Midterm Daily'!AH32="Change","Change",IF('(2).Midterm Daily'!AH32="Stop","Stop",IF(B32="","",IF(COUNTA(D32:M32)&lt;10,"Incomplete",""))))</f>
        <v/>
      </c>
    </row>
    <row r="33" spans="1:14" ht="15.95" customHeight="1">
      <c r="A33" s="66">
        <v>27</v>
      </c>
      <c r="B33" s="63" t="str">
        <f>IF('(2).Midterm Daily'!B33="","",'(2).Midterm Daily'!B33)</f>
        <v/>
      </c>
      <c r="C33" s="67" t="str">
        <f>IF('(2).Midterm Daily'!C33="","",'(2).Midterm Daily'!C33)</f>
        <v/>
      </c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50" t="str">
        <f>IF('(2).Midterm Daily'!AH33="Change","Change",IF('(2).Midterm Daily'!AH33="Stop","Stop",IF(B33="","",IF(COUNTA(D33:M33)&lt;10,"Incomplete",""))))</f>
        <v/>
      </c>
    </row>
    <row r="34" spans="1:14" ht="15.95" customHeight="1">
      <c r="A34" s="66">
        <v>28</v>
      </c>
      <c r="B34" s="63" t="str">
        <f>IF('(2).Midterm Daily'!B34="","",'(2).Midterm Daily'!B34)</f>
        <v/>
      </c>
      <c r="C34" s="67" t="str">
        <f>IF('(2).Midterm Daily'!C34="","",'(2).Midterm Daily'!C34)</f>
        <v/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50" t="str">
        <f>IF('(2).Midterm Daily'!AH34="Change","Change",IF('(2).Midterm Daily'!AH34="Stop","Stop",IF(B34="","",IF(COUNTA(D34:M34)&lt;10,"Incomplete",""))))</f>
        <v/>
      </c>
    </row>
    <row r="35" spans="1:14" ht="15.95" customHeight="1">
      <c r="A35" s="66">
        <v>29</v>
      </c>
      <c r="B35" s="63" t="str">
        <f>IF('(2).Midterm Daily'!B35="","",'(2).Midterm Daily'!B35)</f>
        <v/>
      </c>
      <c r="C35" s="67" t="str">
        <f>IF('(2).Midterm Daily'!C35="","",'(2).Midterm Daily'!C35)</f>
        <v/>
      </c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50" t="str">
        <f>IF('(2).Midterm Daily'!AH35="Change","Change",IF('(2).Midterm Daily'!AH35="Stop","Stop",IF(B35="","",IF(COUNTA(D35:M35)&lt;10,"Incomplete",""))))</f>
        <v/>
      </c>
    </row>
    <row r="36" spans="1:14" ht="15.95" customHeight="1">
      <c r="A36" s="66">
        <v>30</v>
      </c>
      <c r="B36" s="63" t="str">
        <f>IF('(2).Midterm Daily'!B36="","",'(2).Midterm Daily'!B36)</f>
        <v/>
      </c>
      <c r="C36" s="67" t="str">
        <f>IF('(2).Midterm Daily'!C36="","",'(2).Midterm Daily'!C36)</f>
        <v/>
      </c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50" t="str">
        <f>IF('(2).Midterm Daily'!AH36="Change","Change",IF('(2).Midterm Daily'!AH36="Stop","Stop",IF(B36="","",IF(COUNTA(D36:M36)&lt;10,"Incomplete",""))))</f>
        <v/>
      </c>
    </row>
    <row r="37" spans="1:14" ht="15.95" customHeight="1">
      <c r="A37" s="18" t="s">
        <v>0</v>
      </c>
      <c r="B37" s="19">
        <f>'(2).Midterm Daily'!B37</f>
        <v>0</v>
      </c>
      <c r="C37" s="60"/>
      <c r="D37" s="222" t="s">
        <v>118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22"/>
    </row>
    <row r="38" spans="1:14" ht="15.95" customHeight="1">
      <c r="A38" s="18" t="s">
        <v>1</v>
      </c>
      <c r="B38" s="19">
        <f>'(2).Midterm Daily'!B38</f>
        <v>0</v>
      </c>
      <c r="C38" s="60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</row>
    <row r="39" spans="1:14" ht="15.95" customHeight="1">
      <c r="A39" s="18" t="s">
        <v>2</v>
      </c>
      <c r="B39" s="19">
        <f>'(2).Midterm Daily'!B39</f>
        <v>0</v>
      </c>
      <c r="C39" s="60"/>
      <c r="D39" s="223" t="str">
        <f>'(2).Midterm Daily'!D39</f>
        <v>FEBRUARY - JULY 2026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3"/>
    </row>
    <row r="40" spans="1:14" ht="15.95" customHeight="1">
      <c r="A40" s="18" t="s">
        <v>3</v>
      </c>
      <c r="B40" s="19">
        <f>'(2).Midterm Daily'!B40</f>
        <v>0</v>
      </c>
      <c r="C40" s="60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</row>
    <row r="41" spans="1:14" ht="15.95" customHeight="1">
      <c r="A41" s="18" t="s">
        <v>4</v>
      </c>
      <c r="B41" s="19">
        <f>'(2).Midterm Daily'!B41</f>
        <v>0</v>
      </c>
      <c r="C41" s="61"/>
      <c r="D41" s="112" t="str">
        <f>IF(OR($B38="K5",$B38="K6",$B38="K7",$B38="K8",$B38="K9",$B38="K10"),"Listening","Up-Low C")</f>
        <v>Up-Low C</v>
      </c>
      <c r="E41" s="112" t="str">
        <f>IF(OR($B38="K5",$B38="K6",$B38="K7",$B38="K8",$B38="K9",$B38="K10"),"Speaking","Alphabet N")</f>
        <v>Alphabet N</v>
      </c>
      <c r="F41" s="112" t="str">
        <f>IF(OR($B38="K5",$B38="K6",$B38="K7",$B38="K8",$B38="K9",$B38="K10"),"Reading","Alphabet S")</f>
        <v>Alphabet S</v>
      </c>
      <c r="G41" s="112" t="str">
        <f>IF(OR($B38="K5",$B38="K6",$B38="K7",$B38="K8",$B38="K9",$B38="K10"),"Writing","Vocabulary")</f>
        <v>Vocabulary</v>
      </c>
      <c r="H41" s="112" t="str">
        <f>IF(OR($B38="K5",$B38="K6",$B38="K7",$B38="K8",$B38="K9",$B38="K10"),"Grammar","Sprouts")</f>
        <v>Sprouts</v>
      </c>
      <c r="I41" s="112" t="str">
        <f>IF(OR($B38="K5",$B38="K6",$B38="K7",$B38="K8",$B38="K9",$B38="K10"),"Vocabulary","Phonics")</f>
        <v>Phonics</v>
      </c>
      <c r="J41" s="112" t="str">
        <f>IF(OR($B38="K5",$B38="K6",$B38="K7",$B38="K8",$B38="K9",$B38="K10"),"Roots","Math")</f>
        <v>Math</v>
      </c>
      <c r="K41" s="112" t="str">
        <f>IF(OR($B38="K5",$B38="K6",$B38="K7",$B38="K8",$B38="K9",$B38="K10"),"Phonics","Shape")</f>
        <v>Shape</v>
      </c>
      <c r="L41" s="112" t="str">
        <f>IF(OR($B38="K5",$B38="K6",$B38="K7",$B38="K8",$B38="K9",$B38="K10"),"Math","Science")</f>
        <v>Science</v>
      </c>
      <c r="M41" s="112" t="str">
        <f>IF(OR($B38="K5",$B38="K6",$B38="K7",$B38="K8",$B38="K9",$B38="K10"),"Science","Tracing")</f>
        <v>Tracing</v>
      </c>
      <c r="N41" s="90" t="s">
        <v>12</v>
      </c>
    </row>
    <row r="42" spans="1:14" ht="15.95" customHeight="1" thickBot="1">
      <c r="A42" s="80" t="s">
        <v>5</v>
      </c>
      <c r="B42" s="74" t="s">
        <v>6</v>
      </c>
      <c r="C42" s="81" t="s">
        <v>7</v>
      </c>
      <c r="D42" s="113" t="s">
        <v>9</v>
      </c>
      <c r="E42" s="113" t="s">
        <v>9</v>
      </c>
      <c r="F42" s="113" t="s">
        <v>9</v>
      </c>
      <c r="G42" s="113" t="s">
        <v>9</v>
      </c>
      <c r="H42" s="113" t="s">
        <v>9</v>
      </c>
      <c r="I42" s="113" t="s">
        <v>9</v>
      </c>
      <c r="J42" s="113" t="s">
        <v>9</v>
      </c>
      <c r="K42" s="113" t="s">
        <v>9</v>
      </c>
      <c r="L42" s="113" t="s">
        <v>9</v>
      </c>
      <c r="M42" s="113" t="s">
        <v>9</v>
      </c>
      <c r="N42" s="77" t="s">
        <v>13</v>
      </c>
    </row>
    <row r="43" spans="1:14" ht="15.95" customHeight="1">
      <c r="A43" s="78">
        <v>1</v>
      </c>
      <c r="B43" s="68" t="str">
        <f>IF('(2).Midterm Daily'!B43="","",'(2).Midterm Daily'!B43)</f>
        <v/>
      </c>
      <c r="C43" s="79" t="str">
        <f>IF('(2).Midterm Daily'!C43="","",'(2).Midterm Daily'!C43)</f>
        <v/>
      </c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89" t="str">
        <f>IF('(2).Midterm Daily'!AH43="Change","Change",IF('(2).Midterm Daily'!AH43="Stop","Stop",IF(B43="","",IF(COUNTA(D43:M43)&lt;10,"Incomplete",""))))</f>
        <v/>
      </c>
    </row>
    <row r="44" spans="1:14" ht="15.95" customHeight="1">
      <c r="A44" s="66">
        <v>2</v>
      </c>
      <c r="B44" s="63" t="str">
        <f>IF('(2).Midterm Daily'!B44="","",'(2).Midterm Daily'!B44)</f>
        <v/>
      </c>
      <c r="C44" s="67" t="str">
        <f>IF('(2).Midterm Daily'!C44="","",'(2).Midterm Daily'!C44)</f>
        <v/>
      </c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50" t="str">
        <f>IF('(2).Midterm Daily'!AH44="Change","Change",IF('(2).Midterm Daily'!AH44="Stop","Stop",IF(B44="","",IF(COUNTA(D44:M44)&lt;10,"Incomplete",""))))</f>
        <v/>
      </c>
    </row>
    <row r="45" spans="1:14" ht="15.95" customHeight="1">
      <c r="A45" s="66">
        <v>3</v>
      </c>
      <c r="B45" s="63" t="str">
        <f>IF('(2).Midterm Daily'!B45="","",'(2).Midterm Daily'!B45)</f>
        <v/>
      </c>
      <c r="C45" s="67" t="str">
        <f>IF('(2).Midterm Daily'!C45="","",'(2).Midterm Daily'!C45)</f>
        <v/>
      </c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50" t="str">
        <f>IF('(2).Midterm Daily'!AH45="Change","Change",IF('(2).Midterm Daily'!AH45="Stop","Stop",IF(B45="","",IF(COUNTA(D45:M45)&lt;10,"Incomplete",""))))</f>
        <v/>
      </c>
    </row>
    <row r="46" spans="1:14" ht="15.95" customHeight="1">
      <c r="A46" s="66">
        <v>4</v>
      </c>
      <c r="B46" s="63" t="str">
        <f>IF('(2).Midterm Daily'!B46="","",'(2).Midterm Daily'!B46)</f>
        <v/>
      </c>
      <c r="C46" s="67" t="str">
        <f>IF('(2).Midterm Daily'!C46="","",'(2).Midterm Daily'!C46)</f>
        <v/>
      </c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50" t="str">
        <f>IF('(2).Midterm Daily'!AH46="Change","Change",IF('(2).Midterm Daily'!AH46="Stop","Stop",IF(B46="","",IF(COUNTA(D46:M46)&lt;10,"Incomplete",""))))</f>
        <v/>
      </c>
    </row>
    <row r="47" spans="1:14" ht="15.95" customHeight="1">
      <c r="A47" s="66">
        <v>5</v>
      </c>
      <c r="B47" s="63" t="str">
        <f>IF('(2).Midterm Daily'!B47="","",'(2).Midterm Daily'!B47)</f>
        <v/>
      </c>
      <c r="C47" s="67" t="str">
        <f>IF('(2).Midterm Daily'!C47="","",'(2).Midterm Daily'!C47)</f>
        <v/>
      </c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50" t="str">
        <f>IF('(2).Midterm Daily'!AH47="Change","Change",IF('(2).Midterm Daily'!AH47="Stop","Stop",IF(B47="","",IF(COUNTA(D47:M47)&lt;10,"Incomplete",""))))</f>
        <v/>
      </c>
    </row>
    <row r="48" spans="1:14" ht="15.95" customHeight="1">
      <c r="A48" s="66">
        <v>6</v>
      </c>
      <c r="B48" s="63" t="str">
        <f>IF('(2).Midterm Daily'!B48="","",'(2).Midterm Daily'!B48)</f>
        <v/>
      </c>
      <c r="C48" s="67" t="str">
        <f>IF('(2).Midterm Daily'!C48="","",'(2).Midterm Daily'!C48)</f>
        <v/>
      </c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50" t="str">
        <f>IF('(2).Midterm Daily'!AH48="Change","Change",IF('(2).Midterm Daily'!AH48="Stop","Stop",IF(B48="","",IF(COUNTA(D48:M48)&lt;10,"Incomplete",""))))</f>
        <v/>
      </c>
    </row>
    <row r="49" spans="1:14" ht="15.95" customHeight="1">
      <c r="A49" s="66">
        <v>7</v>
      </c>
      <c r="B49" s="63" t="str">
        <f>IF('(2).Midterm Daily'!B49="","",'(2).Midterm Daily'!B49)</f>
        <v/>
      </c>
      <c r="C49" s="67" t="str">
        <f>IF('(2).Midterm Daily'!C49="","",'(2).Midterm Daily'!C49)</f>
        <v/>
      </c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50" t="str">
        <f>IF('(2).Midterm Daily'!AH49="Change","Change",IF('(2).Midterm Daily'!AH49="Stop","Stop",IF(B49="","",IF(COUNTA(D49:M49)&lt;10,"Incomplete",""))))</f>
        <v/>
      </c>
    </row>
    <row r="50" spans="1:14" ht="15.95" customHeight="1">
      <c r="A50" s="66">
        <v>8</v>
      </c>
      <c r="B50" s="63" t="str">
        <f>IF('(2).Midterm Daily'!B50="","",'(2).Midterm Daily'!B50)</f>
        <v/>
      </c>
      <c r="C50" s="67" t="str">
        <f>IF('(2).Midterm Daily'!C50="","",'(2).Midterm Daily'!C50)</f>
        <v/>
      </c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50" t="str">
        <f>IF('(2).Midterm Daily'!AH50="Change","Change",IF('(2).Midterm Daily'!AH50="Stop","Stop",IF(B50="","",IF(COUNTA(D50:M50)&lt;10,"Incomplete",""))))</f>
        <v/>
      </c>
    </row>
    <row r="51" spans="1:14" ht="15.95" customHeight="1">
      <c r="A51" s="66">
        <v>9</v>
      </c>
      <c r="B51" s="63" t="str">
        <f>IF('(2).Midterm Daily'!B51="","",'(2).Midterm Daily'!B51)</f>
        <v/>
      </c>
      <c r="C51" s="67" t="str">
        <f>IF('(2).Midterm Daily'!C51="","",'(2).Midterm Daily'!C51)</f>
        <v/>
      </c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50" t="str">
        <f>IF('(2).Midterm Daily'!AH51="Change","Change",IF('(2).Midterm Daily'!AH51="Stop","Stop",IF(B51="","",IF(COUNTA(D51:M51)&lt;10,"Incomplete",""))))</f>
        <v/>
      </c>
    </row>
    <row r="52" spans="1:14" ht="15.95" customHeight="1">
      <c r="A52" s="66">
        <v>10</v>
      </c>
      <c r="B52" s="63" t="str">
        <f>IF('(2).Midterm Daily'!B52="","",'(2).Midterm Daily'!B52)</f>
        <v/>
      </c>
      <c r="C52" s="67" t="str">
        <f>IF('(2).Midterm Daily'!C52="","",'(2).Midterm Daily'!C52)</f>
        <v/>
      </c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50" t="str">
        <f>IF('(2).Midterm Daily'!AH52="Change","Change",IF('(2).Midterm Daily'!AH52="Stop","Stop",IF(B52="","",IF(COUNTA(D52:M52)&lt;10,"Incomplete",""))))</f>
        <v/>
      </c>
    </row>
    <row r="53" spans="1:14" ht="15.95" customHeight="1">
      <c r="A53" s="66">
        <v>11</v>
      </c>
      <c r="B53" s="63" t="str">
        <f>IF('(2).Midterm Daily'!B53="","",'(2).Midterm Daily'!B53)</f>
        <v/>
      </c>
      <c r="C53" s="67" t="str">
        <f>IF('(2).Midterm Daily'!C53="","",'(2).Midterm Daily'!C53)</f>
        <v/>
      </c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50" t="str">
        <f>IF('(2).Midterm Daily'!AH53="Change","Change",IF('(2).Midterm Daily'!AH53="Stop","Stop",IF(B53="","",IF(COUNTA(D53:M53)&lt;10,"Incomplete",""))))</f>
        <v/>
      </c>
    </row>
    <row r="54" spans="1:14" ht="15.95" customHeight="1">
      <c r="A54" s="66">
        <v>12</v>
      </c>
      <c r="B54" s="63" t="str">
        <f>IF('(2).Midterm Daily'!B54="","",'(2).Midterm Daily'!B54)</f>
        <v/>
      </c>
      <c r="C54" s="67" t="str">
        <f>IF('(2).Midterm Daily'!C54="","",'(2).Midterm Daily'!C54)</f>
        <v/>
      </c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50" t="str">
        <f>IF('(2).Midterm Daily'!AH54="Change","Change",IF('(2).Midterm Daily'!AH54="Stop","Stop",IF(B54="","",IF(COUNTA(D54:M54)&lt;10,"Incomplete",""))))</f>
        <v/>
      </c>
    </row>
    <row r="55" spans="1:14" ht="15.95" customHeight="1">
      <c r="A55" s="66">
        <v>13</v>
      </c>
      <c r="B55" s="63" t="str">
        <f>IF('(2).Midterm Daily'!B55="","",'(2).Midterm Daily'!B55)</f>
        <v/>
      </c>
      <c r="C55" s="67" t="str">
        <f>IF('(2).Midterm Daily'!C55="","",'(2).Midterm Daily'!C55)</f>
        <v/>
      </c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50" t="str">
        <f>IF('(2).Midterm Daily'!AH55="Change","Change",IF('(2).Midterm Daily'!AH55="Stop","Stop",IF(B55="","",IF(COUNTA(D55:M55)&lt;10,"Incomplete",""))))</f>
        <v/>
      </c>
    </row>
    <row r="56" spans="1:14" ht="15.95" customHeight="1">
      <c r="A56" s="66">
        <v>14</v>
      </c>
      <c r="B56" s="63" t="str">
        <f>IF('(2).Midterm Daily'!B56="","",'(2).Midterm Daily'!B56)</f>
        <v/>
      </c>
      <c r="C56" s="67" t="str">
        <f>IF('(2).Midterm Daily'!C56="","",'(2).Midterm Daily'!C56)</f>
        <v/>
      </c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50" t="str">
        <f>IF('(2).Midterm Daily'!AH56="Change","Change",IF('(2).Midterm Daily'!AH56="Stop","Stop",IF(B56="","",IF(COUNTA(D56:M56)&lt;10,"Incomplete",""))))</f>
        <v/>
      </c>
    </row>
    <row r="57" spans="1:14" ht="15.95" customHeight="1">
      <c r="A57" s="66">
        <v>15</v>
      </c>
      <c r="B57" s="63" t="str">
        <f>IF('(2).Midterm Daily'!B57="","",'(2).Midterm Daily'!B57)</f>
        <v/>
      </c>
      <c r="C57" s="67" t="str">
        <f>IF('(2).Midterm Daily'!C57="","",'(2).Midterm Daily'!C57)</f>
        <v/>
      </c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50" t="str">
        <f>IF('(2).Midterm Daily'!AH57="Change","Change",IF('(2).Midterm Daily'!AH57="Stop","Stop",IF(B57="","",IF(COUNTA(D57:M57)&lt;10,"Incomplete",""))))</f>
        <v/>
      </c>
    </row>
    <row r="58" spans="1:14" ht="15.95" customHeight="1">
      <c r="A58" s="66">
        <v>16</v>
      </c>
      <c r="B58" s="63" t="str">
        <f>IF('(2).Midterm Daily'!B58="","",'(2).Midterm Daily'!B58)</f>
        <v/>
      </c>
      <c r="C58" s="67" t="str">
        <f>IF('(2).Midterm Daily'!C58="","",'(2).Midterm Daily'!C58)</f>
        <v/>
      </c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50" t="str">
        <f>IF('(2).Midterm Daily'!AH58="Change","Change",IF('(2).Midterm Daily'!AH58="Stop","Stop",IF(B58="","",IF(COUNTA(D58:M58)&lt;10,"Incomplete",""))))</f>
        <v/>
      </c>
    </row>
    <row r="59" spans="1:14" ht="15.95" customHeight="1">
      <c r="A59" s="66">
        <v>17</v>
      </c>
      <c r="B59" s="63" t="str">
        <f>IF('(2).Midterm Daily'!B59="","",'(2).Midterm Daily'!B59)</f>
        <v/>
      </c>
      <c r="C59" s="67" t="str">
        <f>IF('(2).Midterm Daily'!C59="","",'(2).Midterm Daily'!C59)</f>
        <v/>
      </c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50" t="str">
        <f>IF('(2).Midterm Daily'!AH59="Change","Change",IF('(2).Midterm Daily'!AH59="Stop","Stop",IF(B59="","",IF(COUNTA(D59:M59)&lt;10,"Incomplete",""))))</f>
        <v/>
      </c>
    </row>
    <row r="60" spans="1:14" ht="15.95" customHeight="1">
      <c r="A60" s="66">
        <v>18</v>
      </c>
      <c r="B60" s="63" t="str">
        <f>IF('(2).Midterm Daily'!B60="","",'(2).Midterm Daily'!B60)</f>
        <v/>
      </c>
      <c r="C60" s="67" t="str">
        <f>IF('(2).Midterm Daily'!C60="","",'(2).Midterm Daily'!C60)</f>
        <v/>
      </c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50" t="str">
        <f>IF('(2).Midterm Daily'!AH60="Change","Change",IF('(2).Midterm Daily'!AH60="Stop","Stop",IF(B60="","",IF(COUNTA(D60:M60)&lt;10,"Incomplete",""))))</f>
        <v/>
      </c>
    </row>
    <row r="61" spans="1:14" ht="15.95" customHeight="1">
      <c r="A61" s="66">
        <v>19</v>
      </c>
      <c r="B61" s="63" t="str">
        <f>IF('(2).Midterm Daily'!B61="","",'(2).Midterm Daily'!B61)</f>
        <v/>
      </c>
      <c r="C61" s="67" t="str">
        <f>IF('(2).Midterm Daily'!C61="","",'(2).Midterm Daily'!C61)</f>
        <v/>
      </c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50" t="str">
        <f>IF('(2).Midterm Daily'!AH61="Change","Change",IF('(2).Midterm Daily'!AH61="Stop","Stop",IF(B61="","",IF(COUNTA(D61:M61)&lt;10,"Incomplete",""))))</f>
        <v/>
      </c>
    </row>
    <row r="62" spans="1:14" ht="15.95" customHeight="1">
      <c r="A62" s="66">
        <v>20</v>
      </c>
      <c r="B62" s="63" t="str">
        <f>IF('(2).Midterm Daily'!B62="","",'(2).Midterm Daily'!B62)</f>
        <v/>
      </c>
      <c r="C62" s="67" t="str">
        <f>IF('(2).Midterm Daily'!C62="","",'(2).Midterm Daily'!C62)</f>
        <v/>
      </c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50" t="str">
        <f>IF('(2).Midterm Daily'!AH62="Change","Change",IF('(2).Midterm Daily'!AH62="Stop","Stop",IF(B62="","",IF(COUNTA(D62:M62)&lt;10,"Incomplete",""))))</f>
        <v/>
      </c>
    </row>
    <row r="63" spans="1:14" ht="15.95" customHeight="1">
      <c r="A63" s="66">
        <v>21</v>
      </c>
      <c r="B63" s="63" t="str">
        <f>IF('(2).Midterm Daily'!B63="","",'(2).Midterm Daily'!B63)</f>
        <v/>
      </c>
      <c r="C63" s="67" t="str">
        <f>IF('(2).Midterm Daily'!C63="","",'(2).Midterm Daily'!C63)</f>
        <v/>
      </c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50" t="str">
        <f>IF('(2).Midterm Daily'!AH63="Change","Change",IF('(2).Midterm Daily'!AH63="Stop","Stop",IF(B63="","",IF(COUNTA(D63:M63)&lt;10,"Incomplete",""))))</f>
        <v/>
      </c>
    </row>
    <row r="64" spans="1:14" ht="15.95" customHeight="1">
      <c r="A64" s="66">
        <v>22</v>
      </c>
      <c r="B64" s="63" t="str">
        <f>IF('(2).Midterm Daily'!B64="","",'(2).Midterm Daily'!B64)</f>
        <v/>
      </c>
      <c r="C64" s="67" t="str">
        <f>IF('(2).Midterm Daily'!C64="","",'(2).Midterm Daily'!C64)</f>
        <v/>
      </c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50" t="str">
        <f>IF('(2).Midterm Daily'!AH64="Change","Change",IF('(2).Midterm Daily'!AH64="Stop","Stop",IF(B64="","",IF(COUNTA(D64:M64)&lt;10,"Incomplete",""))))</f>
        <v/>
      </c>
    </row>
    <row r="65" spans="1:14" ht="15.95" customHeight="1">
      <c r="A65" s="66">
        <v>23</v>
      </c>
      <c r="B65" s="63" t="str">
        <f>IF('(2).Midterm Daily'!B65="","",'(2).Midterm Daily'!B65)</f>
        <v/>
      </c>
      <c r="C65" s="67" t="str">
        <f>IF('(2).Midterm Daily'!C65="","",'(2).Midterm Daily'!C65)</f>
        <v/>
      </c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50" t="str">
        <f>IF('(2).Midterm Daily'!AH65="Change","Change",IF('(2).Midterm Daily'!AH65="Stop","Stop",IF(B65="","",IF(COUNTA(D65:M65)&lt;10,"Incomplete",""))))</f>
        <v/>
      </c>
    </row>
    <row r="66" spans="1:14" ht="15.95" customHeight="1">
      <c r="A66" s="66">
        <v>24</v>
      </c>
      <c r="B66" s="63" t="str">
        <f>IF('(2).Midterm Daily'!B66="","",'(2).Midterm Daily'!B66)</f>
        <v/>
      </c>
      <c r="C66" s="67" t="str">
        <f>IF('(2).Midterm Daily'!C66="","",'(2).Midterm Daily'!C66)</f>
        <v/>
      </c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50" t="str">
        <f>IF('(2).Midterm Daily'!AH66="Change","Change",IF('(2).Midterm Daily'!AH66="Stop","Stop",IF(B66="","",IF(COUNTA(D66:M66)&lt;10,"Incomplete",""))))</f>
        <v/>
      </c>
    </row>
    <row r="67" spans="1:14" ht="15.95" customHeight="1">
      <c r="A67" s="66">
        <v>25</v>
      </c>
      <c r="B67" s="63" t="str">
        <f>IF('(2).Midterm Daily'!B67="","",'(2).Midterm Daily'!B67)</f>
        <v/>
      </c>
      <c r="C67" s="67" t="str">
        <f>IF('(2).Midterm Daily'!C67="","",'(2).Midterm Daily'!C67)</f>
        <v/>
      </c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50" t="str">
        <f>IF('(2).Midterm Daily'!AH67="Change","Change",IF('(2).Midterm Daily'!AH67="Stop","Stop",IF(B67="","",IF(COUNTA(D67:M67)&lt;10,"Incomplete",""))))</f>
        <v/>
      </c>
    </row>
    <row r="68" spans="1:14" ht="15.95" customHeight="1">
      <c r="A68" s="66">
        <v>26</v>
      </c>
      <c r="B68" s="63" t="str">
        <f>IF('(2).Midterm Daily'!B68="","",'(2).Midterm Daily'!B68)</f>
        <v/>
      </c>
      <c r="C68" s="67" t="str">
        <f>IF('(2).Midterm Daily'!C68="","",'(2).Midterm Daily'!C68)</f>
        <v/>
      </c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50" t="str">
        <f>IF('(2).Midterm Daily'!AH68="Change","Change",IF('(2).Midterm Daily'!AH68="Stop","Stop",IF(B68="","",IF(COUNTA(D68:M68)&lt;10,"Incomplete",""))))</f>
        <v/>
      </c>
    </row>
    <row r="69" spans="1:14" ht="15.95" customHeight="1">
      <c r="A69" s="66">
        <v>27</v>
      </c>
      <c r="B69" s="63" t="str">
        <f>IF('(2).Midterm Daily'!B69="","",'(2).Midterm Daily'!B69)</f>
        <v/>
      </c>
      <c r="C69" s="67" t="str">
        <f>IF('(2).Midterm Daily'!C69="","",'(2).Midterm Daily'!C69)</f>
        <v/>
      </c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50" t="str">
        <f>IF('(2).Midterm Daily'!AH69="Change","Change",IF('(2).Midterm Daily'!AH69="Stop","Stop",IF(B69="","",IF(COUNTA(D69:M69)&lt;10,"Incomplete",""))))</f>
        <v/>
      </c>
    </row>
    <row r="70" spans="1:14" ht="15.95" customHeight="1">
      <c r="A70" s="66">
        <v>28</v>
      </c>
      <c r="B70" s="63" t="str">
        <f>IF('(2).Midterm Daily'!B70="","",'(2).Midterm Daily'!B70)</f>
        <v/>
      </c>
      <c r="C70" s="67" t="str">
        <f>IF('(2).Midterm Daily'!C70="","",'(2).Midterm Daily'!C70)</f>
        <v/>
      </c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50" t="str">
        <f>IF('(2).Midterm Daily'!AH70="Change","Change",IF('(2).Midterm Daily'!AH70="Stop","Stop",IF(B70="","",IF(COUNTA(D70:M70)&lt;10,"Incomplete",""))))</f>
        <v/>
      </c>
    </row>
    <row r="71" spans="1:14" ht="15.95" customHeight="1">
      <c r="A71" s="66">
        <v>29</v>
      </c>
      <c r="B71" s="63" t="str">
        <f>IF('(2).Midterm Daily'!B71="","",'(2).Midterm Daily'!B71)</f>
        <v/>
      </c>
      <c r="C71" s="67" t="str">
        <f>IF('(2).Midterm Daily'!C71="","",'(2).Midterm Daily'!C71)</f>
        <v/>
      </c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50" t="str">
        <f>IF('(2).Midterm Daily'!AH71="Change","Change",IF('(2).Midterm Daily'!AH71="Stop","Stop",IF(B71="","",IF(COUNTA(D71:M71)&lt;10,"Incomplete",""))))</f>
        <v/>
      </c>
    </row>
    <row r="72" spans="1:14" ht="15.95" customHeight="1">
      <c r="A72" s="66">
        <v>30</v>
      </c>
      <c r="B72" s="63" t="str">
        <f>IF('(2).Midterm Daily'!B72="","",'(2).Midterm Daily'!B72)</f>
        <v/>
      </c>
      <c r="C72" s="67" t="str">
        <f>IF('(2).Midterm Daily'!C72="","",'(2).Midterm Daily'!C72)</f>
        <v/>
      </c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50" t="str">
        <f>IF('(2).Midterm Daily'!AH72="Change","Change",IF('(2).Midterm Daily'!AH72="Stop","Stop",IF(B72="","",IF(COUNTA(D72:M72)&lt;10,"Incomplete",""))))</f>
        <v/>
      </c>
    </row>
    <row r="73" spans="1:14" ht="15.95" customHeight="1">
      <c r="A73" s="18" t="s">
        <v>0</v>
      </c>
      <c r="B73" s="19">
        <f>'(2).Midterm Daily'!B73</f>
        <v>0</v>
      </c>
      <c r="C73" s="60"/>
      <c r="D73" s="222" t="s">
        <v>118</v>
      </c>
      <c r="E73" s="222"/>
      <c r="F73" s="222"/>
      <c r="G73" s="222"/>
      <c r="H73" s="222"/>
      <c r="I73" s="222"/>
      <c r="J73" s="222"/>
      <c r="K73" s="222"/>
      <c r="L73" s="222"/>
      <c r="M73" s="222"/>
      <c r="N73" s="222"/>
    </row>
    <row r="74" spans="1:14" ht="15.95" customHeight="1">
      <c r="A74" s="18" t="s">
        <v>1</v>
      </c>
      <c r="B74" s="19">
        <f>'(2).Midterm Daily'!B74</f>
        <v>0</v>
      </c>
      <c r="C74" s="60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</row>
    <row r="75" spans="1:14" ht="15.95" customHeight="1">
      <c r="A75" s="18" t="s">
        <v>2</v>
      </c>
      <c r="B75" s="19">
        <f>'(2).Midterm Daily'!B75</f>
        <v>0</v>
      </c>
      <c r="C75" s="60"/>
      <c r="D75" s="223" t="str">
        <f>'(2).Midterm Daily'!D75</f>
        <v>FEBRUARY - JULY 2026</v>
      </c>
      <c r="E75" s="223"/>
      <c r="F75" s="223"/>
      <c r="G75" s="223"/>
      <c r="H75" s="223"/>
      <c r="I75" s="223"/>
      <c r="J75" s="223"/>
      <c r="K75" s="223"/>
      <c r="L75" s="223"/>
      <c r="M75" s="223"/>
      <c r="N75" s="223"/>
    </row>
    <row r="76" spans="1:14" ht="15.95" customHeight="1">
      <c r="A76" s="18" t="s">
        <v>3</v>
      </c>
      <c r="B76" s="19">
        <f>'(2).Midterm Daily'!B76</f>
        <v>0</v>
      </c>
      <c r="C76" s="60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</row>
    <row r="77" spans="1:14" ht="15.95" customHeight="1">
      <c r="A77" s="18" t="s">
        <v>4</v>
      </c>
      <c r="B77" s="19">
        <f>'(2).Midterm Daily'!B77</f>
        <v>0</v>
      </c>
      <c r="C77" s="61"/>
      <c r="D77" s="112" t="str">
        <f>IF(OR($B74="K5",$B74="K6",$B74="K7",$B74="K8",$B74="K9",$B74="K10"),"Listening","Up-Low C")</f>
        <v>Up-Low C</v>
      </c>
      <c r="E77" s="112" t="str">
        <f>IF(OR($B74="K5",$B74="K6",$B74="K7",$B74="K8",$B74="K9",$B74="K10"),"Speaking","Alphabet N")</f>
        <v>Alphabet N</v>
      </c>
      <c r="F77" s="112" t="str">
        <f>IF(OR($B74="K5",$B74="K6",$B74="K7",$B74="K8",$B74="K9",$B74="K10"),"Reading","Alphabet S")</f>
        <v>Alphabet S</v>
      </c>
      <c r="G77" s="112" t="str">
        <f>IF(OR($B74="K5",$B74="K6",$B74="K7",$B74="K8",$B74="K9",$B74="K10"),"Writing","Vocabulary")</f>
        <v>Vocabulary</v>
      </c>
      <c r="H77" s="112" t="str">
        <f>IF(OR($B74="K5",$B74="K6",$B74="K7",$B74="K8",$B74="K9",$B74="K10"),"Grammar","Sprouts")</f>
        <v>Sprouts</v>
      </c>
      <c r="I77" s="112" t="str">
        <f>IF(OR($B74="K5",$B74="K6",$B74="K7",$B74="K8",$B74="K9",$B74="K10"),"Vocabulary","Phonics")</f>
        <v>Phonics</v>
      </c>
      <c r="J77" s="112" t="str">
        <f>IF(OR($B74="K5",$B74="K6",$B74="K7",$B74="K8",$B74="K9",$B74="K10"),"Roots","Math")</f>
        <v>Math</v>
      </c>
      <c r="K77" s="112" t="str">
        <f>IF(OR($B74="K5",$B74="K6",$B74="K7",$B74="K8",$B74="K9",$B74="K10"),"Phonics","Shape")</f>
        <v>Shape</v>
      </c>
      <c r="L77" s="112" t="str">
        <f>IF(OR($B74="K5",$B74="K6",$B74="K7",$B74="K8",$B74="K9",$B74="K10"),"Math","Science")</f>
        <v>Science</v>
      </c>
      <c r="M77" s="112" t="str">
        <f>IF(OR($B74="K5",$B74="K6",$B74="K7",$B74="K8",$B74="K9",$B74="K10"),"Science","Tracing")</f>
        <v>Tracing</v>
      </c>
      <c r="N77" s="90" t="s">
        <v>12</v>
      </c>
    </row>
    <row r="78" spans="1:14" ht="15.95" customHeight="1" thickBot="1">
      <c r="A78" s="80" t="s">
        <v>5</v>
      </c>
      <c r="B78" s="74" t="s">
        <v>6</v>
      </c>
      <c r="C78" s="81" t="s">
        <v>7</v>
      </c>
      <c r="D78" s="113" t="s">
        <v>9</v>
      </c>
      <c r="E78" s="113" t="s">
        <v>9</v>
      </c>
      <c r="F78" s="113" t="s">
        <v>9</v>
      </c>
      <c r="G78" s="113" t="s">
        <v>9</v>
      </c>
      <c r="H78" s="113" t="s">
        <v>9</v>
      </c>
      <c r="I78" s="113" t="s">
        <v>9</v>
      </c>
      <c r="J78" s="113" t="s">
        <v>9</v>
      </c>
      <c r="K78" s="113" t="s">
        <v>9</v>
      </c>
      <c r="L78" s="113" t="s">
        <v>9</v>
      </c>
      <c r="M78" s="113" t="s">
        <v>9</v>
      </c>
      <c r="N78" s="77" t="s">
        <v>13</v>
      </c>
    </row>
    <row r="79" spans="1:14" ht="15.95" customHeight="1">
      <c r="A79" s="78">
        <v>1</v>
      </c>
      <c r="B79" s="68" t="str">
        <f>IF('(2).Midterm Daily'!B79="","",'(2).Midterm Daily'!B79)</f>
        <v/>
      </c>
      <c r="C79" s="79" t="str">
        <f>IF('(2).Midterm Daily'!C79="","",'(2).Midterm Daily'!C79)</f>
        <v/>
      </c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89" t="str">
        <f>IF('(2).Midterm Daily'!AH79="Change","Change",IF('(2).Midterm Daily'!AH79="Stop","Stop",IF(B79="","",IF(COUNTA(D79:M79)&lt;10,"Incomplete",""))))</f>
        <v/>
      </c>
    </row>
    <row r="80" spans="1:14" ht="15.95" customHeight="1">
      <c r="A80" s="66">
        <v>2</v>
      </c>
      <c r="B80" s="63" t="str">
        <f>IF('(2).Midterm Daily'!B80="","",'(2).Midterm Daily'!B80)</f>
        <v/>
      </c>
      <c r="C80" s="67" t="str">
        <f>IF('(2).Midterm Daily'!C80="","",'(2).Midterm Daily'!C80)</f>
        <v/>
      </c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50" t="str">
        <f>IF('(2).Midterm Daily'!AH80="Change","Change",IF('(2).Midterm Daily'!AH80="Stop","Stop",IF(B80="","",IF(COUNTA(D80:M80)&lt;10,"Incomplete",""))))</f>
        <v/>
      </c>
    </row>
    <row r="81" spans="1:14" ht="15.95" customHeight="1">
      <c r="A81" s="66">
        <v>3</v>
      </c>
      <c r="B81" s="63" t="str">
        <f>IF('(2).Midterm Daily'!B81="","",'(2).Midterm Daily'!B81)</f>
        <v/>
      </c>
      <c r="C81" s="67" t="str">
        <f>IF('(2).Midterm Daily'!C81="","",'(2).Midterm Daily'!C81)</f>
        <v/>
      </c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50" t="str">
        <f>IF('(2).Midterm Daily'!AH81="Change","Change",IF('(2).Midterm Daily'!AH81="Stop","Stop",IF(B81="","",IF(COUNTA(D81:M81)&lt;10,"Incomplete",""))))</f>
        <v/>
      </c>
    </row>
    <row r="82" spans="1:14" ht="15.95" customHeight="1">
      <c r="A82" s="66">
        <v>4</v>
      </c>
      <c r="B82" s="63" t="str">
        <f>IF('(2).Midterm Daily'!B82="","",'(2).Midterm Daily'!B82)</f>
        <v/>
      </c>
      <c r="C82" s="67" t="str">
        <f>IF('(2).Midterm Daily'!C82="","",'(2).Midterm Daily'!C82)</f>
        <v/>
      </c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50" t="str">
        <f>IF('(2).Midterm Daily'!AH82="Change","Change",IF('(2).Midterm Daily'!AH82="Stop","Stop",IF(B82="","",IF(COUNTA(D82:M82)&lt;10,"Incomplete",""))))</f>
        <v/>
      </c>
    </row>
    <row r="83" spans="1:14" ht="15.95" customHeight="1">
      <c r="A83" s="66">
        <v>5</v>
      </c>
      <c r="B83" s="63" t="str">
        <f>IF('(2).Midterm Daily'!B83="","",'(2).Midterm Daily'!B83)</f>
        <v/>
      </c>
      <c r="C83" s="67" t="str">
        <f>IF('(2).Midterm Daily'!C83="","",'(2).Midterm Daily'!C83)</f>
        <v/>
      </c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50" t="str">
        <f>IF('(2).Midterm Daily'!AH83="Change","Change",IF('(2).Midterm Daily'!AH83="Stop","Stop",IF(B83="","",IF(COUNTA(D83:M83)&lt;10,"Incomplete",""))))</f>
        <v/>
      </c>
    </row>
    <row r="84" spans="1:14" ht="15.95" customHeight="1">
      <c r="A84" s="66">
        <v>6</v>
      </c>
      <c r="B84" s="63" t="str">
        <f>IF('(2).Midterm Daily'!B84="","",'(2).Midterm Daily'!B84)</f>
        <v/>
      </c>
      <c r="C84" s="67" t="str">
        <f>IF('(2).Midterm Daily'!C84="","",'(2).Midterm Daily'!C84)</f>
        <v/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50" t="str">
        <f>IF('(2).Midterm Daily'!AH84="Change","Change",IF('(2).Midterm Daily'!AH84="Stop","Stop",IF(B84="","",IF(COUNTA(D84:M84)&lt;10,"Incomplete",""))))</f>
        <v/>
      </c>
    </row>
    <row r="85" spans="1:14" ht="15.95" customHeight="1">
      <c r="A85" s="66">
        <v>7</v>
      </c>
      <c r="B85" s="63" t="str">
        <f>IF('(2).Midterm Daily'!B85="","",'(2).Midterm Daily'!B85)</f>
        <v/>
      </c>
      <c r="C85" s="67" t="str">
        <f>IF('(2).Midterm Daily'!C85="","",'(2).Midterm Daily'!C85)</f>
        <v/>
      </c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50" t="str">
        <f>IF('(2).Midterm Daily'!AH85="Change","Change",IF('(2).Midterm Daily'!AH85="Stop","Stop",IF(B85="","",IF(COUNTA(D85:M85)&lt;10,"Incomplete",""))))</f>
        <v/>
      </c>
    </row>
    <row r="86" spans="1:14" ht="15.95" customHeight="1">
      <c r="A86" s="66">
        <v>8</v>
      </c>
      <c r="B86" s="63" t="str">
        <f>IF('(2).Midterm Daily'!B86="","",'(2).Midterm Daily'!B86)</f>
        <v/>
      </c>
      <c r="C86" s="67" t="str">
        <f>IF('(2).Midterm Daily'!C86="","",'(2).Midterm Daily'!C86)</f>
        <v/>
      </c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50" t="str">
        <f>IF('(2).Midterm Daily'!AH86="Change","Change",IF('(2).Midterm Daily'!AH86="Stop","Stop",IF(B86="","",IF(COUNTA(D86:M86)&lt;10,"Incomplete",""))))</f>
        <v/>
      </c>
    </row>
    <row r="87" spans="1:14" ht="15.95" customHeight="1">
      <c r="A87" s="66">
        <v>9</v>
      </c>
      <c r="B87" s="63" t="str">
        <f>IF('(2).Midterm Daily'!B87="","",'(2).Midterm Daily'!B87)</f>
        <v/>
      </c>
      <c r="C87" s="67" t="str">
        <f>IF('(2).Midterm Daily'!C87="","",'(2).Midterm Daily'!C87)</f>
        <v/>
      </c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50" t="str">
        <f>IF('(2).Midterm Daily'!AH87="Change","Change",IF('(2).Midterm Daily'!AH87="Stop","Stop",IF(B87="","",IF(COUNTA(D87:M87)&lt;10,"Incomplete",""))))</f>
        <v/>
      </c>
    </row>
    <row r="88" spans="1:14" ht="15.95" customHeight="1">
      <c r="A88" s="66">
        <v>10</v>
      </c>
      <c r="B88" s="63" t="str">
        <f>IF('(2).Midterm Daily'!B88="","",'(2).Midterm Daily'!B88)</f>
        <v/>
      </c>
      <c r="C88" s="67" t="str">
        <f>IF('(2).Midterm Daily'!C88="","",'(2).Midterm Daily'!C88)</f>
        <v/>
      </c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50" t="str">
        <f>IF('(2).Midterm Daily'!AH88="Change","Change",IF('(2).Midterm Daily'!AH88="Stop","Stop",IF(B88="","",IF(COUNTA(D88:M88)&lt;10,"Incomplete",""))))</f>
        <v/>
      </c>
    </row>
    <row r="89" spans="1:14" ht="15.95" customHeight="1">
      <c r="A89" s="66">
        <v>11</v>
      </c>
      <c r="B89" s="63" t="str">
        <f>IF('(2).Midterm Daily'!B89="","",'(2).Midterm Daily'!B89)</f>
        <v/>
      </c>
      <c r="C89" s="67" t="str">
        <f>IF('(2).Midterm Daily'!C89="","",'(2).Midterm Daily'!C89)</f>
        <v/>
      </c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50" t="str">
        <f>IF('(2).Midterm Daily'!AH89="Change","Change",IF('(2).Midterm Daily'!AH89="Stop","Stop",IF(B89="","",IF(COUNTA(D89:M89)&lt;10,"Incomplete",""))))</f>
        <v/>
      </c>
    </row>
    <row r="90" spans="1:14" ht="15.95" customHeight="1">
      <c r="A90" s="66">
        <v>12</v>
      </c>
      <c r="B90" s="63" t="str">
        <f>IF('(2).Midterm Daily'!B90="","",'(2).Midterm Daily'!B90)</f>
        <v/>
      </c>
      <c r="C90" s="67" t="str">
        <f>IF('(2).Midterm Daily'!C90="","",'(2).Midterm Daily'!C90)</f>
        <v/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50" t="str">
        <f>IF('(2).Midterm Daily'!AH90="Change","Change",IF('(2).Midterm Daily'!AH90="Stop","Stop",IF(B90="","",IF(COUNTA(D90:M90)&lt;10,"Incomplete",""))))</f>
        <v/>
      </c>
    </row>
    <row r="91" spans="1:14" ht="15.95" customHeight="1">
      <c r="A91" s="66">
        <v>13</v>
      </c>
      <c r="B91" s="63" t="str">
        <f>IF('(2).Midterm Daily'!B91="","",'(2).Midterm Daily'!B91)</f>
        <v/>
      </c>
      <c r="C91" s="67" t="str">
        <f>IF('(2).Midterm Daily'!C91="","",'(2).Midterm Daily'!C91)</f>
        <v/>
      </c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50" t="str">
        <f>IF('(2).Midterm Daily'!AH91="Change","Change",IF('(2).Midterm Daily'!AH91="Stop","Stop",IF(B91="","",IF(COUNTA(D91:M91)&lt;10,"Incomplete",""))))</f>
        <v/>
      </c>
    </row>
    <row r="92" spans="1:14" ht="15.95" customHeight="1">
      <c r="A92" s="66">
        <v>14</v>
      </c>
      <c r="B92" s="63" t="str">
        <f>IF('(2).Midterm Daily'!B92="","",'(2).Midterm Daily'!B92)</f>
        <v/>
      </c>
      <c r="C92" s="67" t="str">
        <f>IF('(2).Midterm Daily'!C92="","",'(2).Midterm Daily'!C92)</f>
        <v/>
      </c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50" t="str">
        <f>IF('(2).Midterm Daily'!AH92="Change","Change",IF('(2).Midterm Daily'!AH92="Stop","Stop",IF(B92="","",IF(COUNTA(D92:M92)&lt;10,"Incomplete",""))))</f>
        <v/>
      </c>
    </row>
    <row r="93" spans="1:14" ht="15.95" customHeight="1">
      <c r="A93" s="66">
        <v>15</v>
      </c>
      <c r="B93" s="63" t="str">
        <f>IF('(2).Midterm Daily'!B93="","",'(2).Midterm Daily'!B93)</f>
        <v/>
      </c>
      <c r="C93" s="67" t="str">
        <f>IF('(2).Midterm Daily'!C93="","",'(2).Midterm Daily'!C93)</f>
        <v/>
      </c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50" t="str">
        <f>IF('(2).Midterm Daily'!AH93="Change","Change",IF('(2).Midterm Daily'!AH93="Stop","Stop",IF(B93="","",IF(COUNTA(D93:M93)&lt;10,"Incomplete",""))))</f>
        <v/>
      </c>
    </row>
    <row r="94" spans="1:14" ht="15.95" customHeight="1">
      <c r="A94" s="66">
        <v>16</v>
      </c>
      <c r="B94" s="63" t="str">
        <f>IF('(2).Midterm Daily'!B94="","",'(2).Midterm Daily'!B94)</f>
        <v/>
      </c>
      <c r="C94" s="67" t="str">
        <f>IF('(2).Midterm Daily'!C94="","",'(2).Midterm Daily'!C94)</f>
        <v/>
      </c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50" t="str">
        <f>IF('(2).Midterm Daily'!AH94="Change","Change",IF('(2).Midterm Daily'!AH94="Stop","Stop",IF(B94="","",IF(COUNTA(D94:M94)&lt;10,"Incomplete",""))))</f>
        <v/>
      </c>
    </row>
    <row r="95" spans="1:14" ht="15.95" customHeight="1">
      <c r="A95" s="66">
        <v>17</v>
      </c>
      <c r="B95" s="63" t="str">
        <f>IF('(2).Midterm Daily'!B95="","",'(2).Midterm Daily'!B95)</f>
        <v/>
      </c>
      <c r="C95" s="67" t="str">
        <f>IF('(2).Midterm Daily'!C95="","",'(2).Midterm Daily'!C95)</f>
        <v/>
      </c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50" t="str">
        <f>IF('(2).Midterm Daily'!AH95="Change","Change",IF('(2).Midterm Daily'!AH95="Stop","Stop",IF(B95="","",IF(COUNTA(D95:M95)&lt;10,"Incomplete",""))))</f>
        <v/>
      </c>
    </row>
    <row r="96" spans="1:14" ht="15.95" customHeight="1">
      <c r="A96" s="66">
        <v>18</v>
      </c>
      <c r="B96" s="63" t="str">
        <f>IF('(2).Midterm Daily'!B96="","",'(2).Midterm Daily'!B96)</f>
        <v/>
      </c>
      <c r="C96" s="67" t="str">
        <f>IF('(2).Midterm Daily'!C96="","",'(2).Midterm Daily'!C96)</f>
        <v/>
      </c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50" t="str">
        <f>IF('(2).Midterm Daily'!AH96="Change","Change",IF('(2).Midterm Daily'!AH96="Stop","Stop",IF(B96="","",IF(COUNTA(D96:M96)&lt;10,"Incomplete",""))))</f>
        <v/>
      </c>
    </row>
    <row r="97" spans="1:14" ht="15.95" customHeight="1">
      <c r="A97" s="66">
        <v>19</v>
      </c>
      <c r="B97" s="63" t="str">
        <f>IF('(2).Midterm Daily'!B97="","",'(2).Midterm Daily'!B97)</f>
        <v/>
      </c>
      <c r="C97" s="67" t="str">
        <f>IF('(2).Midterm Daily'!C97="","",'(2).Midterm Daily'!C97)</f>
        <v/>
      </c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50" t="str">
        <f>IF('(2).Midterm Daily'!AH97="Change","Change",IF('(2).Midterm Daily'!AH97="Stop","Stop",IF(B97="","",IF(COUNTA(D97:M97)&lt;10,"Incomplete",""))))</f>
        <v/>
      </c>
    </row>
    <row r="98" spans="1:14" ht="15.95" customHeight="1">
      <c r="A98" s="66">
        <v>20</v>
      </c>
      <c r="B98" s="63" t="str">
        <f>IF('(2).Midterm Daily'!B98="","",'(2).Midterm Daily'!B98)</f>
        <v/>
      </c>
      <c r="C98" s="67" t="str">
        <f>IF('(2).Midterm Daily'!C98="","",'(2).Midterm Daily'!C98)</f>
        <v/>
      </c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50" t="str">
        <f>IF('(2).Midterm Daily'!AH98="Change","Change",IF('(2).Midterm Daily'!AH98="Stop","Stop",IF(B98="","",IF(COUNTA(D98:M98)&lt;10,"Incomplete",""))))</f>
        <v/>
      </c>
    </row>
    <row r="99" spans="1:14" ht="15.95" customHeight="1">
      <c r="A99" s="66">
        <v>21</v>
      </c>
      <c r="B99" s="63" t="str">
        <f>IF('(2).Midterm Daily'!B99="","",'(2).Midterm Daily'!B99)</f>
        <v/>
      </c>
      <c r="C99" s="67" t="str">
        <f>IF('(2).Midterm Daily'!C99="","",'(2).Midterm Daily'!C99)</f>
        <v/>
      </c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50" t="str">
        <f>IF('(2).Midterm Daily'!AH99="Change","Change",IF('(2).Midterm Daily'!AH99="Stop","Stop",IF(B99="","",IF(COUNTA(D99:M99)&lt;10,"Incomplete",""))))</f>
        <v/>
      </c>
    </row>
    <row r="100" spans="1:14" ht="15.95" customHeight="1">
      <c r="A100" s="66">
        <v>22</v>
      </c>
      <c r="B100" s="63" t="str">
        <f>IF('(2).Midterm Daily'!B100="","",'(2).Midterm Daily'!B100)</f>
        <v/>
      </c>
      <c r="C100" s="67" t="str">
        <f>IF('(2).Midterm Daily'!C100="","",'(2).Midterm Daily'!C100)</f>
        <v/>
      </c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50" t="str">
        <f>IF('(2).Midterm Daily'!AH100="Change","Change",IF('(2).Midterm Daily'!AH100="Stop","Stop",IF(B100="","",IF(COUNTA(D100:M100)&lt;10,"Incomplete",""))))</f>
        <v/>
      </c>
    </row>
    <row r="101" spans="1:14" ht="15.95" customHeight="1">
      <c r="A101" s="66">
        <v>23</v>
      </c>
      <c r="B101" s="63" t="str">
        <f>IF('(2).Midterm Daily'!B101="","",'(2).Midterm Daily'!B101)</f>
        <v/>
      </c>
      <c r="C101" s="67" t="str">
        <f>IF('(2).Midterm Daily'!C101="","",'(2).Midterm Daily'!C101)</f>
        <v/>
      </c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50" t="str">
        <f>IF('(2).Midterm Daily'!AH101="Change","Change",IF('(2).Midterm Daily'!AH101="Stop","Stop",IF(B101="","",IF(COUNTA(D101:M101)&lt;10,"Incomplete",""))))</f>
        <v/>
      </c>
    </row>
    <row r="102" spans="1:14" ht="15.95" customHeight="1">
      <c r="A102" s="66">
        <v>24</v>
      </c>
      <c r="B102" s="63" t="str">
        <f>IF('(2).Midterm Daily'!B102="","",'(2).Midterm Daily'!B102)</f>
        <v/>
      </c>
      <c r="C102" s="67" t="str">
        <f>IF('(2).Midterm Daily'!C102="","",'(2).Midterm Daily'!C102)</f>
        <v/>
      </c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50" t="str">
        <f>IF('(2).Midterm Daily'!AH102="Change","Change",IF('(2).Midterm Daily'!AH102="Stop","Stop",IF(B102="","",IF(COUNTA(D102:M102)&lt;10,"Incomplete",""))))</f>
        <v/>
      </c>
    </row>
    <row r="103" spans="1:14" ht="15.95" customHeight="1">
      <c r="A103" s="66">
        <v>25</v>
      </c>
      <c r="B103" s="63" t="str">
        <f>IF('(2).Midterm Daily'!B103="","",'(2).Midterm Daily'!B103)</f>
        <v/>
      </c>
      <c r="C103" s="67" t="str">
        <f>IF('(2).Midterm Daily'!C103="","",'(2).Midterm Daily'!C103)</f>
        <v/>
      </c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50" t="str">
        <f>IF('(2).Midterm Daily'!AH103="Change","Change",IF('(2).Midterm Daily'!AH103="Stop","Stop",IF(B103="","",IF(COUNTA(D103:M103)&lt;10,"Incomplete",""))))</f>
        <v/>
      </c>
    </row>
    <row r="104" spans="1:14" ht="15.95" customHeight="1">
      <c r="A104" s="66">
        <v>26</v>
      </c>
      <c r="B104" s="63" t="str">
        <f>IF('(2).Midterm Daily'!B104="","",'(2).Midterm Daily'!B104)</f>
        <v/>
      </c>
      <c r="C104" s="67" t="str">
        <f>IF('(2).Midterm Daily'!C104="","",'(2).Midterm Daily'!C104)</f>
        <v/>
      </c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50" t="str">
        <f>IF('(2).Midterm Daily'!AH104="Change","Change",IF('(2).Midterm Daily'!AH104="Stop","Stop",IF(B104="","",IF(COUNTA(D104:M104)&lt;10,"Incomplete",""))))</f>
        <v/>
      </c>
    </row>
    <row r="105" spans="1:14" ht="15.95" customHeight="1">
      <c r="A105" s="66">
        <v>27</v>
      </c>
      <c r="B105" s="63" t="str">
        <f>IF('(2).Midterm Daily'!B105="","",'(2).Midterm Daily'!B105)</f>
        <v/>
      </c>
      <c r="C105" s="67" t="str">
        <f>IF('(2).Midterm Daily'!C105="","",'(2).Midterm Daily'!C105)</f>
        <v/>
      </c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50" t="str">
        <f>IF('(2).Midterm Daily'!AH105="Change","Change",IF('(2).Midterm Daily'!AH105="Stop","Stop",IF(B105="","",IF(COUNTA(D105:M105)&lt;10,"Incomplete",""))))</f>
        <v/>
      </c>
    </row>
    <row r="106" spans="1:14" ht="15.95" customHeight="1">
      <c r="A106" s="66">
        <v>28</v>
      </c>
      <c r="B106" s="63" t="str">
        <f>IF('(2).Midterm Daily'!B106="","",'(2).Midterm Daily'!B106)</f>
        <v/>
      </c>
      <c r="C106" s="67" t="str">
        <f>IF('(2).Midterm Daily'!C106="","",'(2).Midterm Daily'!C106)</f>
        <v/>
      </c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50" t="str">
        <f>IF('(2).Midterm Daily'!AH106="Change","Change",IF('(2).Midterm Daily'!AH106="Stop","Stop",IF(B106="","",IF(COUNTA(D106:M106)&lt;10,"Incomplete",""))))</f>
        <v/>
      </c>
    </row>
    <row r="107" spans="1:14" ht="15.95" customHeight="1">
      <c r="A107" s="66">
        <v>29</v>
      </c>
      <c r="B107" s="63" t="str">
        <f>IF('(2).Midterm Daily'!B107="","",'(2).Midterm Daily'!B107)</f>
        <v/>
      </c>
      <c r="C107" s="67" t="str">
        <f>IF('(2).Midterm Daily'!C107="","",'(2).Midterm Daily'!C107)</f>
        <v/>
      </c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50" t="str">
        <f>IF('(2).Midterm Daily'!AH107="Change","Change",IF('(2).Midterm Daily'!AH107="Stop","Stop",IF(B107="","",IF(COUNTA(D107:M107)&lt;10,"Incomplete",""))))</f>
        <v/>
      </c>
    </row>
    <row r="108" spans="1:14" ht="15.95" customHeight="1">
      <c r="A108" s="66">
        <v>30</v>
      </c>
      <c r="B108" s="63" t="str">
        <f>IF('(2).Midterm Daily'!B108="","",'(2).Midterm Daily'!B108)</f>
        <v/>
      </c>
      <c r="C108" s="67" t="str">
        <f>IF('(2).Midterm Daily'!C108="","",'(2).Midterm Daily'!C108)</f>
        <v/>
      </c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50" t="str">
        <f>IF('(2).Midterm Daily'!AH108="Change","Change",IF('(2).Midterm Daily'!AH108="Stop","Stop",IF(B108="","",IF(COUNTA(D108:M108)&lt;10,"Incomplete",""))))</f>
        <v/>
      </c>
    </row>
    <row r="109" spans="1:14" ht="15.95" customHeight="1">
      <c r="A109" s="18" t="s">
        <v>0</v>
      </c>
      <c r="B109" s="19">
        <f>'(2).Midterm Daily'!B109</f>
        <v>0</v>
      </c>
      <c r="C109" s="60"/>
      <c r="D109" s="222" t="s">
        <v>118</v>
      </c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</row>
    <row r="110" spans="1:14" ht="15.95" customHeight="1">
      <c r="A110" s="18" t="s">
        <v>1</v>
      </c>
      <c r="B110" s="19">
        <f>'(2).Midterm Daily'!B110</f>
        <v>0</v>
      </c>
      <c r="C110" s="60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</row>
    <row r="111" spans="1:14" ht="15.95" customHeight="1">
      <c r="A111" s="18" t="s">
        <v>2</v>
      </c>
      <c r="B111" s="19">
        <f>'(2).Midterm Daily'!B111</f>
        <v>0</v>
      </c>
      <c r="C111" s="60"/>
      <c r="D111" s="223" t="str">
        <f>'(2).Midterm Daily'!D111</f>
        <v>FEBRUARY - JULY 2026</v>
      </c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</row>
    <row r="112" spans="1:14" ht="15.95" customHeight="1">
      <c r="A112" s="18" t="s">
        <v>3</v>
      </c>
      <c r="B112" s="19">
        <f>'(2).Midterm Daily'!B112</f>
        <v>0</v>
      </c>
      <c r="C112" s="60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</row>
    <row r="113" spans="1:14" ht="15.95" customHeight="1">
      <c r="A113" s="18" t="s">
        <v>4</v>
      </c>
      <c r="B113" s="19">
        <f>'(2).Midterm Daily'!B113</f>
        <v>0</v>
      </c>
      <c r="C113" s="61"/>
      <c r="D113" s="112" t="str">
        <f>IF(OR($B110="K5",$B110="K6",$B110="K7",$B110="K8",$B110="K9",$B110="K10"),"Listening","Up-Low C")</f>
        <v>Up-Low C</v>
      </c>
      <c r="E113" s="112" t="str">
        <f>IF(OR($B110="K5",$B110="K6",$B110="K7",$B110="K8",$B110="K9",$B110="K10"),"Speaking","Alphabet N")</f>
        <v>Alphabet N</v>
      </c>
      <c r="F113" s="112" t="str">
        <f>IF(OR($B110="K5",$B110="K6",$B110="K7",$B110="K8",$B110="K9",$B110="K10"),"Reading","Alphabet S")</f>
        <v>Alphabet S</v>
      </c>
      <c r="G113" s="112" t="str">
        <f>IF(OR($B110="K5",$B110="K6",$B110="K7",$B110="K8",$B110="K9",$B110="K10"),"Writing","Vocabulary")</f>
        <v>Vocabulary</v>
      </c>
      <c r="H113" s="112" t="str">
        <f>IF(OR($B110="K5",$B110="K6",$B110="K7",$B110="K8",$B110="K9",$B110="K10"),"Grammar","Sprouts")</f>
        <v>Sprouts</v>
      </c>
      <c r="I113" s="112" t="str">
        <f>IF(OR($B110="K5",$B110="K6",$B110="K7",$B110="K8",$B110="K9",$B110="K10"),"Vocabulary","Phonics")</f>
        <v>Phonics</v>
      </c>
      <c r="J113" s="112" t="str">
        <f>IF(OR($B110="K5",$B110="K6",$B110="K7",$B110="K8",$B110="K9",$B110="K10"),"Roots","Math")</f>
        <v>Math</v>
      </c>
      <c r="K113" s="112" t="str">
        <f>IF(OR($B110="K5",$B110="K6",$B110="K7",$B110="K8",$B110="K9",$B110="K10"),"Phonics","Shape")</f>
        <v>Shape</v>
      </c>
      <c r="L113" s="112" t="str">
        <f>IF(OR($B110="K5",$B110="K6",$B110="K7",$B110="K8",$B110="K9",$B110="K10"),"Math","Science")</f>
        <v>Science</v>
      </c>
      <c r="M113" s="112" t="str">
        <f>IF(OR($B110="K5",$B110="K6",$B110="K7",$B110="K8",$B110="K9",$B110="K10"),"Science","Tracing")</f>
        <v>Tracing</v>
      </c>
      <c r="N113" s="90" t="s">
        <v>12</v>
      </c>
    </row>
    <row r="114" spans="1:14" ht="15.95" customHeight="1" thickBot="1">
      <c r="A114" s="80" t="s">
        <v>5</v>
      </c>
      <c r="B114" s="74" t="s">
        <v>6</v>
      </c>
      <c r="C114" s="81" t="s">
        <v>7</v>
      </c>
      <c r="D114" s="113" t="s">
        <v>9</v>
      </c>
      <c r="E114" s="113" t="s">
        <v>9</v>
      </c>
      <c r="F114" s="113" t="s">
        <v>9</v>
      </c>
      <c r="G114" s="113" t="s">
        <v>9</v>
      </c>
      <c r="H114" s="113" t="s">
        <v>9</v>
      </c>
      <c r="I114" s="113" t="s">
        <v>9</v>
      </c>
      <c r="J114" s="113" t="s">
        <v>9</v>
      </c>
      <c r="K114" s="113" t="s">
        <v>9</v>
      </c>
      <c r="L114" s="113" t="s">
        <v>9</v>
      </c>
      <c r="M114" s="113" t="s">
        <v>9</v>
      </c>
      <c r="N114" s="77" t="s">
        <v>13</v>
      </c>
    </row>
    <row r="115" spans="1:14" ht="15.95" customHeight="1">
      <c r="A115" s="78">
        <v>1</v>
      </c>
      <c r="B115" s="68" t="str">
        <f>IF('(2).Midterm Daily'!B115="","",'(2).Midterm Daily'!B115)</f>
        <v/>
      </c>
      <c r="C115" s="79" t="str">
        <f>IF('(2).Midterm Daily'!C115="","",'(2).Midterm Daily'!C115)</f>
        <v/>
      </c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89" t="str">
        <f>IF('(2).Midterm Daily'!AH115="Change","Change",IF('(2).Midterm Daily'!AH115="Stop","Stop",IF(B115="","",IF(COUNTA(D115:M115)&lt;10,"Incomplete",""))))</f>
        <v/>
      </c>
    </row>
    <row r="116" spans="1:14" ht="15.95" customHeight="1">
      <c r="A116" s="66">
        <v>2</v>
      </c>
      <c r="B116" s="63" t="str">
        <f>IF('(2).Midterm Daily'!B116="","",'(2).Midterm Daily'!B116)</f>
        <v/>
      </c>
      <c r="C116" s="67" t="str">
        <f>IF('(2).Midterm Daily'!C116="","",'(2).Midterm Daily'!C116)</f>
        <v/>
      </c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50" t="str">
        <f>IF('(2).Midterm Daily'!AH116="Change","Change",IF('(2).Midterm Daily'!AH116="Stop","Stop",IF(B116="","",IF(COUNTA(D116:M116)&lt;10,"Incomplete",""))))</f>
        <v/>
      </c>
    </row>
    <row r="117" spans="1:14" ht="15.95" customHeight="1">
      <c r="A117" s="66">
        <v>3</v>
      </c>
      <c r="B117" s="63" t="str">
        <f>IF('(2).Midterm Daily'!B117="","",'(2).Midterm Daily'!B117)</f>
        <v/>
      </c>
      <c r="C117" s="67" t="str">
        <f>IF('(2).Midterm Daily'!C117="","",'(2).Midterm Daily'!C117)</f>
        <v/>
      </c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50" t="str">
        <f>IF('(2).Midterm Daily'!AH117="Change","Change",IF('(2).Midterm Daily'!AH117="Stop","Stop",IF(B117="","",IF(COUNTA(D117:M117)&lt;10,"Incomplete",""))))</f>
        <v/>
      </c>
    </row>
    <row r="118" spans="1:14" ht="15.95" customHeight="1">
      <c r="A118" s="66">
        <v>4</v>
      </c>
      <c r="B118" s="63" t="str">
        <f>IF('(2).Midterm Daily'!B118="","",'(2).Midterm Daily'!B118)</f>
        <v/>
      </c>
      <c r="C118" s="67" t="str">
        <f>IF('(2).Midterm Daily'!C118="","",'(2).Midterm Daily'!C118)</f>
        <v/>
      </c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50" t="str">
        <f>IF('(2).Midterm Daily'!AH118="Change","Change",IF('(2).Midterm Daily'!AH118="Stop","Stop",IF(B118="","",IF(COUNTA(D118:M118)&lt;10,"Incomplete",""))))</f>
        <v/>
      </c>
    </row>
    <row r="119" spans="1:14" ht="15.95" customHeight="1">
      <c r="A119" s="66">
        <v>5</v>
      </c>
      <c r="B119" s="63" t="str">
        <f>IF('(2).Midterm Daily'!B119="","",'(2).Midterm Daily'!B119)</f>
        <v/>
      </c>
      <c r="C119" s="67" t="str">
        <f>IF('(2).Midterm Daily'!C119="","",'(2).Midterm Daily'!C119)</f>
        <v/>
      </c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50" t="str">
        <f>IF('(2).Midterm Daily'!AH119="Change","Change",IF('(2).Midterm Daily'!AH119="Stop","Stop",IF(B119="","",IF(COUNTA(D119:M119)&lt;10,"Incomplete",""))))</f>
        <v/>
      </c>
    </row>
    <row r="120" spans="1:14" ht="15.95" customHeight="1">
      <c r="A120" s="66">
        <v>6</v>
      </c>
      <c r="B120" s="63" t="str">
        <f>IF('(2).Midterm Daily'!B120="","",'(2).Midterm Daily'!B120)</f>
        <v/>
      </c>
      <c r="C120" s="67" t="str">
        <f>IF('(2).Midterm Daily'!C120="","",'(2).Midterm Daily'!C120)</f>
        <v/>
      </c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50" t="str">
        <f>IF('(2).Midterm Daily'!AH120="Change","Change",IF('(2).Midterm Daily'!AH120="Stop","Stop",IF(B120="","",IF(COUNTA(D120:M120)&lt;10,"Incomplete",""))))</f>
        <v/>
      </c>
    </row>
    <row r="121" spans="1:14" ht="15.95" customHeight="1">
      <c r="A121" s="66">
        <v>7</v>
      </c>
      <c r="B121" s="63" t="str">
        <f>IF('(2).Midterm Daily'!B121="","",'(2).Midterm Daily'!B121)</f>
        <v/>
      </c>
      <c r="C121" s="67" t="str">
        <f>IF('(2).Midterm Daily'!C121="","",'(2).Midterm Daily'!C121)</f>
        <v/>
      </c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50" t="str">
        <f>IF('(2).Midterm Daily'!AH121="Change","Change",IF('(2).Midterm Daily'!AH121="Stop","Stop",IF(B121="","",IF(COUNTA(D121:M121)&lt;10,"Incomplete",""))))</f>
        <v/>
      </c>
    </row>
    <row r="122" spans="1:14" ht="15.95" customHeight="1">
      <c r="A122" s="66">
        <v>8</v>
      </c>
      <c r="B122" s="63" t="str">
        <f>IF('(2).Midterm Daily'!B122="","",'(2).Midterm Daily'!B122)</f>
        <v/>
      </c>
      <c r="C122" s="67" t="str">
        <f>IF('(2).Midterm Daily'!C122="","",'(2).Midterm Daily'!C122)</f>
        <v/>
      </c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50" t="str">
        <f>IF('(2).Midterm Daily'!AH122="Change","Change",IF('(2).Midterm Daily'!AH122="Stop","Stop",IF(B122="","",IF(COUNTA(D122:M122)&lt;10,"Incomplete",""))))</f>
        <v/>
      </c>
    </row>
    <row r="123" spans="1:14" ht="15.95" customHeight="1">
      <c r="A123" s="66">
        <v>9</v>
      </c>
      <c r="B123" s="63" t="str">
        <f>IF('(2).Midterm Daily'!B123="","",'(2).Midterm Daily'!B123)</f>
        <v/>
      </c>
      <c r="C123" s="67" t="str">
        <f>IF('(2).Midterm Daily'!C123="","",'(2).Midterm Daily'!C123)</f>
        <v/>
      </c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50" t="str">
        <f>IF('(2).Midterm Daily'!AH123="Change","Change",IF('(2).Midterm Daily'!AH123="Stop","Stop",IF(B123="","",IF(COUNTA(D123:M123)&lt;10,"Incomplete",""))))</f>
        <v/>
      </c>
    </row>
    <row r="124" spans="1:14" ht="15.95" customHeight="1">
      <c r="A124" s="66">
        <v>10</v>
      </c>
      <c r="B124" s="63" t="str">
        <f>IF('(2).Midterm Daily'!B124="","",'(2).Midterm Daily'!B124)</f>
        <v/>
      </c>
      <c r="C124" s="67" t="str">
        <f>IF('(2).Midterm Daily'!C124="","",'(2).Midterm Daily'!C124)</f>
        <v/>
      </c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50" t="str">
        <f>IF('(2).Midterm Daily'!AH124="Change","Change",IF('(2).Midterm Daily'!AH124="Stop","Stop",IF(B124="","",IF(COUNTA(D124:M124)&lt;10,"Incomplete",""))))</f>
        <v/>
      </c>
    </row>
    <row r="125" spans="1:14" ht="15.95" customHeight="1">
      <c r="A125" s="66">
        <v>11</v>
      </c>
      <c r="B125" s="63" t="str">
        <f>IF('(2).Midterm Daily'!B125="","",'(2).Midterm Daily'!B125)</f>
        <v/>
      </c>
      <c r="C125" s="67" t="str">
        <f>IF('(2).Midterm Daily'!C125="","",'(2).Midterm Daily'!C125)</f>
        <v/>
      </c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50" t="str">
        <f>IF('(2).Midterm Daily'!AH125="Change","Change",IF('(2).Midterm Daily'!AH125="Stop","Stop",IF(B125="","",IF(COUNTA(D125:M125)&lt;10,"Incomplete",""))))</f>
        <v/>
      </c>
    </row>
    <row r="126" spans="1:14" ht="15.95" customHeight="1">
      <c r="A126" s="66">
        <v>12</v>
      </c>
      <c r="B126" s="63" t="str">
        <f>IF('(2).Midterm Daily'!B126="","",'(2).Midterm Daily'!B126)</f>
        <v/>
      </c>
      <c r="C126" s="67" t="str">
        <f>IF('(2).Midterm Daily'!C126="","",'(2).Midterm Daily'!C126)</f>
        <v/>
      </c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50" t="str">
        <f>IF('(2).Midterm Daily'!AH126="Change","Change",IF('(2).Midterm Daily'!AH126="Stop","Stop",IF(B126="","",IF(COUNTA(D126:M126)&lt;10,"Incomplete",""))))</f>
        <v/>
      </c>
    </row>
    <row r="127" spans="1:14" ht="15.95" customHeight="1">
      <c r="A127" s="66">
        <v>13</v>
      </c>
      <c r="B127" s="63" t="str">
        <f>IF('(2).Midterm Daily'!B127="","",'(2).Midterm Daily'!B127)</f>
        <v/>
      </c>
      <c r="C127" s="67" t="str">
        <f>IF('(2).Midterm Daily'!C127="","",'(2).Midterm Daily'!C127)</f>
        <v/>
      </c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50" t="str">
        <f>IF('(2).Midterm Daily'!AH127="Change","Change",IF('(2).Midterm Daily'!AH127="Stop","Stop",IF(B127="","",IF(COUNTA(D127:M127)&lt;10,"Incomplete",""))))</f>
        <v/>
      </c>
    </row>
    <row r="128" spans="1:14" ht="15.95" customHeight="1">
      <c r="A128" s="66">
        <v>14</v>
      </c>
      <c r="B128" s="63" t="str">
        <f>IF('(2).Midterm Daily'!B128="","",'(2).Midterm Daily'!B128)</f>
        <v/>
      </c>
      <c r="C128" s="67" t="str">
        <f>IF('(2).Midterm Daily'!C128="","",'(2).Midterm Daily'!C128)</f>
        <v/>
      </c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50" t="str">
        <f>IF('(2).Midterm Daily'!AH128="Change","Change",IF('(2).Midterm Daily'!AH128="Stop","Stop",IF(B128="","",IF(COUNTA(D128:M128)&lt;10,"Incomplete",""))))</f>
        <v/>
      </c>
    </row>
    <row r="129" spans="1:14" ht="15.95" customHeight="1">
      <c r="A129" s="66">
        <v>15</v>
      </c>
      <c r="B129" s="63" t="str">
        <f>IF('(2).Midterm Daily'!B129="","",'(2).Midterm Daily'!B129)</f>
        <v/>
      </c>
      <c r="C129" s="67" t="str">
        <f>IF('(2).Midterm Daily'!C129="","",'(2).Midterm Daily'!C129)</f>
        <v/>
      </c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50" t="str">
        <f>IF('(2).Midterm Daily'!AH129="Change","Change",IF('(2).Midterm Daily'!AH129="Stop","Stop",IF(B129="","",IF(COUNTA(D129:M129)&lt;10,"Incomplete",""))))</f>
        <v/>
      </c>
    </row>
    <row r="130" spans="1:14" ht="15.95" customHeight="1">
      <c r="A130" s="66">
        <v>16</v>
      </c>
      <c r="B130" s="63" t="str">
        <f>IF('(2).Midterm Daily'!B130="","",'(2).Midterm Daily'!B130)</f>
        <v/>
      </c>
      <c r="C130" s="67" t="str">
        <f>IF('(2).Midterm Daily'!C130="","",'(2).Midterm Daily'!C130)</f>
        <v/>
      </c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50" t="str">
        <f>IF('(2).Midterm Daily'!AH130="Change","Change",IF('(2).Midterm Daily'!AH130="Stop","Stop",IF(B130="","",IF(COUNTA(D130:M130)&lt;10,"Incomplete",""))))</f>
        <v/>
      </c>
    </row>
    <row r="131" spans="1:14" ht="15.95" customHeight="1">
      <c r="A131" s="66">
        <v>17</v>
      </c>
      <c r="B131" s="63" t="str">
        <f>IF('(2).Midterm Daily'!B131="","",'(2).Midterm Daily'!B131)</f>
        <v/>
      </c>
      <c r="C131" s="67" t="str">
        <f>IF('(2).Midterm Daily'!C131="","",'(2).Midterm Daily'!C131)</f>
        <v/>
      </c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50" t="str">
        <f>IF('(2).Midterm Daily'!AH131="Change","Change",IF('(2).Midterm Daily'!AH131="Stop","Stop",IF(B131="","",IF(COUNTA(D131:M131)&lt;10,"Incomplete",""))))</f>
        <v/>
      </c>
    </row>
    <row r="132" spans="1:14" ht="15.95" customHeight="1">
      <c r="A132" s="66">
        <v>18</v>
      </c>
      <c r="B132" s="63" t="str">
        <f>IF('(2).Midterm Daily'!B132="","",'(2).Midterm Daily'!B132)</f>
        <v/>
      </c>
      <c r="C132" s="67" t="str">
        <f>IF('(2).Midterm Daily'!C132="","",'(2).Midterm Daily'!C132)</f>
        <v/>
      </c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50" t="str">
        <f>IF('(2).Midterm Daily'!AH132="Change","Change",IF('(2).Midterm Daily'!AH132="Stop","Stop",IF(B132="","",IF(COUNTA(D132:M132)&lt;10,"Incomplete",""))))</f>
        <v/>
      </c>
    </row>
    <row r="133" spans="1:14" ht="15.95" customHeight="1">
      <c r="A133" s="66">
        <v>19</v>
      </c>
      <c r="B133" s="63" t="str">
        <f>IF('(2).Midterm Daily'!B133="","",'(2).Midterm Daily'!B133)</f>
        <v/>
      </c>
      <c r="C133" s="67" t="str">
        <f>IF('(2).Midterm Daily'!C133="","",'(2).Midterm Daily'!C133)</f>
        <v/>
      </c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50" t="str">
        <f>IF('(2).Midterm Daily'!AH133="Change","Change",IF('(2).Midterm Daily'!AH133="Stop","Stop",IF(B133="","",IF(COUNTA(D133:M133)&lt;10,"Incomplete",""))))</f>
        <v/>
      </c>
    </row>
    <row r="134" spans="1:14" ht="15.95" customHeight="1">
      <c r="A134" s="66">
        <v>20</v>
      </c>
      <c r="B134" s="63" t="str">
        <f>IF('(2).Midterm Daily'!B134="","",'(2).Midterm Daily'!B134)</f>
        <v/>
      </c>
      <c r="C134" s="67" t="str">
        <f>IF('(2).Midterm Daily'!C134="","",'(2).Midterm Daily'!C134)</f>
        <v/>
      </c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50" t="str">
        <f>IF('(2).Midterm Daily'!AH134="Change","Change",IF('(2).Midterm Daily'!AH134="Stop","Stop",IF(B134="","",IF(COUNTA(D134:M134)&lt;10,"Incomplete",""))))</f>
        <v/>
      </c>
    </row>
    <row r="135" spans="1:14" ht="15.95" customHeight="1">
      <c r="A135" s="66">
        <v>21</v>
      </c>
      <c r="B135" s="63" t="str">
        <f>IF('(2).Midterm Daily'!B135="","",'(2).Midterm Daily'!B135)</f>
        <v/>
      </c>
      <c r="C135" s="67" t="str">
        <f>IF('(2).Midterm Daily'!C135="","",'(2).Midterm Daily'!C135)</f>
        <v/>
      </c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50" t="str">
        <f>IF('(2).Midterm Daily'!AH135="Change","Change",IF('(2).Midterm Daily'!AH135="Stop","Stop",IF(B135="","",IF(COUNTA(D135:M135)&lt;10,"Incomplete",""))))</f>
        <v/>
      </c>
    </row>
    <row r="136" spans="1:14" ht="15.95" customHeight="1">
      <c r="A136" s="66">
        <v>22</v>
      </c>
      <c r="B136" s="63" t="str">
        <f>IF('(2).Midterm Daily'!B136="","",'(2).Midterm Daily'!B136)</f>
        <v/>
      </c>
      <c r="C136" s="67" t="str">
        <f>IF('(2).Midterm Daily'!C136="","",'(2).Midterm Daily'!C136)</f>
        <v/>
      </c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50" t="str">
        <f>IF('(2).Midterm Daily'!AH136="Change","Change",IF('(2).Midterm Daily'!AH136="Stop","Stop",IF(B136="","",IF(COUNTA(D136:M136)&lt;10,"Incomplete",""))))</f>
        <v/>
      </c>
    </row>
    <row r="137" spans="1:14" ht="15.95" customHeight="1">
      <c r="A137" s="66">
        <v>23</v>
      </c>
      <c r="B137" s="63" t="str">
        <f>IF('(2).Midterm Daily'!B137="","",'(2).Midterm Daily'!B137)</f>
        <v/>
      </c>
      <c r="C137" s="67" t="str">
        <f>IF('(2).Midterm Daily'!C137="","",'(2).Midterm Daily'!C137)</f>
        <v/>
      </c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50" t="str">
        <f>IF('(2).Midterm Daily'!AH137="Change","Change",IF('(2).Midterm Daily'!AH137="Stop","Stop",IF(B137="","",IF(COUNTA(D137:M137)&lt;10,"Incomplete",""))))</f>
        <v/>
      </c>
    </row>
    <row r="138" spans="1:14" ht="15.95" customHeight="1">
      <c r="A138" s="66">
        <v>24</v>
      </c>
      <c r="B138" s="63" t="str">
        <f>IF('(2).Midterm Daily'!B138="","",'(2).Midterm Daily'!B138)</f>
        <v/>
      </c>
      <c r="C138" s="67" t="str">
        <f>IF('(2).Midterm Daily'!C138="","",'(2).Midterm Daily'!C138)</f>
        <v/>
      </c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50" t="str">
        <f>IF('(2).Midterm Daily'!AH138="Change","Change",IF('(2).Midterm Daily'!AH138="Stop","Stop",IF(B138="","",IF(COUNTA(D138:M138)&lt;10,"Incomplete",""))))</f>
        <v/>
      </c>
    </row>
    <row r="139" spans="1:14" ht="15.95" customHeight="1">
      <c r="A139" s="66">
        <v>25</v>
      </c>
      <c r="B139" s="63" t="str">
        <f>IF('(2).Midterm Daily'!B139="","",'(2).Midterm Daily'!B139)</f>
        <v/>
      </c>
      <c r="C139" s="67" t="str">
        <f>IF('(2).Midterm Daily'!C139="","",'(2).Midterm Daily'!C139)</f>
        <v/>
      </c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50" t="str">
        <f>IF('(2).Midterm Daily'!AH139="Change","Change",IF('(2).Midterm Daily'!AH139="Stop","Stop",IF(B139="","",IF(COUNTA(D139:M139)&lt;10,"Incomplete",""))))</f>
        <v/>
      </c>
    </row>
    <row r="140" spans="1:14" ht="15.95" customHeight="1">
      <c r="A140" s="66">
        <v>26</v>
      </c>
      <c r="B140" s="63" t="str">
        <f>IF('(2).Midterm Daily'!B140="","",'(2).Midterm Daily'!B140)</f>
        <v/>
      </c>
      <c r="C140" s="67" t="str">
        <f>IF('(2).Midterm Daily'!C140="","",'(2).Midterm Daily'!C140)</f>
        <v/>
      </c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50" t="str">
        <f>IF('(2).Midterm Daily'!AH140="Change","Change",IF('(2).Midterm Daily'!AH140="Stop","Stop",IF(B140="","",IF(COUNTA(D140:M140)&lt;10,"Incomplete",""))))</f>
        <v/>
      </c>
    </row>
    <row r="141" spans="1:14" ht="15.95" customHeight="1">
      <c r="A141" s="66">
        <v>27</v>
      </c>
      <c r="B141" s="63" t="str">
        <f>IF('(2).Midterm Daily'!B141="","",'(2).Midterm Daily'!B141)</f>
        <v/>
      </c>
      <c r="C141" s="67" t="str">
        <f>IF('(2).Midterm Daily'!C141="","",'(2).Midterm Daily'!C141)</f>
        <v/>
      </c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50" t="str">
        <f>IF('(2).Midterm Daily'!AH141="Change","Change",IF('(2).Midterm Daily'!AH141="Stop","Stop",IF(B141="","",IF(COUNTA(D141:M141)&lt;10,"Incomplete",""))))</f>
        <v/>
      </c>
    </row>
    <row r="142" spans="1:14" ht="15.95" customHeight="1">
      <c r="A142" s="66">
        <v>28</v>
      </c>
      <c r="B142" s="63" t="str">
        <f>IF('(2).Midterm Daily'!B142="","",'(2).Midterm Daily'!B142)</f>
        <v/>
      </c>
      <c r="C142" s="67" t="str">
        <f>IF('(2).Midterm Daily'!C142="","",'(2).Midterm Daily'!C142)</f>
        <v/>
      </c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50" t="str">
        <f>IF('(2).Midterm Daily'!AH142="Change","Change",IF('(2).Midterm Daily'!AH142="Stop","Stop",IF(B142="","",IF(COUNTA(D142:M142)&lt;10,"Incomplete",""))))</f>
        <v/>
      </c>
    </row>
    <row r="143" spans="1:14" ht="15.95" customHeight="1">
      <c r="A143" s="66">
        <v>29</v>
      </c>
      <c r="B143" s="63" t="str">
        <f>IF('(2).Midterm Daily'!B143="","",'(2).Midterm Daily'!B143)</f>
        <v/>
      </c>
      <c r="C143" s="67" t="str">
        <f>IF('(2).Midterm Daily'!C143="","",'(2).Midterm Daily'!C143)</f>
        <v/>
      </c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50" t="str">
        <f>IF('(2).Midterm Daily'!AH143="Change","Change",IF('(2).Midterm Daily'!AH143="Stop","Stop",IF(B143="","",IF(COUNTA(D143:M143)&lt;10,"Incomplete",""))))</f>
        <v/>
      </c>
    </row>
    <row r="144" spans="1:14" ht="15.95" customHeight="1">
      <c r="A144" s="66">
        <v>30</v>
      </c>
      <c r="B144" s="63" t="str">
        <f>IF('(2).Midterm Daily'!B144="","",'(2).Midterm Daily'!B144)</f>
        <v/>
      </c>
      <c r="C144" s="67" t="str">
        <f>IF('(2).Midterm Daily'!C144="","",'(2).Midterm Daily'!C144)</f>
        <v/>
      </c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50" t="str">
        <f>IF('(2).Midterm Daily'!AH144="Change","Change",IF('(2).Midterm Daily'!AH144="Stop","Stop",IF(B144="","",IF(COUNTA(D144:M144)&lt;10,"Incomplete",""))))</f>
        <v/>
      </c>
    </row>
    <row r="145" spans="1:14" ht="15.95" customHeight="1">
      <c r="A145" s="18" t="s">
        <v>0</v>
      </c>
      <c r="B145" s="19">
        <f>'(2).Midterm Daily'!B145</f>
        <v>0</v>
      </c>
      <c r="C145" s="60"/>
      <c r="D145" s="222" t="s">
        <v>118</v>
      </c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</row>
    <row r="146" spans="1:14" ht="15.95" customHeight="1">
      <c r="A146" s="18" t="s">
        <v>1</v>
      </c>
      <c r="B146" s="19">
        <f>'(2).Midterm Daily'!B146</f>
        <v>0</v>
      </c>
      <c r="C146" s="60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</row>
    <row r="147" spans="1:14" ht="15.95" customHeight="1">
      <c r="A147" s="18" t="s">
        <v>2</v>
      </c>
      <c r="B147" s="19">
        <f>'(2).Midterm Daily'!B147</f>
        <v>0</v>
      </c>
      <c r="C147" s="60"/>
      <c r="D147" s="223" t="str">
        <f>'(2).Midterm Daily'!D147</f>
        <v>FEBRUARY - JULY 2026</v>
      </c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</row>
    <row r="148" spans="1:14" ht="15.95" customHeight="1">
      <c r="A148" s="18" t="s">
        <v>3</v>
      </c>
      <c r="B148" s="19">
        <f>'(2).Midterm Daily'!B148</f>
        <v>0</v>
      </c>
      <c r="C148" s="60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</row>
    <row r="149" spans="1:14" ht="15.95" customHeight="1">
      <c r="A149" s="18" t="s">
        <v>4</v>
      </c>
      <c r="B149" s="19">
        <f>'(2).Midterm Daily'!B149</f>
        <v>0</v>
      </c>
      <c r="C149" s="61"/>
      <c r="D149" s="112" t="str">
        <f>IF(OR($B146="K5",$B146="K6",$B146="K7",$B146="K8",$B146="K9",$B146="K10"),"Listening","Up-Low C")</f>
        <v>Up-Low C</v>
      </c>
      <c r="E149" s="112" t="str">
        <f>IF(OR($B146="K5",$B146="K6",$B146="K7",$B146="K8",$B146="K9",$B146="K10"),"Speaking","Alphabet N")</f>
        <v>Alphabet N</v>
      </c>
      <c r="F149" s="112" t="str">
        <f>IF(OR($B146="K5",$B146="K6",$B146="K7",$B146="K8",$B146="K9",$B146="K10"),"Reading","Alphabet S")</f>
        <v>Alphabet S</v>
      </c>
      <c r="G149" s="112" t="str">
        <f>IF(OR($B146="K5",$B146="K6",$B146="K7",$B146="K8",$B146="K9",$B146="K10"),"Writing","Vocabulary")</f>
        <v>Vocabulary</v>
      </c>
      <c r="H149" s="112" t="str">
        <f>IF(OR($B146="K5",$B146="K6",$B146="K7",$B146="K8",$B146="K9",$B146="K10"),"Grammar","Sprouts")</f>
        <v>Sprouts</v>
      </c>
      <c r="I149" s="112" t="str">
        <f>IF(OR($B146="K5",$B146="K6",$B146="K7",$B146="K8",$B146="K9",$B146="K10"),"Vocabulary","Phonics")</f>
        <v>Phonics</v>
      </c>
      <c r="J149" s="112" t="str">
        <f>IF(OR($B146="K5",$B146="K6",$B146="K7",$B146="K8",$B146="K9",$B146="K10"),"Roots","Math")</f>
        <v>Math</v>
      </c>
      <c r="K149" s="112" t="str">
        <f>IF(OR($B146="K5",$B146="K6",$B146="K7",$B146="K8",$B146="K9",$B146="K10"),"Phonics","Shape")</f>
        <v>Shape</v>
      </c>
      <c r="L149" s="112" t="str">
        <f>IF(OR($B146="K5",$B146="K6",$B146="K7",$B146="K8",$B146="K9",$B146="K10"),"Math","Science")</f>
        <v>Science</v>
      </c>
      <c r="M149" s="112" t="str">
        <f>IF(OR($B146="K5",$B146="K6",$B146="K7",$B146="K8",$B146="K9",$B146="K10"),"Science","Tracing")</f>
        <v>Tracing</v>
      </c>
      <c r="N149" s="90" t="s">
        <v>12</v>
      </c>
    </row>
    <row r="150" spans="1:14" ht="15.95" customHeight="1" thickBot="1">
      <c r="A150" s="80" t="s">
        <v>5</v>
      </c>
      <c r="B150" s="74" t="s">
        <v>6</v>
      </c>
      <c r="C150" s="81" t="s">
        <v>7</v>
      </c>
      <c r="D150" s="113" t="s">
        <v>9</v>
      </c>
      <c r="E150" s="113" t="s">
        <v>9</v>
      </c>
      <c r="F150" s="113" t="s">
        <v>9</v>
      </c>
      <c r="G150" s="113" t="s">
        <v>9</v>
      </c>
      <c r="H150" s="113" t="s">
        <v>9</v>
      </c>
      <c r="I150" s="113" t="s">
        <v>9</v>
      </c>
      <c r="J150" s="113" t="s">
        <v>9</v>
      </c>
      <c r="K150" s="113" t="s">
        <v>9</v>
      </c>
      <c r="L150" s="113" t="s">
        <v>9</v>
      </c>
      <c r="M150" s="113" t="s">
        <v>9</v>
      </c>
      <c r="N150" s="77" t="s">
        <v>13</v>
      </c>
    </row>
    <row r="151" spans="1:14" ht="15.95" customHeight="1">
      <c r="A151" s="78">
        <v>1</v>
      </c>
      <c r="B151" s="68" t="str">
        <f>IF('(2).Midterm Daily'!B151="","",'(2).Midterm Daily'!B151)</f>
        <v/>
      </c>
      <c r="C151" s="79" t="str">
        <f>IF('(2).Midterm Daily'!C151="","",'(2).Midterm Daily'!C151)</f>
        <v/>
      </c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89" t="str">
        <f>IF('(2).Midterm Daily'!AH151="Change","Change",IF('(2).Midterm Daily'!AH151="Stop","Stop",IF(B151="","",IF(COUNTA(D151:M151)&lt;10,"Incomplete",""))))</f>
        <v/>
      </c>
    </row>
    <row r="152" spans="1:14" ht="15.95" customHeight="1">
      <c r="A152" s="66">
        <v>2</v>
      </c>
      <c r="B152" s="63" t="str">
        <f>IF('(2).Midterm Daily'!B152="","",'(2).Midterm Daily'!B152)</f>
        <v/>
      </c>
      <c r="C152" s="67" t="str">
        <f>IF('(2).Midterm Daily'!C152="","",'(2).Midterm Daily'!C152)</f>
        <v/>
      </c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50" t="str">
        <f>IF('(2).Midterm Daily'!AH152="Change","Change",IF('(2).Midterm Daily'!AH152="Stop","Stop",IF(B152="","",IF(COUNTA(D152:M152)&lt;10,"Incomplete",""))))</f>
        <v/>
      </c>
    </row>
    <row r="153" spans="1:14" ht="15.95" customHeight="1">
      <c r="A153" s="66">
        <v>3</v>
      </c>
      <c r="B153" s="63" t="str">
        <f>IF('(2).Midterm Daily'!B153="","",'(2).Midterm Daily'!B153)</f>
        <v/>
      </c>
      <c r="C153" s="67" t="str">
        <f>IF('(2).Midterm Daily'!C153="","",'(2).Midterm Daily'!C153)</f>
        <v/>
      </c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50" t="str">
        <f>IF('(2).Midterm Daily'!AH153="Change","Change",IF('(2).Midterm Daily'!AH153="Stop","Stop",IF(B153="","",IF(COUNTA(D153:M153)&lt;10,"Incomplete",""))))</f>
        <v/>
      </c>
    </row>
    <row r="154" spans="1:14" ht="15.95" customHeight="1">
      <c r="A154" s="66">
        <v>4</v>
      </c>
      <c r="B154" s="63" t="str">
        <f>IF('(2).Midterm Daily'!B154="","",'(2).Midterm Daily'!B154)</f>
        <v/>
      </c>
      <c r="C154" s="67" t="str">
        <f>IF('(2).Midterm Daily'!C154="","",'(2).Midterm Daily'!C154)</f>
        <v/>
      </c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50" t="str">
        <f>IF('(2).Midterm Daily'!AH154="Change","Change",IF('(2).Midterm Daily'!AH154="Stop","Stop",IF(B154="","",IF(COUNTA(D154:M154)&lt;10,"Incomplete",""))))</f>
        <v/>
      </c>
    </row>
    <row r="155" spans="1:14" ht="15.95" customHeight="1">
      <c r="A155" s="66">
        <v>5</v>
      </c>
      <c r="B155" s="63" t="str">
        <f>IF('(2).Midterm Daily'!B155="","",'(2).Midterm Daily'!B155)</f>
        <v/>
      </c>
      <c r="C155" s="67" t="str">
        <f>IF('(2).Midterm Daily'!C155="","",'(2).Midterm Daily'!C155)</f>
        <v/>
      </c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50" t="str">
        <f>IF('(2).Midterm Daily'!AH155="Change","Change",IF('(2).Midterm Daily'!AH155="Stop","Stop",IF(B155="","",IF(COUNTA(D155:M155)&lt;10,"Incomplete",""))))</f>
        <v/>
      </c>
    </row>
    <row r="156" spans="1:14" ht="15.95" customHeight="1">
      <c r="A156" s="66">
        <v>6</v>
      </c>
      <c r="B156" s="63" t="str">
        <f>IF('(2).Midterm Daily'!B156="","",'(2).Midterm Daily'!B156)</f>
        <v/>
      </c>
      <c r="C156" s="67" t="str">
        <f>IF('(2).Midterm Daily'!C156="","",'(2).Midterm Daily'!C156)</f>
        <v/>
      </c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50" t="str">
        <f>IF('(2).Midterm Daily'!AH156="Change","Change",IF('(2).Midterm Daily'!AH156="Stop","Stop",IF(B156="","",IF(COUNTA(D156:M156)&lt;10,"Incomplete",""))))</f>
        <v/>
      </c>
    </row>
    <row r="157" spans="1:14" ht="15.95" customHeight="1">
      <c r="A157" s="66">
        <v>7</v>
      </c>
      <c r="B157" s="63" t="str">
        <f>IF('(2).Midterm Daily'!B157="","",'(2).Midterm Daily'!B157)</f>
        <v/>
      </c>
      <c r="C157" s="67" t="str">
        <f>IF('(2).Midterm Daily'!C157="","",'(2).Midterm Daily'!C157)</f>
        <v/>
      </c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50" t="str">
        <f>IF('(2).Midterm Daily'!AH157="Change","Change",IF('(2).Midterm Daily'!AH157="Stop","Stop",IF(B157="","",IF(COUNTA(D157:M157)&lt;10,"Incomplete",""))))</f>
        <v/>
      </c>
    </row>
    <row r="158" spans="1:14" ht="15.95" customHeight="1">
      <c r="A158" s="66">
        <v>8</v>
      </c>
      <c r="B158" s="63" t="str">
        <f>IF('(2).Midterm Daily'!B158="","",'(2).Midterm Daily'!B158)</f>
        <v/>
      </c>
      <c r="C158" s="67" t="str">
        <f>IF('(2).Midterm Daily'!C158="","",'(2).Midterm Daily'!C158)</f>
        <v/>
      </c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50" t="str">
        <f>IF('(2).Midterm Daily'!AH158="Change","Change",IF('(2).Midterm Daily'!AH158="Stop","Stop",IF(B158="","",IF(COUNTA(D158:M158)&lt;10,"Incomplete",""))))</f>
        <v/>
      </c>
    </row>
    <row r="159" spans="1:14" ht="15.95" customHeight="1">
      <c r="A159" s="66">
        <v>9</v>
      </c>
      <c r="B159" s="63" t="str">
        <f>IF('(2).Midterm Daily'!B159="","",'(2).Midterm Daily'!B159)</f>
        <v/>
      </c>
      <c r="C159" s="67" t="str">
        <f>IF('(2).Midterm Daily'!C159="","",'(2).Midterm Daily'!C159)</f>
        <v/>
      </c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50" t="str">
        <f>IF('(2).Midterm Daily'!AH159="Change","Change",IF('(2).Midterm Daily'!AH159="Stop","Stop",IF(B159="","",IF(COUNTA(D159:M159)&lt;10,"Incomplete",""))))</f>
        <v/>
      </c>
    </row>
    <row r="160" spans="1:14" ht="15.95" customHeight="1">
      <c r="A160" s="66">
        <v>10</v>
      </c>
      <c r="B160" s="63" t="str">
        <f>IF('(2).Midterm Daily'!B160="","",'(2).Midterm Daily'!B160)</f>
        <v/>
      </c>
      <c r="C160" s="67" t="str">
        <f>IF('(2).Midterm Daily'!C160="","",'(2).Midterm Daily'!C160)</f>
        <v/>
      </c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50" t="str">
        <f>IF('(2).Midterm Daily'!AH160="Change","Change",IF('(2).Midterm Daily'!AH160="Stop","Stop",IF(B160="","",IF(COUNTA(D160:M160)&lt;10,"Incomplete",""))))</f>
        <v/>
      </c>
    </row>
    <row r="161" spans="1:14" ht="15.95" customHeight="1">
      <c r="A161" s="66">
        <v>11</v>
      </c>
      <c r="B161" s="63" t="str">
        <f>IF('(2).Midterm Daily'!B161="","",'(2).Midterm Daily'!B161)</f>
        <v/>
      </c>
      <c r="C161" s="67" t="str">
        <f>IF('(2).Midterm Daily'!C161="","",'(2).Midterm Daily'!C161)</f>
        <v/>
      </c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50" t="str">
        <f>IF('(2).Midterm Daily'!AH161="Change","Change",IF('(2).Midterm Daily'!AH161="Stop","Stop",IF(B161="","",IF(COUNTA(D161:M161)&lt;10,"Incomplete",""))))</f>
        <v/>
      </c>
    </row>
    <row r="162" spans="1:14" ht="15.95" customHeight="1">
      <c r="A162" s="66">
        <v>12</v>
      </c>
      <c r="B162" s="63" t="str">
        <f>IF('(2).Midterm Daily'!B162="","",'(2).Midterm Daily'!B162)</f>
        <v/>
      </c>
      <c r="C162" s="67" t="str">
        <f>IF('(2).Midterm Daily'!C162="","",'(2).Midterm Daily'!C162)</f>
        <v/>
      </c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50" t="str">
        <f>IF('(2).Midterm Daily'!AH162="Change","Change",IF('(2).Midterm Daily'!AH162="Stop","Stop",IF(B162="","",IF(COUNTA(D162:M162)&lt;10,"Incomplete",""))))</f>
        <v/>
      </c>
    </row>
    <row r="163" spans="1:14" ht="15.95" customHeight="1">
      <c r="A163" s="66">
        <v>13</v>
      </c>
      <c r="B163" s="63" t="str">
        <f>IF('(2).Midterm Daily'!B163="","",'(2).Midterm Daily'!B163)</f>
        <v/>
      </c>
      <c r="C163" s="67" t="str">
        <f>IF('(2).Midterm Daily'!C163="","",'(2).Midterm Daily'!C163)</f>
        <v/>
      </c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50" t="str">
        <f>IF('(2).Midterm Daily'!AH163="Change","Change",IF('(2).Midterm Daily'!AH163="Stop","Stop",IF(B163="","",IF(COUNTA(D163:M163)&lt;10,"Incomplete",""))))</f>
        <v/>
      </c>
    </row>
    <row r="164" spans="1:14" ht="15.95" customHeight="1">
      <c r="A164" s="66">
        <v>14</v>
      </c>
      <c r="B164" s="63" t="str">
        <f>IF('(2).Midterm Daily'!B164="","",'(2).Midterm Daily'!B164)</f>
        <v/>
      </c>
      <c r="C164" s="67" t="str">
        <f>IF('(2).Midterm Daily'!C164="","",'(2).Midterm Daily'!C164)</f>
        <v/>
      </c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50" t="str">
        <f>IF('(2).Midterm Daily'!AH164="Change","Change",IF('(2).Midterm Daily'!AH164="Stop","Stop",IF(B164="","",IF(COUNTA(D164:M164)&lt;10,"Incomplete",""))))</f>
        <v/>
      </c>
    </row>
    <row r="165" spans="1:14" ht="15.95" customHeight="1">
      <c r="A165" s="66">
        <v>15</v>
      </c>
      <c r="B165" s="63" t="str">
        <f>IF('(2).Midterm Daily'!B165="","",'(2).Midterm Daily'!B165)</f>
        <v/>
      </c>
      <c r="C165" s="67" t="str">
        <f>IF('(2).Midterm Daily'!C165="","",'(2).Midterm Daily'!C165)</f>
        <v/>
      </c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50" t="str">
        <f>IF('(2).Midterm Daily'!AH165="Change","Change",IF('(2).Midterm Daily'!AH165="Stop","Stop",IF(B165="","",IF(COUNTA(D165:M165)&lt;10,"Incomplete",""))))</f>
        <v/>
      </c>
    </row>
    <row r="166" spans="1:14" ht="15.95" customHeight="1">
      <c r="A166" s="66">
        <v>16</v>
      </c>
      <c r="B166" s="63" t="str">
        <f>IF('(2).Midterm Daily'!B166="","",'(2).Midterm Daily'!B166)</f>
        <v/>
      </c>
      <c r="C166" s="67" t="str">
        <f>IF('(2).Midterm Daily'!C166="","",'(2).Midterm Daily'!C166)</f>
        <v/>
      </c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50" t="str">
        <f>IF('(2).Midterm Daily'!AH166="Change","Change",IF('(2).Midterm Daily'!AH166="Stop","Stop",IF(B166="","",IF(COUNTA(D166:M166)&lt;10,"Incomplete",""))))</f>
        <v/>
      </c>
    </row>
    <row r="167" spans="1:14" ht="15.95" customHeight="1">
      <c r="A167" s="66">
        <v>17</v>
      </c>
      <c r="B167" s="63" t="str">
        <f>IF('(2).Midterm Daily'!B167="","",'(2).Midterm Daily'!B167)</f>
        <v/>
      </c>
      <c r="C167" s="67" t="str">
        <f>IF('(2).Midterm Daily'!C167="","",'(2).Midterm Daily'!C167)</f>
        <v/>
      </c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50" t="str">
        <f>IF('(2).Midterm Daily'!AH167="Change","Change",IF('(2).Midterm Daily'!AH167="Stop","Stop",IF(B167="","",IF(COUNTA(D167:M167)&lt;10,"Incomplete",""))))</f>
        <v/>
      </c>
    </row>
    <row r="168" spans="1:14" ht="15.95" customHeight="1">
      <c r="A168" s="66">
        <v>18</v>
      </c>
      <c r="B168" s="63" t="str">
        <f>IF('(2).Midterm Daily'!B168="","",'(2).Midterm Daily'!B168)</f>
        <v/>
      </c>
      <c r="C168" s="67" t="str">
        <f>IF('(2).Midterm Daily'!C168="","",'(2).Midterm Daily'!C168)</f>
        <v/>
      </c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50" t="str">
        <f>IF('(2).Midterm Daily'!AH168="Change","Change",IF('(2).Midterm Daily'!AH168="Stop","Stop",IF(B168="","",IF(COUNTA(D168:M168)&lt;10,"Incomplete",""))))</f>
        <v/>
      </c>
    </row>
    <row r="169" spans="1:14" ht="15.95" customHeight="1">
      <c r="A169" s="66">
        <v>19</v>
      </c>
      <c r="B169" s="63" t="str">
        <f>IF('(2).Midterm Daily'!B169="","",'(2).Midterm Daily'!B169)</f>
        <v/>
      </c>
      <c r="C169" s="67" t="str">
        <f>IF('(2).Midterm Daily'!C169="","",'(2).Midterm Daily'!C169)</f>
        <v/>
      </c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50" t="str">
        <f>IF('(2).Midterm Daily'!AH169="Change","Change",IF('(2).Midterm Daily'!AH169="Stop","Stop",IF(B169="","",IF(COUNTA(D169:M169)&lt;10,"Incomplete",""))))</f>
        <v/>
      </c>
    </row>
    <row r="170" spans="1:14" ht="15.95" customHeight="1">
      <c r="A170" s="66">
        <v>20</v>
      </c>
      <c r="B170" s="63" t="str">
        <f>IF('(2).Midterm Daily'!B170="","",'(2).Midterm Daily'!B170)</f>
        <v/>
      </c>
      <c r="C170" s="67" t="str">
        <f>IF('(2).Midterm Daily'!C170="","",'(2).Midterm Daily'!C170)</f>
        <v/>
      </c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50" t="str">
        <f>IF('(2).Midterm Daily'!AH170="Change","Change",IF('(2).Midterm Daily'!AH170="Stop","Stop",IF(B170="","",IF(COUNTA(D170:M170)&lt;10,"Incomplete",""))))</f>
        <v/>
      </c>
    </row>
    <row r="171" spans="1:14" ht="15.95" customHeight="1">
      <c r="A171" s="66">
        <v>21</v>
      </c>
      <c r="B171" s="63" t="str">
        <f>IF('(2).Midterm Daily'!B171="","",'(2).Midterm Daily'!B171)</f>
        <v/>
      </c>
      <c r="C171" s="67" t="str">
        <f>IF('(2).Midterm Daily'!C171="","",'(2).Midterm Daily'!C171)</f>
        <v/>
      </c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50" t="str">
        <f>IF('(2).Midterm Daily'!AH171="Change","Change",IF('(2).Midterm Daily'!AH171="Stop","Stop",IF(B171="","",IF(COUNTA(D171:M171)&lt;10,"Incomplete",""))))</f>
        <v/>
      </c>
    </row>
    <row r="172" spans="1:14" ht="15.95" customHeight="1">
      <c r="A172" s="66">
        <v>22</v>
      </c>
      <c r="B172" s="63" t="str">
        <f>IF('(2).Midterm Daily'!B172="","",'(2).Midterm Daily'!B172)</f>
        <v/>
      </c>
      <c r="C172" s="67" t="str">
        <f>IF('(2).Midterm Daily'!C172="","",'(2).Midterm Daily'!C172)</f>
        <v/>
      </c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50" t="str">
        <f>IF('(2).Midterm Daily'!AH172="Change","Change",IF('(2).Midterm Daily'!AH172="Stop","Stop",IF(B172="","",IF(COUNTA(D172:M172)&lt;10,"Incomplete",""))))</f>
        <v/>
      </c>
    </row>
    <row r="173" spans="1:14" ht="15.95" customHeight="1">
      <c r="A173" s="66">
        <v>23</v>
      </c>
      <c r="B173" s="63" t="str">
        <f>IF('(2).Midterm Daily'!B173="","",'(2).Midterm Daily'!B173)</f>
        <v/>
      </c>
      <c r="C173" s="67" t="str">
        <f>IF('(2).Midterm Daily'!C173="","",'(2).Midterm Daily'!C173)</f>
        <v/>
      </c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50" t="str">
        <f>IF('(2).Midterm Daily'!AH173="Change","Change",IF('(2).Midterm Daily'!AH173="Stop","Stop",IF(B173="","",IF(COUNTA(D173:M173)&lt;10,"Incomplete",""))))</f>
        <v/>
      </c>
    </row>
    <row r="174" spans="1:14" ht="15.95" customHeight="1">
      <c r="A174" s="66">
        <v>24</v>
      </c>
      <c r="B174" s="63" t="str">
        <f>IF('(2).Midterm Daily'!B174="","",'(2).Midterm Daily'!B174)</f>
        <v/>
      </c>
      <c r="C174" s="67" t="str">
        <f>IF('(2).Midterm Daily'!C174="","",'(2).Midterm Daily'!C174)</f>
        <v/>
      </c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50" t="str">
        <f>IF('(2).Midterm Daily'!AH174="Change","Change",IF('(2).Midterm Daily'!AH174="Stop","Stop",IF(B174="","",IF(COUNTA(D174:M174)&lt;10,"Incomplete",""))))</f>
        <v/>
      </c>
    </row>
    <row r="175" spans="1:14" ht="15.95" customHeight="1">
      <c r="A175" s="66">
        <v>25</v>
      </c>
      <c r="B175" s="63" t="str">
        <f>IF('(2).Midterm Daily'!B175="","",'(2).Midterm Daily'!B175)</f>
        <v/>
      </c>
      <c r="C175" s="67" t="str">
        <f>IF('(2).Midterm Daily'!C175="","",'(2).Midterm Daily'!C175)</f>
        <v/>
      </c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50" t="str">
        <f>IF('(2).Midterm Daily'!AH175="Change","Change",IF('(2).Midterm Daily'!AH175="Stop","Stop",IF(B175="","",IF(COUNTA(D175:M175)&lt;10,"Incomplete",""))))</f>
        <v/>
      </c>
    </row>
    <row r="176" spans="1:14" ht="15.95" customHeight="1">
      <c r="A176" s="66">
        <v>26</v>
      </c>
      <c r="B176" s="63" t="str">
        <f>IF('(2).Midterm Daily'!B176="","",'(2).Midterm Daily'!B176)</f>
        <v/>
      </c>
      <c r="C176" s="67" t="str">
        <f>IF('(2).Midterm Daily'!C176="","",'(2).Midterm Daily'!C176)</f>
        <v/>
      </c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50" t="str">
        <f>IF('(2).Midterm Daily'!AH176="Change","Change",IF('(2).Midterm Daily'!AH176="Stop","Stop",IF(B176="","",IF(COUNTA(D176:M176)&lt;10,"Incomplete",""))))</f>
        <v/>
      </c>
    </row>
    <row r="177" spans="1:14" ht="15.95" customHeight="1">
      <c r="A177" s="66">
        <v>27</v>
      </c>
      <c r="B177" s="63" t="str">
        <f>IF('(2).Midterm Daily'!B177="","",'(2).Midterm Daily'!B177)</f>
        <v/>
      </c>
      <c r="C177" s="67" t="str">
        <f>IF('(2).Midterm Daily'!C177="","",'(2).Midterm Daily'!C177)</f>
        <v/>
      </c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50" t="str">
        <f>IF('(2).Midterm Daily'!AH177="Change","Change",IF('(2).Midterm Daily'!AH177="Stop","Stop",IF(B177="","",IF(COUNTA(D177:M177)&lt;10,"Incomplete",""))))</f>
        <v/>
      </c>
    </row>
    <row r="178" spans="1:14" ht="15.95" customHeight="1">
      <c r="A178" s="66">
        <v>28</v>
      </c>
      <c r="B178" s="63" t="str">
        <f>IF('(2).Midterm Daily'!B178="","",'(2).Midterm Daily'!B178)</f>
        <v/>
      </c>
      <c r="C178" s="67" t="str">
        <f>IF('(2).Midterm Daily'!C178="","",'(2).Midterm Daily'!C178)</f>
        <v/>
      </c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50" t="str">
        <f>IF('(2).Midterm Daily'!AH178="Change","Change",IF('(2).Midterm Daily'!AH178="Stop","Stop",IF(B178="","",IF(COUNTA(D178:M178)&lt;10,"Incomplete",""))))</f>
        <v/>
      </c>
    </row>
    <row r="179" spans="1:14" ht="15.95" customHeight="1">
      <c r="A179" s="66">
        <v>29</v>
      </c>
      <c r="B179" s="63" t="str">
        <f>IF('(2).Midterm Daily'!B179="","",'(2).Midterm Daily'!B179)</f>
        <v/>
      </c>
      <c r="C179" s="67" t="str">
        <f>IF('(2).Midterm Daily'!C179="","",'(2).Midterm Daily'!C179)</f>
        <v/>
      </c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50" t="str">
        <f>IF('(2).Midterm Daily'!AH179="Change","Change",IF('(2).Midterm Daily'!AH179="Stop","Stop",IF(B179="","",IF(COUNTA(D179:M179)&lt;10,"Incomplete",""))))</f>
        <v/>
      </c>
    </row>
    <row r="180" spans="1:14" ht="15.95" customHeight="1">
      <c r="A180" s="66">
        <v>30</v>
      </c>
      <c r="B180" s="63" t="str">
        <f>IF('(2).Midterm Daily'!B180="","",'(2).Midterm Daily'!B180)</f>
        <v/>
      </c>
      <c r="C180" s="67" t="str">
        <f>IF('(2).Midterm Daily'!C180="","",'(2).Midterm Daily'!C180)</f>
        <v/>
      </c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50" t="str">
        <f>IF('(2).Midterm Daily'!AH180="Change","Change",IF('(2).Midterm Daily'!AH180="Stop","Stop",IF(B180="","",IF(COUNTA(D180:M180)&lt;10,"Incomplete",""))))</f>
        <v/>
      </c>
    </row>
    <row r="181" spans="1:14" ht="15.95" customHeight="1">
      <c r="A181" s="18" t="s">
        <v>0</v>
      </c>
      <c r="B181" s="19">
        <f>'(2).Midterm Daily'!B181</f>
        <v>0</v>
      </c>
      <c r="C181" s="60"/>
      <c r="D181" s="222" t="s">
        <v>118</v>
      </c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</row>
    <row r="182" spans="1:14" ht="15.95" customHeight="1">
      <c r="A182" s="18" t="s">
        <v>1</v>
      </c>
      <c r="B182" s="19">
        <f>'(2).Midterm Daily'!B182</f>
        <v>0</v>
      </c>
      <c r="C182" s="60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</row>
    <row r="183" spans="1:14" ht="15.95" customHeight="1">
      <c r="A183" s="18" t="s">
        <v>2</v>
      </c>
      <c r="B183" s="19">
        <f>'(2).Midterm Daily'!B183</f>
        <v>0</v>
      </c>
      <c r="C183" s="60"/>
      <c r="D183" s="223" t="str">
        <f>'(2).Midterm Daily'!D183</f>
        <v>FEBRUARY - JULY 2026</v>
      </c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</row>
    <row r="184" spans="1:14" ht="15.95" customHeight="1">
      <c r="A184" s="18" t="s">
        <v>3</v>
      </c>
      <c r="B184" s="19">
        <f>'(2).Midterm Daily'!B184</f>
        <v>0</v>
      </c>
      <c r="C184" s="60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</row>
    <row r="185" spans="1:14" ht="15.95" customHeight="1">
      <c r="A185" s="18" t="s">
        <v>4</v>
      </c>
      <c r="B185" s="19">
        <f>'(2).Midterm Daily'!B185</f>
        <v>0</v>
      </c>
      <c r="C185" s="61"/>
      <c r="D185" s="112" t="str">
        <f>IF(OR($B182="K5",$B182="K6",$B182="K7",$B182="K8",$B182="K9",$B182="K10"),"Listening","Up-Low C")</f>
        <v>Up-Low C</v>
      </c>
      <c r="E185" s="112" t="str">
        <f>IF(OR($B182="K5",$B182="K6",$B182="K7",$B182="K8",$B182="K9",$B182="K10"),"Speaking","Alphabet N")</f>
        <v>Alphabet N</v>
      </c>
      <c r="F185" s="112" t="str">
        <f>IF(OR($B182="K5",$B182="K6",$B182="K7",$B182="K8",$B182="K9",$B182="K10"),"Reading","Alphabet S")</f>
        <v>Alphabet S</v>
      </c>
      <c r="G185" s="112" t="str">
        <f>IF(OR($B182="K5",$B182="K6",$B182="K7",$B182="K8",$B182="K9",$B182="K10"),"Writing","Vocabulary")</f>
        <v>Vocabulary</v>
      </c>
      <c r="H185" s="112" t="str">
        <f>IF(OR($B182="K5",$B182="K6",$B182="K7",$B182="K8",$B182="K9",$B182="K10"),"Grammar","Sprouts")</f>
        <v>Sprouts</v>
      </c>
      <c r="I185" s="112" t="str">
        <f>IF(OR($B182="K5",$B182="K6",$B182="K7",$B182="K8",$B182="K9",$B182="K10"),"Vocabulary","Phonics")</f>
        <v>Phonics</v>
      </c>
      <c r="J185" s="112" t="str">
        <f>IF(OR($B182="K5",$B182="K6",$B182="K7",$B182="K8",$B182="K9",$B182="K10"),"Roots","Math")</f>
        <v>Math</v>
      </c>
      <c r="K185" s="112" t="str">
        <f>IF(OR($B182="K5",$B182="K6",$B182="K7",$B182="K8",$B182="K9",$B182="K10"),"Phonics","Shape")</f>
        <v>Shape</v>
      </c>
      <c r="L185" s="112" t="str">
        <f>IF(OR($B182="K5",$B182="K6",$B182="K7",$B182="K8",$B182="K9",$B182="K10"),"Math","Science")</f>
        <v>Science</v>
      </c>
      <c r="M185" s="112" t="str">
        <f>IF(OR($B182="K5",$B182="K6",$B182="K7",$B182="K8",$B182="K9",$B182="K10"),"Science","Tracing")</f>
        <v>Tracing</v>
      </c>
      <c r="N185" s="90" t="s">
        <v>12</v>
      </c>
    </row>
    <row r="186" spans="1:14" ht="15.95" customHeight="1" thickBot="1">
      <c r="A186" s="80" t="s">
        <v>5</v>
      </c>
      <c r="B186" s="74" t="s">
        <v>6</v>
      </c>
      <c r="C186" s="81" t="s">
        <v>7</v>
      </c>
      <c r="D186" s="113" t="s">
        <v>9</v>
      </c>
      <c r="E186" s="113" t="s">
        <v>9</v>
      </c>
      <c r="F186" s="113" t="s">
        <v>9</v>
      </c>
      <c r="G186" s="113" t="s">
        <v>9</v>
      </c>
      <c r="H186" s="113" t="s">
        <v>9</v>
      </c>
      <c r="I186" s="113" t="s">
        <v>9</v>
      </c>
      <c r="J186" s="113" t="s">
        <v>9</v>
      </c>
      <c r="K186" s="113" t="s">
        <v>9</v>
      </c>
      <c r="L186" s="113" t="s">
        <v>9</v>
      </c>
      <c r="M186" s="113" t="s">
        <v>9</v>
      </c>
      <c r="N186" s="77" t="s">
        <v>13</v>
      </c>
    </row>
    <row r="187" spans="1:14" ht="15.95" customHeight="1">
      <c r="A187" s="78">
        <v>1</v>
      </c>
      <c r="B187" s="68" t="str">
        <f>IF('(2).Midterm Daily'!B187="","",'(2).Midterm Daily'!B187)</f>
        <v/>
      </c>
      <c r="C187" s="79" t="str">
        <f>IF('(2).Midterm Daily'!C187="","",'(2).Midterm Daily'!C187)</f>
        <v/>
      </c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89" t="str">
        <f>IF('(2).Midterm Daily'!AH187="Change","Change",IF('(2).Midterm Daily'!AH187="Stop","Stop",IF(B187="","",IF(COUNTA(D187:M187)&lt;10,"Incomplete",""))))</f>
        <v/>
      </c>
    </row>
    <row r="188" spans="1:14" ht="15.95" customHeight="1">
      <c r="A188" s="66">
        <v>2</v>
      </c>
      <c r="B188" s="63" t="str">
        <f>IF('(2).Midterm Daily'!B188="","",'(2).Midterm Daily'!B188)</f>
        <v/>
      </c>
      <c r="C188" s="67" t="str">
        <f>IF('(2).Midterm Daily'!C188="","",'(2).Midterm Daily'!C188)</f>
        <v/>
      </c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50" t="str">
        <f>IF('(2).Midterm Daily'!AH188="Change","Change",IF('(2).Midterm Daily'!AH188="Stop","Stop",IF(B188="","",IF(COUNTA(D188:M188)&lt;10,"Incomplete",""))))</f>
        <v/>
      </c>
    </row>
    <row r="189" spans="1:14" ht="15.95" customHeight="1">
      <c r="A189" s="66">
        <v>3</v>
      </c>
      <c r="B189" s="63" t="str">
        <f>IF('(2).Midterm Daily'!B189="","",'(2).Midterm Daily'!B189)</f>
        <v/>
      </c>
      <c r="C189" s="67" t="str">
        <f>IF('(2).Midterm Daily'!C189="","",'(2).Midterm Daily'!C189)</f>
        <v/>
      </c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50" t="str">
        <f>IF('(2).Midterm Daily'!AH189="Change","Change",IF('(2).Midterm Daily'!AH189="Stop","Stop",IF(B189="","",IF(COUNTA(D189:M189)&lt;10,"Incomplete",""))))</f>
        <v/>
      </c>
    </row>
    <row r="190" spans="1:14" ht="15.95" customHeight="1">
      <c r="A190" s="66">
        <v>4</v>
      </c>
      <c r="B190" s="63" t="str">
        <f>IF('(2).Midterm Daily'!B190="","",'(2).Midterm Daily'!B190)</f>
        <v/>
      </c>
      <c r="C190" s="67" t="str">
        <f>IF('(2).Midterm Daily'!C190="","",'(2).Midterm Daily'!C190)</f>
        <v/>
      </c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50" t="str">
        <f>IF('(2).Midterm Daily'!AH190="Change","Change",IF('(2).Midterm Daily'!AH190="Stop","Stop",IF(B190="","",IF(COUNTA(D190:M190)&lt;10,"Incomplete",""))))</f>
        <v/>
      </c>
    </row>
    <row r="191" spans="1:14" ht="15.95" customHeight="1">
      <c r="A191" s="66">
        <v>5</v>
      </c>
      <c r="B191" s="63" t="str">
        <f>IF('(2).Midterm Daily'!B191="","",'(2).Midterm Daily'!B191)</f>
        <v/>
      </c>
      <c r="C191" s="67" t="str">
        <f>IF('(2).Midterm Daily'!C191="","",'(2).Midterm Daily'!C191)</f>
        <v/>
      </c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50" t="str">
        <f>IF('(2).Midterm Daily'!AH191="Change","Change",IF('(2).Midterm Daily'!AH191="Stop","Stop",IF(B191="","",IF(COUNTA(D191:M191)&lt;10,"Incomplete",""))))</f>
        <v/>
      </c>
    </row>
    <row r="192" spans="1:14" ht="15.95" customHeight="1">
      <c r="A192" s="66">
        <v>6</v>
      </c>
      <c r="B192" s="63" t="str">
        <f>IF('(2).Midterm Daily'!B192="","",'(2).Midterm Daily'!B192)</f>
        <v/>
      </c>
      <c r="C192" s="67" t="str">
        <f>IF('(2).Midterm Daily'!C192="","",'(2).Midterm Daily'!C192)</f>
        <v/>
      </c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50" t="str">
        <f>IF('(2).Midterm Daily'!AH192="Change","Change",IF('(2).Midterm Daily'!AH192="Stop","Stop",IF(B192="","",IF(COUNTA(D192:M192)&lt;10,"Incomplete",""))))</f>
        <v/>
      </c>
    </row>
    <row r="193" spans="1:14" ht="15.95" customHeight="1">
      <c r="A193" s="66">
        <v>7</v>
      </c>
      <c r="B193" s="63" t="str">
        <f>IF('(2).Midterm Daily'!B193="","",'(2).Midterm Daily'!B193)</f>
        <v/>
      </c>
      <c r="C193" s="67" t="str">
        <f>IF('(2).Midterm Daily'!C193="","",'(2).Midterm Daily'!C193)</f>
        <v/>
      </c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50" t="str">
        <f>IF('(2).Midterm Daily'!AH193="Change","Change",IF('(2).Midterm Daily'!AH193="Stop","Stop",IF(B193="","",IF(COUNTA(D193:M193)&lt;10,"Incomplete",""))))</f>
        <v/>
      </c>
    </row>
    <row r="194" spans="1:14" ht="15.95" customHeight="1">
      <c r="A194" s="66">
        <v>8</v>
      </c>
      <c r="B194" s="63" t="str">
        <f>IF('(2).Midterm Daily'!B194="","",'(2).Midterm Daily'!B194)</f>
        <v/>
      </c>
      <c r="C194" s="67" t="str">
        <f>IF('(2).Midterm Daily'!C194="","",'(2).Midterm Daily'!C194)</f>
        <v/>
      </c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50" t="str">
        <f>IF('(2).Midterm Daily'!AH194="Change","Change",IF('(2).Midterm Daily'!AH194="Stop","Stop",IF(B194="","",IF(COUNTA(D194:M194)&lt;10,"Incomplete",""))))</f>
        <v/>
      </c>
    </row>
    <row r="195" spans="1:14" ht="15.95" customHeight="1">
      <c r="A195" s="66">
        <v>9</v>
      </c>
      <c r="B195" s="63" t="str">
        <f>IF('(2).Midterm Daily'!B195="","",'(2).Midterm Daily'!B195)</f>
        <v/>
      </c>
      <c r="C195" s="67" t="str">
        <f>IF('(2).Midterm Daily'!C195="","",'(2).Midterm Daily'!C195)</f>
        <v/>
      </c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50" t="str">
        <f>IF('(2).Midterm Daily'!AH195="Change","Change",IF('(2).Midterm Daily'!AH195="Stop","Stop",IF(B195="","",IF(COUNTA(D195:M195)&lt;10,"Incomplete",""))))</f>
        <v/>
      </c>
    </row>
    <row r="196" spans="1:14" ht="15.95" customHeight="1">
      <c r="A196" s="66">
        <v>10</v>
      </c>
      <c r="B196" s="63" t="str">
        <f>IF('(2).Midterm Daily'!B196="","",'(2).Midterm Daily'!B196)</f>
        <v/>
      </c>
      <c r="C196" s="67" t="str">
        <f>IF('(2).Midterm Daily'!C196="","",'(2).Midterm Daily'!C196)</f>
        <v/>
      </c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50" t="str">
        <f>IF('(2).Midterm Daily'!AH196="Change","Change",IF('(2).Midterm Daily'!AH196="Stop","Stop",IF(B196="","",IF(COUNTA(D196:M196)&lt;10,"Incomplete",""))))</f>
        <v/>
      </c>
    </row>
    <row r="197" spans="1:14" ht="15.95" customHeight="1">
      <c r="A197" s="66">
        <v>11</v>
      </c>
      <c r="B197" s="63" t="str">
        <f>IF('(2).Midterm Daily'!B197="","",'(2).Midterm Daily'!B197)</f>
        <v/>
      </c>
      <c r="C197" s="67" t="str">
        <f>IF('(2).Midterm Daily'!C197="","",'(2).Midterm Daily'!C197)</f>
        <v/>
      </c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50" t="str">
        <f>IF('(2).Midterm Daily'!AH197="Change","Change",IF('(2).Midterm Daily'!AH197="Stop","Stop",IF(B197="","",IF(COUNTA(D197:M197)&lt;10,"Incomplete",""))))</f>
        <v/>
      </c>
    </row>
    <row r="198" spans="1:14" ht="15.95" customHeight="1">
      <c r="A198" s="66">
        <v>12</v>
      </c>
      <c r="B198" s="63" t="str">
        <f>IF('(2).Midterm Daily'!B198="","",'(2).Midterm Daily'!B198)</f>
        <v/>
      </c>
      <c r="C198" s="67" t="str">
        <f>IF('(2).Midterm Daily'!C198="","",'(2).Midterm Daily'!C198)</f>
        <v/>
      </c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50" t="str">
        <f>IF('(2).Midterm Daily'!AH198="Change","Change",IF('(2).Midterm Daily'!AH198="Stop","Stop",IF(B198="","",IF(COUNTA(D198:M198)&lt;10,"Incomplete",""))))</f>
        <v/>
      </c>
    </row>
    <row r="199" spans="1:14" ht="15.95" customHeight="1">
      <c r="A199" s="66">
        <v>13</v>
      </c>
      <c r="B199" s="63" t="str">
        <f>IF('(2).Midterm Daily'!B199="","",'(2).Midterm Daily'!B199)</f>
        <v/>
      </c>
      <c r="C199" s="67" t="str">
        <f>IF('(2).Midterm Daily'!C199="","",'(2).Midterm Daily'!C199)</f>
        <v/>
      </c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50" t="str">
        <f>IF('(2).Midterm Daily'!AH199="Change","Change",IF('(2).Midterm Daily'!AH199="Stop","Stop",IF(B199="","",IF(COUNTA(D199:M199)&lt;10,"Incomplete",""))))</f>
        <v/>
      </c>
    </row>
    <row r="200" spans="1:14" ht="15.95" customHeight="1">
      <c r="A200" s="66">
        <v>14</v>
      </c>
      <c r="B200" s="63" t="str">
        <f>IF('(2).Midterm Daily'!B200="","",'(2).Midterm Daily'!B200)</f>
        <v/>
      </c>
      <c r="C200" s="67" t="str">
        <f>IF('(2).Midterm Daily'!C200="","",'(2).Midterm Daily'!C200)</f>
        <v/>
      </c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50" t="str">
        <f>IF('(2).Midterm Daily'!AH200="Change","Change",IF('(2).Midterm Daily'!AH200="Stop","Stop",IF(B200="","",IF(COUNTA(D200:M200)&lt;10,"Incomplete",""))))</f>
        <v/>
      </c>
    </row>
    <row r="201" spans="1:14" ht="15.95" customHeight="1">
      <c r="A201" s="66">
        <v>15</v>
      </c>
      <c r="B201" s="63" t="str">
        <f>IF('(2).Midterm Daily'!B201="","",'(2).Midterm Daily'!B201)</f>
        <v/>
      </c>
      <c r="C201" s="67" t="str">
        <f>IF('(2).Midterm Daily'!C201="","",'(2).Midterm Daily'!C201)</f>
        <v/>
      </c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50" t="str">
        <f>IF('(2).Midterm Daily'!AH201="Change","Change",IF('(2).Midterm Daily'!AH201="Stop","Stop",IF(B201="","",IF(COUNTA(D201:M201)&lt;10,"Incomplete",""))))</f>
        <v/>
      </c>
    </row>
    <row r="202" spans="1:14" ht="15.95" customHeight="1">
      <c r="A202" s="66">
        <v>16</v>
      </c>
      <c r="B202" s="63" t="str">
        <f>IF('(2).Midterm Daily'!B202="","",'(2).Midterm Daily'!B202)</f>
        <v/>
      </c>
      <c r="C202" s="67" t="str">
        <f>IF('(2).Midterm Daily'!C202="","",'(2).Midterm Daily'!C202)</f>
        <v/>
      </c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50" t="str">
        <f>IF('(2).Midterm Daily'!AH202="Change","Change",IF('(2).Midterm Daily'!AH202="Stop","Stop",IF(B202="","",IF(COUNTA(D202:M202)&lt;10,"Incomplete",""))))</f>
        <v/>
      </c>
    </row>
    <row r="203" spans="1:14" ht="15.95" customHeight="1">
      <c r="A203" s="66">
        <v>17</v>
      </c>
      <c r="B203" s="63" t="str">
        <f>IF('(2).Midterm Daily'!B203="","",'(2).Midterm Daily'!B203)</f>
        <v/>
      </c>
      <c r="C203" s="67" t="str">
        <f>IF('(2).Midterm Daily'!C203="","",'(2).Midterm Daily'!C203)</f>
        <v/>
      </c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50" t="str">
        <f>IF('(2).Midterm Daily'!AH203="Change","Change",IF('(2).Midterm Daily'!AH203="Stop","Stop",IF(B203="","",IF(COUNTA(D203:M203)&lt;10,"Incomplete",""))))</f>
        <v/>
      </c>
    </row>
    <row r="204" spans="1:14" ht="15.95" customHeight="1">
      <c r="A204" s="66">
        <v>18</v>
      </c>
      <c r="B204" s="63" t="str">
        <f>IF('(2).Midterm Daily'!B204="","",'(2).Midterm Daily'!B204)</f>
        <v/>
      </c>
      <c r="C204" s="67" t="str">
        <f>IF('(2).Midterm Daily'!C204="","",'(2).Midterm Daily'!C204)</f>
        <v/>
      </c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50" t="str">
        <f>IF('(2).Midterm Daily'!AH204="Change","Change",IF('(2).Midterm Daily'!AH204="Stop","Stop",IF(B204="","",IF(COUNTA(D204:M204)&lt;10,"Incomplete",""))))</f>
        <v/>
      </c>
    </row>
    <row r="205" spans="1:14" ht="15.95" customHeight="1">
      <c r="A205" s="66">
        <v>19</v>
      </c>
      <c r="B205" s="63" t="str">
        <f>IF('(2).Midterm Daily'!B205="","",'(2).Midterm Daily'!B205)</f>
        <v/>
      </c>
      <c r="C205" s="67" t="str">
        <f>IF('(2).Midterm Daily'!C205="","",'(2).Midterm Daily'!C205)</f>
        <v/>
      </c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50" t="str">
        <f>IF('(2).Midterm Daily'!AH205="Change","Change",IF('(2).Midterm Daily'!AH205="Stop","Stop",IF(B205="","",IF(COUNTA(D205:M205)&lt;10,"Incomplete",""))))</f>
        <v/>
      </c>
    </row>
    <row r="206" spans="1:14" ht="15.95" customHeight="1">
      <c r="A206" s="66">
        <v>20</v>
      </c>
      <c r="B206" s="63" t="str">
        <f>IF('(2).Midterm Daily'!B206="","",'(2).Midterm Daily'!B206)</f>
        <v/>
      </c>
      <c r="C206" s="67" t="str">
        <f>IF('(2).Midterm Daily'!C206="","",'(2).Midterm Daily'!C206)</f>
        <v/>
      </c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50" t="str">
        <f>IF('(2).Midterm Daily'!AH206="Change","Change",IF('(2).Midterm Daily'!AH206="Stop","Stop",IF(B206="","",IF(COUNTA(D206:M206)&lt;10,"Incomplete",""))))</f>
        <v/>
      </c>
    </row>
    <row r="207" spans="1:14" ht="15.95" customHeight="1">
      <c r="A207" s="66">
        <v>21</v>
      </c>
      <c r="B207" s="63" t="str">
        <f>IF('(2).Midterm Daily'!B207="","",'(2).Midterm Daily'!B207)</f>
        <v/>
      </c>
      <c r="C207" s="67" t="str">
        <f>IF('(2).Midterm Daily'!C207="","",'(2).Midterm Daily'!C207)</f>
        <v/>
      </c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50" t="str">
        <f>IF('(2).Midterm Daily'!AH207="Change","Change",IF('(2).Midterm Daily'!AH207="Stop","Stop",IF(B207="","",IF(COUNTA(D207:M207)&lt;10,"Incomplete",""))))</f>
        <v/>
      </c>
    </row>
    <row r="208" spans="1:14" ht="15.95" customHeight="1">
      <c r="A208" s="66">
        <v>22</v>
      </c>
      <c r="B208" s="63" t="str">
        <f>IF('(2).Midterm Daily'!B208="","",'(2).Midterm Daily'!B208)</f>
        <v/>
      </c>
      <c r="C208" s="67" t="str">
        <f>IF('(2).Midterm Daily'!C208="","",'(2).Midterm Daily'!C208)</f>
        <v/>
      </c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50" t="str">
        <f>IF('(2).Midterm Daily'!AH208="Change","Change",IF('(2).Midterm Daily'!AH208="Stop","Stop",IF(B208="","",IF(COUNTA(D208:M208)&lt;10,"Incomplete",""))))</f>
        <v/>
      </c>
    </row>
    <row r="209" spans="1:14" ht="15.95" customHeight="1">
      <c r="A209" s="66">
        <v>23</v>
      </c>
      <c r="B209" s="63" t="str">
        <f>IF('(2).Midterm Daily'!B209="","",'(2).Midterm Daily'!B209)</f>
        <v/>
      </c>
      <c r="C209" s="67" t="str">
        <f>IF('(2).Midterm Daily'!C209="","",'(2).Midterm Daily'!C209)</f>
        <v/>
      </c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50" t="str">
        <f>IF('(2).Midterm Daily'!AH209="Change","Change",IF('(2).Midterm Daily'!AH209="Stop","Stop",IF(B209="","",IF(COUNTA(D209:M209)&lt;10,"Incomplete",""))))</f>
        <v/>
      </c>
    </row>
    <row r="210" spans="1:14" ht="15.95" customHeight="1">
      <c r="A210" s="66">
        <v>24</v>
      </c>
      <c r="B210" s="63" t="str">
        <f>IF('(2).Midterm Daily'!B210="","",'(2).Midterm Daily'!B210)</f>
        <v/>
      </c>
      <c r="C210" s="67" t="str">
        <f>IF('(2).Midterm Daily'!C210="","",'(2).Midterm Daily'!C210)</f>
        <v/>
      </c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50" t="str">
        <f>IF('(2).Midterm Daily'!AH210="Change","Change",IF('(2).Midterm Daily'!AH210="Stop","Stop",IF(B210="","",IF(COUNTA(D210:M210)&lt;10,"Incomplete",""))))</f>
        <v/>
      </c>
    </row>
    <row r="211" spans="1:14" ht="15.95" customHeight="1">
      <c r="A211" s="66">
        <v>25</v>
      </c>
      <c r="B211" s="63" t="str">
        <f>IF('(2).Midterm Daily'!B211="","",'(2).Midterm Daily'!B211)</f>
        <v/>
      </c>
      <c r="C211" s="67" t="str">
        <f>IF('(2).Midterm Daily'!C211="","",'(2).Midterm Daily'!C211)</f>
        <v/>
      </c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50" t="str">
        <f>IF('(2).Midterm Daily'!AH211="Change","Change",IF('(2).Midterm Daily'!AH211="Stop","Stop",IF(B211="","",IF(COUNTA(D211:M211)&lt;10,"Incomplete",""))))</f>
        <v/>
      </c>
    </row>
    <row r="212" spans="1:14" ht="15.95" customHeight="1">
      <c r="A212" s="66">
        <v>26</v>
      </c>
      <c r="B212" s="63" t="str">
        <f>IF('(2).Midterm Daily'!B212="","",'(2).Midterm Daily'!B212)</f>
        <v/>
      </c>
      <c r="C212" s="67" t="str">
        <f>IF('(2).Midterm Daily'!C212="","",'(2).Midterm Daily'!C212)</f>
        <v/>
      </c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50" t="str">
        <f>IF('(2).Midterm Daily'!AH212="Change","Change",IF('(2).Midterm Daily'!AH212="Stop","Stop",IF(B212="","",IF(COUNTA(D212:M212)&lt;10,"Incomplete",""))))</f>
        <v/>
      </c>
    </row>
    <row r="213" spans="1:14" ht="15.95" customHeight="1">
      <c r="A213" s="66">
        <v>27</v>
      </c>
      <c r="B213" s="63" t="str">
        <f>IF('(2).Midterm Daily'!B213="","",'(2).Midterm Daily'!B213)</f>
        <v/>
      </c>
      <c r="C213" s="67" t="str">
        <f>IF('(2).Midterm Daily'!C213="","",'(2).Midterm Daily'!C213)</f>
        <v/>
      </c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50" t="str">
        <f>IF('(2).Midterm Daily'!AH213="Change","Change",IF('(2).Midterm Daily'!AH213="Stop","Stop",IF(B213="","",IF(COUNTA(D213:M213)&lt;10,"Incomplete",""))))</f>
        <v/>
      </c>
    </row>
    <row r="214" spans="1:14" ht="15.95" customHeight="1">
      <c r="A214" s="66">
        <v>28</v>
      </c>
      <c r="B214" s="63" t="str">
        <f>IF('(2).Midterm Daily'!B214="","",'(2).Midterm Daily'!B214)</f>
        <v/>
      </c>
      <c r="C214" s="67" t="str">
        <f>IF('(2).Midterm Daily'!C214="","",'(2).Midterm Daily'!C214)</f>
        <v/>
      </c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50" t="str">
        <f>IF('(2).Midterm Daily'!AH214="Change","Change",IF('(2).Midterm Daily'!AH214="Stop","Stop",IF(B214="","",IF(COUNTA(D214:M214)&lt;10,"Incomplete",""))))</f>
        <v/>
      </c>
    </row>
    <row r="215" spans="1:14" ht="15.95" customHeight="1">
      <c r="A215" s="66">
        <v>29</v>
      </c>
      <c r="B215" s="63" t="str">
        <f>IF('(2).Midterm Daily'!B215="","",'(2).Midterm Daily'!B215)</f>
        <v/>
      </c>
      <c r="C215" s="67" t="str">
        <f>IF('(2).Midterm Daily'!C215="","",'(2).Midterm Daily'!C215)</f>
        <v/>
      </c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50" t="str">
        <f>IF('(2).Midterm Daily'!AH215="Change","Change",IF('(2).Midterm Daily'!AH215="Stop","Stop",IF(B215="","",IF(COUNTA(D215:M215)&lt;10,"Incomplete",""))))</f>
        <v/>
      </c>
    </row>
    <row r="216" spans="1:14" ht="15.95" customHeight="1">
      <c r="A216" s="66">
        <v>30</v>
      </c>
      <c r="B216" s="63" t="str">
        <f>IF('(2).Midterm Daily'!B216="","",'(2).Midterm Daily'!B216)</f>
        <v/>
      </c>
      <c r="C216" s="67" t="str">
        <f>IF('(2).Midterm Daily'!C216="","",'(2).Midterm Daily'!C216)</f>
        <v/>
      </c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50" t="str">
        <f>IF('(2).Midterm Daily'!AH216="Change","Change",IF('(2).Midterm Daily'!AH216="Stop","Stop",IF(B216="","",IF(COUNTA(D216:M216)&lt;10,"Incomplete",""))))</f>
        <v/>
      </c>
    </row>
  </sheetData>
  <mergeCells count="12">
    <mergeCell ref="D183:N184"/>
    <mergeCell ref="D109:N110"/>
    <mergeCell ref="D111:N112"/>
    <mergeCell ref="D145:N146"/>
    <mergeCell ref="D147:N148"/>
    <mergeCell ref="D181:N182"/>
    <mergeCell ref="D75:N76"/>
    <mergeCell ref="D1:N2"/>
    <mergeCell ref="D3:N4"/>
    <mergeCell ref="D37:N38"/>
    <mergeCell ref="D39:N40"/>
    <mergeCell ref="D73:N74"/>
  </mergeCells>
  <conditionalFormatting sqref="A7:N36">
    <cfRule type="expression" dxfId="317" priority="103">
      <formula>$N7="Late Exam"</formula>
    </cfRule>
    <cfRule type="expression" dxfId="316" priority="104">
      <formula>$N7="Stop"</formula>
    </cfRule>
    <cfRule type="expression" dxfId="315" priority="105">
      <formula>$N7="Change"</formula>
    </cfRule>
    <cfRule type="expression" dxfId="314" priority="106">
      <formula>$N7="Incomplete"</formula>
    </cfRule>
  </conditionalFormatting>
  <conditionalFormatting sqref="A43:N72">
    <cfRule type="expression" dxfId="313" priority="27">
      <formula>$N43="Change"</formula>
    </cfRule>
    <cfRule type="expression" dxfId="312" priority="26">
      <formula>$N43="Stop"</formula>
    </cfRule>
    <cfRule type="expression" dxfId="311" priority="25">
      <formula>$N43="Late Exam"</formula>
    </cfRule>
    <cfRule type="expression" dxfId="310" priority="28">
      <formula>$N43="Incomplete"</formula>
    </cfRule>
  </conditionalFormatting>
  <conditionalFormatting sqref="A79:N108">
    <cfRule type="expression" dxfId="309" priority="19">
      <formula>$N79="Late Exam"</formula>
    </cfRule>
    <cfRule type="expression" dxfId="308" priority="21">
      <formula>$N79="Change"</formula>
    </cfRule>
    <cfRule type="expression" dxfId="307" priority="20">
      <formula>$N79="Stop"</formula>
    </cfRule>
    <cfRule type="expression" dxfId="306" priority="22">
      <formula>$N79="Incomplete"</formula>
    </cfRule>
  </conditionalFormatting>
  <conditionalFormatting sqref="A115:N144">
    <cfRule type="expression" dxfId="305" priority="16">
      <formula>$N115="Incomplete"</formula>
    </cfRule>
    <cfRule type="expression" dxfId="304" priority="13">
      <formula>$N115="Late Exam"</formula>
    </cfRule>
    <cfRule type="expression" dxfId="303" priority="14">
      <formula>$N115="Stop"</formula>
    </cfRule>
    <cfRule type="expression" dxfId="302" priority="15">
      <formula>$N115="Change"</formula>
    </cfRule>
  </conditionalFormatting>
  <conditionalFormatting sqref="A151:N180">
    <cfRule type="expression" dxfId="301" priority="7">
      <formula>$N151="Late Exam"</formula>
    </cfRule>
    <cfRule type="expression" dxfId="300" priority="8">
      <formula>$N151="Stop"</formula>
    </cfRule>
    <cfRule type="expression" dxfId="299" priority="9">
      <formula>$N151="Change"</formula>
    </cfRule>
    <cfRule type="expression" dxfId="298" priority="10">
      <formula>$N151="Incomplete"</formula>
    </cfRule>
  </conditionalFormatting>
  <conditionalFormatting sqref="A187:N216">
    <cfRule type="expression" dxfId="297" priority="3">
      <formula>$N187="Change"</formula>
    </cfRule>
    <cfRule type="expression" dxfId="296" priority="4">
      <formula>$N187="Incomplete"</formula>
    </cfRule>
    <cfRule type="expression" dxfId="295" priority="1">
      <formula>$N187="Late Exam"</formula>
    </cfRule>
    <cfRule type="expression" dxfId="294" priority="2">
      <formula>$N187="Stop"</formula>
    </cfRule>
  </conditionalFormatting>
  <conditionalFormatting sqref="D7:M36">
    <cfRule type="cellIs" dxfId="293" priority="107" operator="equal">
      <formula>0</formula>
    </cfRule>
  </conditionalFormatting>
  <conditionalFormatting sqref="D43:M72">
    <cfRule type="cellIs" dxfId="292" priority="29" operator="equal">
      <formula>0</formula>
    </cfRule>
  </conditionalFormatting>
  <conditionalFormatting sqref="D79:M108">
    <cfRule type="cellIs" dxfId="291" priority="23" operator="equal">
      <formula>0</formula>
    </cfRule>
  </conditionalFormatting>
  <conditionalFormatting sqref="D115:M144">
    <cfRule type="cellIs" dxfId="290" priority="17" operator="equal">
      <formula>0</formula>
    </cfRule>
  </conditionalFormatting>
  <conditionalFormatting sqref="D151:M180">
    <cfRule type="cellIs" dxfId="289" priority="11" operator="equal">
      <formula>0</formula>
    </cfRule>
  </conditionalFormatting>
  <conditionalFormatting sqref="D187:M216">
    <cfRule type="cellIs" dxfId="288" priority="5" operator="equal">
      <formula>0</formula>
    </cfRule>
  </conditionalFormatting>
  <conditionalFormatting sqref="N7:N36">
    <cfRule type="containsText" dxfId="287" priority="108" operator="containsText" text="Incomplete">
      <formula>NOT(ISERROR(SEARCH("Incomplete",N7)))</formula>
    </cfRule>
  </conditionalFormatting>
  <conditionalFormatting sqref="N43:N72">
    <cfRule type="containsText" dxfId="286" priority="30" operator="containsText" text="Incomplete">
      <formula>NOT(ISERROR(SEARCH("Incomplete",N43)))</formula>
    </cfRule>
  </conditionalFormatting>
  <conditionalFormatting sqref="N79:N108">
    <cfRule type="containsText" dxfId="285" priority="24" operator="containsText" text="Incomplete">
      <formula>NOT(ISERROR(SEARCH("Incomplete",N79)))</formula>
    </cfRule>
  </conditionalFormatting>
  <conditionalFormatting sqref="N115:N144">
    <cfRule type="containsText" dxfId="284" priority="18" operator="containsText" text="Incomplete">
      <formula>NOT(ISERROR(SEARCH("Incomplete",N115)))</formula>
    </cfRule>
  </conditionalFormatting>
  <conditionalFormatting sqref="N151:N180">
    <cfRule type="containsText" dxfId="283" priority="12" operator="containsText" text="Incomplete">
      <formula>NOT(ISERROR(SEARCH("Incomplete",N151)))</formula>
    </cfRule>
  </conditionalFormatting>
  <conditionalFormatting sqref="N187:N216">
    <cfRule type="containsText" dxfId="282" priority="6" operator="containsText" text="Incomplete">
      <formula>NOT(ISERROR(SEARCH("Incomplete",N187)))</formula>
    </cfRule>
  </conditionalFormatting>
  <dataValidations count="1">
    <dataValidation type="decimal" allowBlank="1" showErrorMessage="1" errorTitle="Impossible!" error="Cancel it and then type the correct score." sqref="D7:M36 D43:M72 D79:M108 D115:M144 D151:M180 D187:M216" xr:uid="{199E8530-6A2E-41C0-BCBD-C7F6E538D68F}">
      <formula1>0</formula1>
      <formula2>10</formula2>
    </dataValidation>
  </dataValidations>
  <printOptions horizontalCentered="1" verticalCentered="1"/>
  <pageMargins left="0" right="0" top="0.25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9B2C-5FF3-423D-AA65-C9C8E7773AEA}">
  <sheetPr>
    <tabColor rgb="FFFFFF00"/>
  </sheetPr>
  <dimension ref="A1:O216"/>
  <sheetViews>
    <sheetView topLeftCell="A178" workbookViewId="0">
      <selection activeCell="R195" sqref="R195"/>
    </sheetView>
  </sheetViews>
  <sheetFormatPr defaultColWidth="9.5703125" defaultRowHeight="15.95" customHeight="1"/>
  <cols>
    <col min="1" max="1" width="5.7109375" style="5" customWidth="1"/>
    <col min="2" max="2" width="18.7109375" style="5" customWidth="1"/>
    <col min="3" max="3" width="4.7109375" style="5" customWidth="1"/>
    <col min="4" max="14" width="9.5703125" style="116"/>
    <col min="15" max="15" width="9.5703125" style="131"/>
    <col min="16" max="16384" width="9.5703125" style="5"/>
  </cols>
  <sheetData>
    <row r="1" spans="1:15" ht="15.95" customHeight="1">
      <c r="A1" s="18" t="s">
        <v>0</v>
      </c>
      <c r="B1" s="19" t="str">
        <f>'(3).Midterm Exam'!B1</f>
        <v>C2</v>
      </c>
      <c r="C1" s="60"/>
      <c r="D1" s="225" t="s">
        <v>94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</row>
    <row r="2" spans="1:15" ht="15.95" customHeight="1">
      <c r="A2" s="18" t="s">
        <v>1</v>
      </c>
      <c r="B2" s="19" t="str">
        <f>'(3).Midterm Exam'!B2</f>
        <v>K1B</v>
      </c>
      <c r="C2" s="60"/>
      <c r="D2" s="225" t="str">
        <f>'(3).Midterm Exam'!D3</f>
        <v>FEBRUARY - JULY 2026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</row>
    <row r="3" spans="1:15" ht="15.95" customHeight="1">
      <c r="A3" s="18" t="s">
        <v>2</v>
      </c>
      <c r="B3" s="19" t="str">
        <f>'(3).Midterm Exam'!B3</f>
        <v>3:00-5:30</v>
      </c>
      <c r="C3" s="60"/>
      <c r="D3" s="226" t="s">
        <v>30</v>
      </c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</row>
    <row r="4" spans="1:15" ht="15.95" customHeight="1">
      <c r="A4" s="18" t="s">
        <v>3</v>
      </c>
      <c r="B4" s="19">
        <f>'(3).Midterm Exam'!B4</f>
        <v>5</v>
      </c>
      <c r="C4" s="60"/>
      <c r="D4" s="117" t="s">
        <v>14</v>
      </c>
      <c r="E4" s="227" t="s">
        <v>93</v>
      </c>
      <c r="F4" s="228"/>
      <c r="G4" s="228"/>
      <c r="H4" s="228"/>
      <c r="I4" s="228"/>
      <c r="J4" s="228"/>
      <c r="K4" s="228"/>
      <c r="L4" s="228"/>
      <c r="M4" s="228"/>
      <c r="N4" s="229"/>
      <c r="O4" s="118" t="s">
        <v>16</v>
      </c>
    </row>
    <row r="5" spans="1:15" ht="15.95" customHeight="1">
      <c r="A5" s="18" t="s">
        <v>4</v>
      </c>
      <c r="B5" s="19" t="str">
        <f>'(3).Midterm Exam'!B5</f>
        <v>Hong Leeheng</v>
      </c>
      <c r="C5" s="60"/>
      <c r="D5" s="119" t="s">
        <v>15</v>
      </c>
      <c r="E5" s="112" t="str">
        <f>IF(OR($B2="K5",$B2="K6",$B2="K7",$B2="K8",$B2="K9",$B2="K10"),"Listening","Up-Low C")</f>
        <v>Up-Low C</v>
      </c>
      <c r="F5" s="112" t="str">
        <f>IF(OR($B2="K5",$B2="K6",$B2="K7",$B2="K8",$B2="K9",$B2="K10"),"Speaking","Alphabet N")</f>
        <v>Alphabet N</v>
      </c>
      <c r="G5" s="112" t="str">
        <f>IF(OR($B2="K5",$B2="K6",$B2="K7",$B2="K8",$B2="K9",$B2="K10"),"Reading","Alphabet S")</f>
        <v>Alphabet S</v>
      </c>
      <c r="H5" s="112" t="str">
        <f>IF(OR($B2="K5",$B2="K6",$B2="K7",$B2="K8",$B2="K9",$B2="K10"),"Writing","Vocabulary")</f>
        <v>Vocabulary</v>
      </c>
      <c r="I5" s="112" t="str">
        <f>IF(OR($B2="K5",$B2="K6",$B2="K7",$B2="K8",$B2="K9",$B2="K10"),"Grammar","Sprouts")</f>
        <v>Sprouts</v>
      </c>
      <c r="J5" s="112" t="str">
        <f>IF(OR($B2="K5",$B2="K6",$B2="K7",$B2="K8",$B2="K9",$B2="K10"),"Vocabulary","Phonics")</f>
        <v>Phonics</v>
      </c>
      <c r="K5" s="112" t="str">
        <f>IF(OR($B2="K5",$B2="K6",$B2="K7",$B2="K8",$B2="K9",$B2="K10"),"Roots","Math")</f>
        <v>Math</v>
      </c>
      <c r="L5" s="112" t="str">
        <f>IF(OR($B2="K5",$B2="K6",$B2="K7",$B2="K8",$B2="K9",$B2="K10"),"Phonics","Shape")</f>
        <v>Shape</v>
      </c>
      <c r="M5" s="112" t="str">
        <f>IF(OR($B2="K5",$B2="K6",$B2="K7",$B2="K8",$B2="K9",$B2="K10"),"Math","Science")</f>
        <v>Science</v>
      </c>
      <c r="N5" s="112" t="str">
        <f>IF(OR($B2="K5",$B2="K6",$B2="K7",$B2="K8",$B2="K9",$B2="K10"),"Science","Tracing")</f>
        <v>Tracing</v>
      </c>
      <c r="O5" s="120" t="s">
        <v>17</v>
      </c>
    </row>
    <row r="6" spans="1:15" ht="15.95" customHeight="1" thickBot="1">
      <c r="A6" s="82" t="s">
        <v>5</v>
      </c>
      <c r="B6" s="83" t="s">
        <v>6</v>
      </c>
      <c r="C6" s="84" t="s">
        <v>7</v>
      </c>
      <c r="D6" s="113" t="s">
        <v>92</v>
      </c>
      <c r="E6" s="113" t="s">
        <v>9</v>
      </c>
      <c r="F6" s="113" t="s">
        <v>9</v>
      </c>
      <c r="G6" s="113" t="s">
        <v>9</v>
      </c>
      <c r="H6" s="113" t="s">
        <v>9</v>
      </c>
      <c r="I6" s="113" t="s">
        <v>9</v>
      </c>
      <c r="J6" s="113" t="s">
        <v>9</v>
      </c>
      <c r="K6" s="113" t="s">
        <v>9</v>
      </c>
      <c r="L6" s="113" t="s">
        <v>9</v>
      </c>
      <c r="M6" s="113" t="s">
        <v>9</v>
      </c>
      <c r="N6" s="113" t="s">
        <v>9</v>
      </c>
      <c r="O6" s="113" t="s">
        <v>92</v>
      </c>
    </row>
    <row r="7" spans="1:15" s="12" customFormat="1" ht="15.95" customHeight="1">
      <c r="A7" s="78">
        <v>1</v>
      </c>
      <c r="B7" s="68" t="str">
        <f>IF('(3).Midterm Exam'!B7="","",'(3).Midterm Exam'!B7)</f>
        <v>Chhim Chansithika</v>
      </c>
      <c r="C7" s="79" t="str">
        <f>IF('(3).Midterm Exam'!C7="","",'(3).Midterm Exam'!C7)</f>
        <v>F</v>
      </c>
      <c r="D7" s="121">
        <f>IF('(2).Midterm Daily'!AH7="","",'(2).Midterm Daily'!AH7)</f>
        <v>85.875</v>
      </c>
      <c r="E7" s="122">
        <f>IF('(3).Midterm Exam'!D7="","",'(3).Midterm Exam'!D7)</f>
        <v>9</v>
      </c>
      <c r="F7" s="123">
        <f>IF('(3).Midterm Exam'!E7="","",'(3).Midterm Exam'!E7)</f>
        <v>8.5</v>
      </c>
      <c r="G7" s="123">
        <f>IF('(3).Midterm Exam'!F7="","",'(3).Midterm Exam'!F7)</f>
        <v>10</v>
      </c>
      <c r="H7" s="123">
        <f>IF('(3).Midterm Exam'!G7="","",'(3).Midterm Exam'!G7)</f>
        <v>5.5</v>
      </c>
      <c r="I7" s="123">
        <f>IF('(3).Midterm Exam'!H7="","",'(3).Midterm Exam'!H7)</f>
        <v>7.5</v>
      </c>
      <c r="J7" s="123">
        <f>IF('(3).Midterm Exam'!I7="","",'(3).Midterm Exam'!I7)</f>
        <v>9</v>
      </c>
      <c r="K7" s="123">
        <f>IF('(3).Midterm Exam'!J7="","",'(3).Midterm Exam'!J7)</f>
        <v>10</v>
      </c>
      <c r="L7" s="123">
        <f>IF('(3).Midterm Exam'!K7="","",'(3).Midterm Exam'!K7)</f>
        <v>10</v>
      </c>
      <c r="M7" s="123">
        <f>IF('(3).Midterm Exam'!L7="","",'(3).Midterm Exam'!L7)</f>
        <v>10</v>
      </c>
      <c r="N7" s="124">
        <f>IF('(3).Midterm Exam'!M7="","",'(3).Midterm Exam'!M7)</f>
        <v>8</v>
      </c>
      <c r="O7" s="125">
        <f>IF(B7="","",IF(D7="Incomplete","Incomplete",IF('(3).Midterm Exam'!N7="Change","Change",IF('(3).Midterm Exam'!N7="Stop","Stop",IF('(3).Midterm Exam'!N7="Incomplete","Incomplete",IF(COUNTBLANK(D7:N7)&gt;=1,"Incomplete",D7*20%+SUM(E7:N7)*80%))))))</f>
        <v>87.174999999999997</v>
      </c>
    </row>
    <row r="8" spans="1:15" ht="15.95" customHeight="1">
      <c r="A8" s="66">
        <v>2</v>
      </c>
      <c r="B8" s="63" t="str">
        <f>IF('(3).Midterm Exam'!B8="","",'(3).Midterm Exam'!B8)</f>
        <v>Chhout Senghour</v>
      </c>
      <c r="C8" s="67" t="str">
        <f>IF('(3).Midterm Exam'!C8="","",'(3).Midterm Exam'!C8)</f>
        <v>M</v>
      </c>
      <c r="D8" s="126">
        <f>IF('(2).Midterm Daily'!AH8="","",'(2).Midterm Daily'!AH8)</f>
        <v>67.25</v>
      </c>
      <c r="E8" s="127">
        <f>IF('(3).Midterm Exam'!D8="","",'(3).Midterm Exam'!D8)</f>
        <v>6.5</v>
      </c>
      <c r="F8" s="128">
        <f>IF('(3).Midterm Exam'!E8="","",'(3).Midterm Exam'!E8)</f>
        <v>6.75</v>
      </c>
      <c r="G8" s="128">
        <f>IF('(3).Midterm Exam'!F8="","",'(3).Midterm Exam'!F8)</f>
        <v>3</v>
      </c>
      <c r="H8" s="128">
        <f>IF('(3).Midterm Exam'!G8="","",'(3).Midterm Exam'!G8)</f>
        <v>5</v>
      </c>
      <c r="I8" s="128">
        <f>IF('(3).Midterm Exam'!H8="","",'(3).Midterm Exam'!H8)</f>
        <v>2</v>
      </c>
      <c r="J8" s="128">
        <f>IF('(3).Midterm Exam'!I8="","",'(3).Midterm Exam'!I8)</f>
        <v>6</v>
      </c>
      <c r="K8" s="128">
        <f>IF('(3).Midterm Exam'!J8="","",'(3).Midterm Exam'!J8)</f>
        <v>10</v>
      </c>
      <c r="L8" s="128">
        <f>IF('(3).Midterm Exam'!K8="","",'(3).Midterm Exam'!K8)</f>
        <v>7</v>
      </c>
      <c r="M8" s="128">
        <f>IF('(3).Midterm Exam'!L8="","",'(3).Midterm Exam'!L8)</f>
        <v>6</v>
      </c>
      <c r="N8" s="129">
        <f>IF('(3).Midterm Exam'!M8="","",'(3).Midterm Exam'!M8)</f>
        <v>8</v>
      </c>
      <c r="O8" s="130">
        <f>IF(B8="","",IF(D8="Incomplete","Incomplete",IF('(3).Midterm Exam'!N8="Change","Change",IF('(3).Midterm Exam'!N8="Stop","Stop",IF('(3).Midterm Exam'!N8="Incomplete","Incomplete",IF(COUNTBLANK(D8:N8)&gt;=1,"Incomplete",D8*20%+SUM(E8:N8)*80%))))))</f>
        <v>61.650000000000006</v>
      </c>
    </row>
    <row r="9" spans="1:15" ht="15.95" customHeight="1">
      <c r="A9" s="66">
        <v>3</v>
      </c>
      <c r="B9" s="63" t="str">
        <f>IF('(3).Midterm Exam'!B9="","",'(3).Midterm Exam'!B9)</f>
        <v>Det Phouri</v>
      </c>
      <c r="C9" s="67" t="str">
        <f>IF('(3).Midterm Exam'!C9="","",'(3).Midterm Exam'!C9)</f>
        <v>M</v>
      </c>
      <c r="D9" s="126">
        <f>IF('(2).Midterm Daily'!AH9="","",'(2).Midterm Daily'!AH9)</f>
        <v>89.625</v>
      </c>
      <c r="E9" s="127">
        <f>IF('(3).Midterm Exam'!D9="","",'(3).Midterm Exam'!D9)</f>
        <v>9</v>
      </c>
      <c r="F9" s="128">
        <f>IF('(3).Midterm Exam'!E9="","",'(3).Midterm Exam'!E9)</f>
        <v>9</v>
      </c>
      <c r="G9" s="128">
        <f>IF('(3).Midterm Exam'!F9="","",'(3).Midterm Exam'!F9)</f>
        <v>8.25</v>
      </c>
      <c r="H9" s="128">
        <f>IF('(3).Midterm Exam'!G9="","",'(3).Midterm Exam'!G9)</f>
        <v>8</v>
      </c>
      <c r="I9" s="128">
        <f>IF('(3).Midterm Exam'!H9="","",'(3).Midterm Exam'!H9)</f>
        <v>7.25</v>
      </c>
      <c r="J9" s="128">
        <f>IF('(3).Midterm Exam'!I9="","",'(3).Midterm Exam'!I9)</f>
        <v>9</v>
      </c>
      <c r="K9" s="128">
        <f>IF('(3).Midterm Exam'!J9="","",'(3).Midterm Exam'!J9)</f>
        <v>10</v>
      </c>
      <c r="L9" s="128">
        <f>IF('(3).Midterm Exam'!K9="","",'(3).Midterm Exam'!K9)</f>
        <v>8</v>
      </c>
      <c r="M9" s="128">
        <f>IF('(3).Midterm Exam'!L9="","",'(3).Midterm Exam'!L9)</f>
        <v>10</v>
      </c>
      <c r="N9" s="129">
        <f>IF('(3).Midterm Exam'!M9="","",'(3).Midterm Exam'!M9)</f>
        <v>8.5</v>
      </c>
      <c r="O9" s="130">
        <f>IF(B9="","",IF(D9="Incomplete","Incomplete",IF('(3).Midterm Exam'!N9="Change","Change",IF('(3).Midterm Exam'!N9="Stop","Stop",IF('(3).Midterm Exam'!N9="Incomplete","Incomplete",IF(COUNTBLANK(D9:N9)&gt;=1,"Incomplete",D9*20%+SUM(E9:N9)*80%))))))</f>
        <v>87.525000000000006</v>
      </c>
    </row>
    <row r="10" spans="1:15" ht="15.95" customHeight="1">
      <c r="A10" s="66">
        <v>4</v>
      </c>
      <c r="B10" s="63" t="str">
        <f>IF('(3).Midterm Exam'!B10="","",'(3).Midterm Exam'!B10)</f>
        <v>Dy Chanto</v>
      </c>
      <c r="C10" s="67" t="str">
        <f>IF('(3).Midterm Exam'!C10="","",'(3).Midterm Exam'!C10)</f>
        <v>M</v>
      </c>
      <c r="D10" s="126">
        <f>IF('(2).Midterm Daily'!AH10="","",'(2).Midterm Daily'!AH10)</f>
        <v>49</v>
      </c>
      <c r="E10" s="127">
        <f>IF('(3).Midterm Exam'!D10="","",'(3).Midterm Exam'!D10)</f>
        <v>6.5</v>
      </c>
      <c r="F10" s="128">
        <f>IF('(3).Midterm Exam'!E10="","",'(3).Midterm Exam'!E10)</f>
        <v>4</v>
      </c>
      <c r="G10" s="128">
        <f>IF('(3).Midterm Exam'!F10="","",'(3).Midterm Exam'!F10)</f>
        <v>0.5</v>
      </c>
      <c r="H10" s="128">
        <f>IF('(3).Midterm Exam'!G10="","",'(3).Midterm Exam'!G10)</f>
        <v>5.5</v>
      </c>
      <c r="I10" s="128">
        <f>IF('(3).Midterm Exam'!H10="","",'(3).Midterm Exam'!H10)</f>
        <v>3</v>
      </c>
      <c r="J10" s="128">
        <f>IF('(3).Midterm Exam'!I10="","",'(3).Midterm Exam'!I10)</f>
        <v>2</v>
      </c>
      <c r="K10" s="128">
        <f>IF('(3).Midterm Exam'!J10="","",'(3).Midterm Exam'!J10)</f>
        <v>10</v>
      </c>
      <c r="L10" s="128">
        <f>IF('(3).Midterm Exam'!K10="","",'(3).Midterm Exam'!K10)</f>
        <v>9</v>
      </c>
      <c r="M10" s="128">
        <f>IF('(3).Midterm Exam'!L10="","",'(3).Midterm Exam'!L10)</f>
        <v>6.5</v>
      </c>
      <c r="N10" s="129">
        <f>IF('(3).Midterm Exam'!M10="","",'(3).Midterm Exam'!M10)</f>
        <v>8</v>
      </c>
      <c r="O10" s="130">
        <f>IF(B10="","",IF(D10="Incomplete","Incomplete",IF('(3).Midterm Exam'!N10="Change","Change",IF('(3).Midterm Exam'!N10="Stop","Stop",IF('(3).Midterm Exam'!N10="Incomplete","Incomplete",IF(COUNTBLANK(D10:N10)&gt;=1,"Incomplete",D10*20%+SUM(E10:N10)*80%))))))</f>
        <v>53.8</v>
      </c>
    </row>
    <row r="11" spans="1:15" ht="15.95" customHeight="1">
      <c r="A11" s="66">
        <v>5</v>
      </c>
      <c r="B11" s="63" t="str">
        <f>IF('(3).Midterm Exam'!B11="","",'(3).Midterm Exam'!B11)</f>
        <v>Dy Meyly</v>
      </c>
      <c r="C11" s="67" t="str">
        <f>IF('(3).Midterm Exam'!C11="","",'(3).Midterm Exam'!C11)</f>
        <v>F</v>
      </c>
      <c r="D11" s="126">
        <f>IF('(2).Midterm Daily'!AH11="","",'(2).Midterm Daily'!AH11)</f>
        <v>96.625</v>
      </c>
      <c r="E11" s="127">
        <f>IF('(3).Midterm Exam'!D11="","",'(3).Midterm Exam'!D11)</f>
        <v>10</v>
      </c>
      <c r="F11" s="128">
        <f>IF('(3).Midterm Exam'!E11="","",'(3).Midterm Exam'!E11)</f>
        <v>10</v>
      </c>
      <c r="G11" s="128">
        <f>IF('(3).Midterm Exam'!F11="","",'(3).Midterm Exam'!F11)</f>
        <v>10</v>
      </c>
      <c r="H11" s="128">
        <f>IF('(3).Midterm Exam'!G11="","",'(3).Midterm Exam'!G11)</f>
        <v>10</v>
      </c>
      <c r="I11" s="128">
        <f>IF('(3).Midterm Exam'!H11="","",'(3).Midterm Exam'!H11)</f>
        <v>10</v>
      </c>
      <c r="J11" s="128">
        <f>IF('(3).Midterm Exam'!I11="","",'(3).Midterm Exam'!I11)</f>
        <v>10</v>
      </c>
      <c r="K11" s="128">
        <f>IF('(3).Midterm Exam'!J11="","",'(3).Midterm Exam'!J11)</f>
        <v>10</v>
      </c>
      <c r="L11" s="128">
        <f>IF('(3).Midterm Exam'!K11="","",'(3).Midterm Exam'!K11)</f>
        <v>10</v>
      </c>
      <c r="M11" s="128">
        <f>IF('(3).Midterm Exam'!L11="","",'(3).Midterm Exam'!L11)</f>
        <v>10</v>
      </c>
      <c r="N11" s="129">
        <f>IF('(3).Midterm Exam'!M11="","",'(3).Midterm Exam'!M11)</f>
        <v>10</v>
      </c>
      <c r="O11" s="130">
        <f>IF(B11="","",IF(D11="Incomplete","Incomplete",IF('(3).Midterm Exam'!N11="Change","Change",IF('(3).Midterm Exam'!N11="Stop","Stop",IF('(3).Midterm Exam'!N11="Incomplete","Incomplete",IF(COUNTBLANK(D11:N11)&gt;=1,"Incomplete",D11*20%+SUM(E11:N11)*80%))))))</f>
        <v>99.325000000000003</v>
      </c>
    </row>
    <row r="12" spans="1:15" ht="15.95" customHeight="1">
      <c r="A12" s="66">
        <v>6</v>
      </c>
      <c r="B12" s="63" t="str">
        <f>IF('(3).Midterm Exam'!B12="","",'(3).Midterm Exam'!B12)</f>
        <v>Heang Limhak</v>
      </c>
      <c r="C12" s="67" t="str">
        <f>IF('(3).Midterm Exam'!C12="","",'(3).Midterm Exam'!C12)</f>
        <v>M</v>
      </c>
      <c r="D12" s="126">
        <f>IF('(2).Midterm Daily'!AH12="","",'(2).Midterm Daily'!AH12)</f>
        <v>83.25</v>
      </c>
      <c r="E12" s="127">
        <f>IF('(3).Midterm Exam'!D12="","",'(3).Midterm Exam'!D12)</f>
        <v>9.75</v>
      </c>
      <c r="F12" s="128">
        <f>IF('(3).Midterm Exam'!E12="","",'(3).Midterm Exam'!E12)</f>
        <v>8.75</v>
      </c>
      <c r="G12" s="128">
        <f>IF('(3).Midterm Exam'!F12="","",'(3).Midterm Exam'!F12)</f>
        <v>9.5</v>
      </c>
      <c r="H12" s="128">
        <f>IF('(3).Midterm Exam'!G12="","",'(3).Midterm Exam'!G12)</f>
        <v>8</v>
      </c>
      <c r="I12" s="128">
        <f>IF('(3).Midterm Exam'!H12="","",'(3).Midterm Exam'!H12)</f>
        <v>5</v>
      </c>
      <c r="J12" s="128">
        <f>IF('(3).Midterm Exam'!I12="","",'(3).Midterm Exam'!I12)</f>
        <v>10</v>
      </c>
      <c r="K12" s="128">
        <f>IF('(3).Midterm Exam'!J12="","",'(3).Midterm Exam'!J12)</f>
        <v>7</v>
      </c>
      <c r="L12" s="128">
        <f>IF('(3).Midterm Exam'!K12="","",'(3).Midterm Exam'!K12)</f>
        <v>7</v>
      </c>
      <c r="M12" s="128">
        <f>IF('(3).Midterm Exam'!L12="","",'(3).Midterm Exam'!L12)</f>
        <v>9</v>
      </c>
      <c r="N12" s="129">
        <f>IF('(3).Midterm Exam'!M12="","",'(3).Midterm Exam'!M12)</f>
        <v>9.5</v>
      </c>
      <c r="O12" s="130">
        <f>IF(B12="","",IF(D12="Incomplete","Incomplete",IF('(3).Midterm Exam'!N12="Change","Change",IF('(3).Midterm Exam'!N12="Stop","Stop",IF('(3).Midterm Exam'!N12="Incomplete","Incomplete",IF(COUNTBLANK(D12:N12)&gt;=1,"Incomplete",D12*20%+SUM(E12:N12)*80%))))))</f>
        <v>83.45</v>
      </c>
    </row>
    <row r="13" spans="1:15" ht="15.95" customHeight="1">
      <c r="A13" s="66">
        <v>7</v>
      </c>
      <c r="B13" s="63" t="str">
        <f>IF('(3).Midterm Exam'!B13="","",'(3).Midterm Exam'!B13)</f>
        <v>Keo Tepsatsjak</v>
      </c>
      <c r="C13" s="67" t="str">
        <f>IF('(3).Midterm Exam'!C13="","",'(3).Midterm Exam'!C13)</f>
        <v>M</v>
      </c>
      <c r="D13" s="126">
        <f>IF('(2).Midterm Daily'!AH13="","",'(2).Midterm Daily'!AH13)</f>
        <v>91.5</v>
      </c>
      <c r="E13" s="127">
        <f>IF('(3).Midterm Exam'!D13="","",'(3).Midterm Exam'!D13)</f>
        <v>9</v>
      </c>
      <c r="F13" s="128">
        <f>IF('(3).Midterm Exam'!E13="","",'(3).Midterm Exam'!E13)</f>
        <v>8.5</v>
      </c>
      <c r="G13" s="128">
        <f>IF('(3).Midterm Exam'!F13="","",'(3).Midterm Exam'!F13)</f>
        <v>10</v>
      </c>
      <c r="H13" s="128">
        <f>IF('(3).Midterm Exam'!G13="","",'(3).Midterm Exam'!G13)</f>
        <v>9.5</v>
      </c>
      <c r="I13" s="128">
        <f>IF('(3).Midterm Exam'!H13="","",'(3).Midterm Exam'!H13)</f>
        <v>9</v>
      </c>
      <c r="J13" s="128">
        <f>IF('(3).Midterm Exam'!I13="","",'(3).Midterm Exam'!I13)</f>
        <v>10</v>
      </c>
      <c r="K13" s="128">
        <f>IF('(3).Midterm Exam'!J13="","",'(3).Midterm Exam'!J13)</f>
        <v>10</v>
      </c>
      <c r="L13" s="128">
        <f>IF('(3).Midterm Exam'!K13="","",'(3).Midterm Exam'!K13)</f>
        <v>10</v>
      </c>
      <c r="M13" s="128">
        <f>IF('(3).Midterm Exam'!L13="","",'(3).Midterm Exam'!L13)</f>
        <v>10</v>
      </c>
      <c r="N13" s="129">
        <f>IF('(3).Midterm Exam'!M13="","",'(3).Midterm Exam'!M13)</f>
        <v>9.75</v>
      </c>
      <c r="O13" s="130">
        <f>IF(B13="","",IF(D13="Incomplete","Incomplete",IF('(3).Midterm Exam'!N13="Change","Change",IF('(3).Midterm Exam'!N13="Stop","Stop",IF('(3).Midterm Exam'!N13="Incomplete","Incomplete",IF(COUNTBLANK(D13:N13)&gt;=1,"Incomplete",D13*20%+SUM(E13:N13)*80%))))))</f>
        <v>94.9</v>
      </c>
    </row>
    <row r="14" spans="1:15" ht="15.95" customHeight="1">
      <c r="A14" s="66">
        <v>8</v>
      </c>
      <c r="B14" s="63" t="str">
        <f>IF('(3).Midterm Exam'!B14="","",'(3).Midterm Exam'!B14)</f>
        <v>Kong Yonghae</v>
      </c>
      <c r="C14" s="67" t="str">
        <f>IF('(3).Midterm Exam'!C14="","",'(3).Midterm Exam'!C14)</f>
        <v>M</v>
      </c>
      <c r="D14" s="126">
        <f>IF('(2).Midterm Daily'!AH14="","",'(2).Midterm Daily'!AH14)</f>
        <v>91</v>
      </c>
      <c r="E14" s="127">
        <f>IF('(3).Midterm Exam'!D14="","",'(3).Midterm Exam'!D14)</f>
        <v>10</v>
      </c>
      <c r="F14" s="128">
        <f>IF('(3).Midterm Exam'!E14="","",'(3).Midterm Exam'!E14)</f>
        <v>9.25</v>
      </c>
      <c r="G14" s="128">
        <f>IF('(3).Midterm Exam'!F14="","",'(3).Midterm Exam'!F14)</f>
        <v>9.75</v>
      </c>
      <c r="H14" s="128">
        <f>IF('(3).Midterm Exam'!G14="","",'(3).Midterm Exam'!G14)</f>
        <v>10</v>
      </c>
      <c r="I14" s="128">
        <f>IF('(3).Midterm Exam'!H14="","",'(3).Midterm Exam'!H14)</f>
        <v>9</v>
      </c>
      <c r="J14" s="128">
        <f>IF('(3).Midterm Exam'!I14="","",'(3).Midterm Exam'!I14)</f>
        <v>10</v>
      </c>
      <c r="K14" s="128">
        <f>IF('(3).Midterm Exam'!J14="","",'(3).Midterm Exam'!J14)</f>
        <v>10</v>
      </c>
      <c r="L14" s="128">
        <f>IF('(3).Midterm Exam'!K14="","",'(3).Midterm Exam'!K14)</f>
        <v>10</v>
      </c>
      <c r="M14" s="128">
        <f>IF('(3).Midterm Exam'!L14="","",'(3).Midterm Exam'!L14)</f>
        <v>10</v>
      </c>
      <c r="N14" s="129">
        <f>IF('(3).Midterm Exam'!M14="","",'(3).Midterm Exam'!M14)</f>
        <v>10</v>
      </c>
      <c r="O14" s="130">
        <f>IF(B14="","",IF(D14="Incomplete","Incomplete",IF('(3).Midterm Exam'!N14="Change","Change",IF('(3).Midterm Exam'!N14="Stop","Stop",IF('(3).Midterm Exam'!N14="Incomplete","Incomplete",IF(COUNTBLANK(D14:N14)&gt;=1,"Incomplete",D14*20%+SUM(E14:N14)*80%))))))</f>
        <v>96.600000000000009</v>
      </c>
    </row>
    <row r="15" spans="1:15" ht="15.95" customHeight="1">
      <c r="A15" s="66">
        <v>9</v>
      </c>
      <c r="B15" s="63" t="str">
        <f>IF('(3).Midterm Exam'!B15="","",'(3).Midterm Exam'!B15)</f>
        <v>Lim Davymulika</v>
      </c>
      <c r="C15" s="67" t="str">
        <f>IF('(3).Midterm Exam'!C15="","",'(3).Midterm Exam'!C15)</f>
        <v>F</v>
      </c>
      <c r="D15" s="126">
        <f>IF('(2).Midterm Daily'!AH15="","",'(2).Midterm Daily'!AH15)</f>
        <v>60.875</v>
      </c>
      <c r="E15" s="127">
        <f>IF('(3).Midterm Exam'!D15="","",'(3).Midterm Exam'!D15)</f>
        <v>9.5</v>
      </c>
      <c r="F15" s="128">
        <f>IF('(3).Midterm Exam'!E15="","",'(3).Midterm Exam'!E15)</f>
        <v>7</v>
      </c>
      <c r="G15" s="128">
        <f>IF('(3).Midterm Exam'!F15="","",'(3).Midterm Exam'!F15)</f>
        <v>9</v>
      </c>
      <c r="H15" s="128">
        <f>IF('(3).Midterm Exam'!G15="","",'(3).Midterm Exam'!G15)</f>
        <v>6</v>
      </c>
      <c r="I15" s="128">
        <f>IF('(3).Midterm Exam'!H15="","",'(3).Midterm Exam'!H15)</f>
        <v>7.75</v>
      </c>
      <c r="J15" s="128">
        <f>IF('(3).Midterm Exam'!I15="","",'(3).Midterm Exam'!I15)</f>
        <v>7</v>
      </c>
      <c r="K15" s="128">
        <f>IF('(3).Midterm Exam'!J15="","",'(3).Midterm Exam'!J15)</f>
        <v>10</v>
      </c>
      <c r="L15" s="128">
        <f>IF('(3).Midterm Exam'!K15="","",'(3).Midterm Exam'!K15)</f>
        <v>7</v>
      </c>
      <c r="M15" s="128">
        <f>IF('(3).Midterm Exam'!L15="","",'(3).Midterm Exam'!L15)</f>
        <v>10</v>
      </c>
      <c r="N15" s="129">
        <f>IF('(3).Midterm Exam'!M15="","",'(3).Midterm Exam'!M15)</f>
        <v>9</v>
      </c>
      <c r="O15" s="130">
        <f>IF(B15="","",IF(D15="Incomplete","Incomplete",IF('(3).Midterm Exam'!N15="Change","Change",IF('(3).Midterm Exam'!N15="Stop","Stop",IF('(3).Midterm Exam'!N15="Incomplete","Incomplete",IF(COUNTBLANK(D15:N15)&gt;=1,"Incomplete",D15*20%+SUM(E15:N15)*80%))))))</f>
        <v>77.974999999999994</v>
      </c>
    </row>
    <row r="16" spans="1:15" ht="15.95" customHeight="1">
      <c r="A16" s="66">
        <v>10</v>
      </c>
      <c r="B16" s="63" t="str">
        <f>IF('(3).Midterm Exam'!B16="","",'(3).Midterm Exam'!B16)</f>
        <v>Lot SamAngvichara</v>
      </c>
      <c r="C16" s="67" t="str">
        <f>IF('(3).Midterm Exam'!C16="","",'(3).Midterm Exam'!C16)</f>
        <v>F</v>
      </c>
      <c r="D16" s="126">
        <f>IF('(2).Midterm Daily'!AH16="","",'(2).Midterm Daily'!AH16)</f>
        <v>93.5</v>
      </c>
      <c r="E16" s="127">
        <f>IF('(3).Midterm Exam'!D16="","",'(3).Midterm Exam'!D16)</f>
        <v>9</v>
      </c>
      <c r="F16" s="128">
        <f>IF('(3).Midterm Exam'!E16="","",'(3).Midterm Exam'!E16)</f>
        <v>9.5</v>
      </c>
      <c r="G16" s="128">
        <f>IF('(3).Midterm Exam'!F16="","",'(3).Midterm Exam'!F16)</f>
        <v>10</v>
      </c>
      <c r="H16" s="128">
        <f>IF('(3).Midterm Exam'!G16="","",'(3).Midterm Exam'!G16)</f>
        <v>10</v>
      </c>
      <c r="I16" s="128">
        <f>IF('(3).Midterm Exam'!H16="","",'(3).Midterm Exam'!H16)</f>
        <v>10</v>
      </c>
      <c r="J16" s="128">
        <f>IF('(3).Midterm Exam'!I16="","",'(3).Midterm Exam'!I16)</f>
        <v>10</v>
      </c>
      <c r="K16" s="128">
        <f>IF('(3).Midterm Exam'!J16="","",'(3).Midterm Exam'!J16)</f>
        <v>10</v>
      </c>
      <c r="L16" s="128">
        <f>IF('(3).Midterm Exam'!K16="","",'(3).Midterm Exam'!K16)</f>
        <v>10</v>
      </c>
      <c r="M16" s="128">
        <f>IF('(3).Midterm Exam'!L16="","",'(3).Midterm Exam'!L16)</f>
        <v>10</v>
      </c>
      <c r="N16" s="129">
        <f>IF('(3).Midterm Exam'!M16="","",'(3).Midterm Exam'!M16)</f>
        <v>9</v>
      </c>
      <c r="O16" s="130">
        <f>IF(B16="","",IF(D16="Incomplete","Incomplete",IF('(3).Midterm Exam'!N16="Change","Change",IF('(3).Midterm Exam'!N16="Stop","Stop",IF('(3).Midterm Exam'!N16="Incomplete","Incomplete",IF(COUNTBLANK(D16:N16)&gt;=1,"Incomplete",D16*20%+SUM(E16:N16)*80%))))))</f>
        <v>96.7</v>
      </c>
    </row>
    <row r="17" spans="1:15" ht="15.95" customHeight="1">
      <c r="A17" s="66">
        <v>11</v>
      </c>
      <c r="B17" s="63" t="str">
        <f>IF('(3).Midterm Exam'!B17="","",'(3).Midterm Exam'!B17)</f>
        <v>Lot Vichheka</v>
      </c>
      <c r="C17" s="67" t="str">
        <f>IF('(3).Midterm Exam'!C17="","",'(3).Midterm Exam'!C17)</f>
        <v>M</v>
      </c>
      <c r="D17" s="126">
        <f>IF('(2).Midterm Daily'!AH17="","",'(2).Midterm Daily'!AH17)</f>
        <v>92</v>
      </c>
      <c r="E17" s="127">
        <f>IF('(3).Midterm Exam'!D17="","",'(3).Midterm Exam'!D17)</f>
        <v>9.5</v>
      </c>
      <c r="F17" s="128">
        <f>IF('(3).Midterm Exam'!E17="","",'(3).Midterm Exam'!E17)</f>
        <v>10</v>
      </c>
      <c r="G17" s="128">
        <f>IF('(3).Midterm Exam'!F17="","",'(3).Midterm Exam'!F17)</f>
        <v>10</v>
      </c>
      <c r="H17" s="128">
        <f>IF('(3).Midterm Exam'!G17="","",'(3).Midterm Exam'!G17)</f>
        <v>10</v>
      </c>
      <c r="I17" s="128">
        <f>IF('(3).Midterm Exam'!H17="","",'(3).Midterm Exam'!H17)</f>
        <v>10</v>
      </c>
      <c r="J17" s="128">
        <f>IF('(3).Midterm Exam'!I17="","",'(3).Midterm Exam'!I17)</f>
        <v>10</v>
      </c>
      <c r="K17" s="128">
        <f>IF('(3).Midterm Exam'!J17="","",'(3).Midterm Exam'!J17)</f>
        <v>10</v>
      </c>
      <c r="L17" s="128">
        <f>IF('(3).Midterm Exam'!K17="","",'(3).Midterm Exam'!K17)</f>
        <v>10</v>
      </c>
      <c r="M17" s="128">
        <f>IF('(3).Midterm Exam'!L17="","",'(3).Midterm Exam'!L17)</f>
        <v>10</v>
      </c>
      <c r="N17" s="129">
        <f>IF('(3).Midterm Exam'!M17="","",'(3).Midterm Exam'!M17)</f>
        <v>9.75</v>
      </c>
      <c r="O17" s="130">
        <f>IF(B17="","",IF(D17="Incomplete","Incomplete",IF('(3).Midterm Exam'!N17="Change","Change",IF('(3).Midterm Exam'!N17="Stop","Stop",IF('(3).Midterm Exam'!N17="Incomplete","Incomplete",IF(COUNTBLANK(D17:N17)&gt;=1,"Incomplete",D17*20%+SUM(E17:N17)*80%))))))</f>
        <v>97.800000000000011</v>
      </c>
    </row>
    <row r="18" spans="1:15" ht="15.95" customHeight="1">
      <c r="A18" s="66">
        <v>12</v>
      </c>
      <c r="B18" s="63" t="str">
        <f>IF('(3).Midterm Exam'!B18="","",'(3).Midterm Exam'!B18)</f>
        <v>Ly Kanha</v>
      </c>
      <c r="C18" s="67" t="str">
        <f>IF('(3).Midterm Exam'!C18="","",'(3).Midterm Exam'!C18)</f>
        <v>F</v>
      </c>
      <c r="D18" s="126">
        <f>IF('(2).Midterm Daily'!AH18="","",'(2).Midterm Daily'!AH18)</f>
        <v>89.5</v>
      </c>
      <c r="E18" s="127">
        <f>IF('(3).Midterm Exam'!D18="","",'(3).Midterm Exam'!D18)</f>
        <v>8</v>
      </c>
      <c r="F18" s="128">
        <f>IF('(3).Midterm Exam'!E18="","",'(3).Midterm Exam'!E18)</f>
        <v>8.5</v>
      </c>
      <c r="G18" s="128">
        <f>IF('(3).Midterm Exam'!F18="","",'(3).Midterm Exam'!F18)</f>
        <v>10</v>
      </c>
      <c r="H18" s="128">
        <f>IF('(3).Midterm Exam'!G18="","",'(3).Midterm Exam'!G18)</f>
        <v>9</v>
      </c>
      <c r="I18" s="128">
        <f>IF('(3).Midterm Exam'!H18="","",'(3).Midterm Exam'!H18)</f>
        <v>9</v>
      </c>
      <c r="J18" s="128">
        <f>IF('(3).Midterm Exam'!I18="","",'(3).Midterm Exam'!I18)</f>
        <v>9</v>
      </c>
      <c r="K18" s="128">
        <f>IF('(3).Midterm Exam'!J18="","",'(3).Midterm Exam'!J18)</f>
        <v>10</v>
      </c>
      <c r="L18" s="128">
        <f>IF('(3).Midterm Exam'!K18="","",'(3).Midterm Exam'!K18)</f>
        <v>10</v>
      </c>
      <c r="M18" s="128">
        <f>IF('(3).Midterm Exam'!L18="","",'(3).Midterm Exam'!L18)</f>
        <v>8</v>
      </c>
      <c r="N18" s="129">
        <f>IF('(3).Midterm Exam'!M18="","",'(3).Midterm Exam'!M18)</f>
        <v>10</v>
      </c>
      <c r="O18" s="130">
        <f>IF(B18="","",IF(D18="Incomplete","Incomplete",IF('(3).Midterm Exam'!N18="Change","Change",IF('(3).Midterm Exam'!N18="Stop","Stop",IF('(3).Midterm Exam'!N18="Incomplete","Incomplete",IF(COUNTBLANK(D18:N18)&gt;=1,"Incomplete",D18*20%+SUM(E18:N18)*80%))))))</f>
        <v>91.100000000000009</v>
      </c>
    </row>
    <row r="19" spans="1:15" ht="15.95" customHeight="1">
      <c r="A19" s="66">
        <v>13</v>
      </c>
      <c r="B19" s="63" t="str">
        <f>IF('(3).Midterm Exam'!B19="","",'(3).Midterm Exam'!B19)</f>
        <v>Ly Sanmoniroth</v>
      </c>
      <c r="C19" s="67" t="str">
        <f>IF('(3).Midterm Exam'!C19="","",'(3).Midterm Exam'!C19)</f>
        <v>F</v>
      </c>
      <c r="D19" s="126">
        <f>IF('(2).Midterm Daily'!AH19="","",'(2).Midterm Daily'!AH19)</f>
        <v>69</v>
      </c>
      <c r="E19" s="127">
        <f>IF('(3).Midterm Exam'!D19="","",'(3).Midterm Exam'!D19)</f>
        <v>8</v>
      </c>
      <c r="F19" s="128">
        <f>IF('(3).Midterm Exam'!E19="","",'(3).Midterm Exam'!E19)</f>
        <v>7.75</v>
      </c>
      <c r="G19" s="128">
        <f>IF('(3).Midterm Exam'!F19="","",'(3).Midterm Exam'!F19)</f>
        <v>9.5</v>
      </c>
      <c r="H19" s="128">
        <f>IF('(3).Midterm Exam'!G19="","",'(3).Midterm Exam'!G19)</f>
        <v>8</v>
      </c>
      <c r="I19" s="128">
        <f>IF('(3).Midterm Exam'!H19="","",'(3).Midterm Exam'!H19)</f>
        <v>7</v>
      </c>
      <c r="J19" s="128">
        <f>IF('(3).Midterm Exam'!I19="","",'(3).Midterm Exam'!I19)</f>
        <v>9</v>
      </c>
      <c r="K19" s="128">
        <f>IF('(3).Midterm Exam'!J19="","",'(3).Midterm Exam'!J19)</f>
        <v>9.5</v>
      </c>
      <c r="L19" s="128">
        <f>IF('(3).Midterm Exam'!K19="","",'(3).Midterm Exam'!K19)</f>
        <v>6</v>
      </c>
      <c r="M19" s="128">
        <f>IF('(3).Midterm Exam'!L19="","",'(3).Midterm Exam'!L19)</f>
        <v>9</v>
      </c>
      <c r="N19" s="129">
        <f>IF('(3).Midterm Exam'!M19="","",'(3).Midterm Exam'!M19)</f>
        <v>9</v>
      </c>
      <c r="O19" s="130">
        <f>IF(B19="","",IF(D19="Incomplete","Incomplete",IF('(3).Midterm Exam'!N19="Change","Change",IF('(3).Midterm Exam'!N19="Stop","Stop",IF('(3).Midterm Exam'!N19="Incomplete","Incomplete",IF(COUNTBLANK(D19:N19)&gt;=1,"Incomplete",D19*20%+SUM(E19:N19)*80%))))))</f>
        <v>80</v>
      </c>
    </row>
    <row r="20" spans="1:15" ht="15.95" customHeight="1">
      <c r="A20" s="66">
        <v>14</v>
      </c>
      <c r="B20" s="63" t="str">
        <f>IF('(3).Midterm Exam'!B20="","",'(3).Midterm Exam'!B20)</f>
        <v>Noun Thoreakrith</v>
      </c>
      <c r="C20" s="67" t="str">
        <f>IF('(3).Midterm Exam'!C20="","",'(3).Midterm Exam'!C20)</f>
        <v>M</v>
      </c>
      <c r="D20" s="126">
        <f>IF('(2).Midterm Daily'!AH20="","",'(2).Midterm Daily'!AH20)</f>
        <v>85</v>
      </c>
      <c r="E20" s="127">
        <f>IF('(3).Midterm Exam'!D20="","",'(3).Midterm Exam'!D20)</f>
        <v>9</v>
      </c>
      <c r="F20" s="128">
        <f>IF('(3).Midterm Exam'!E20="","",'(3).Midterm Exam'!E20)</f>
        <v>8</v>
      </c>
      <c r="G20" s="128">
        <f>IF('(3).Midterm Exam'!F20="","",'(3).Midterm Exam'!F20)</f>
        <v>8.5</v>
      </c>
      <c r="H20" s="128">
        <f>IF('(3).Midterm Exam'!G20="","",'(3).Midterm Exam'!G20)</f>
        <v>8</v>
      </c>
      <c r="I20" s="128">
        <f>IF('(3).Midterm Exam'!H20="","",'(3).Midterm Exam'!H20)</f>
        <v>7.5</v>
      </c>
      <c r="J20" s="128">
        <f>IF('(3).Midterm Exam'!I20="","",'(3).Midterm Exam'!I20)</f>
        <v>10</v>
      </c>
      <c r="K20" s="128">
        <f>IF('(3).Midterm Exam'!J20="","",'(3).Midterm Exam'!J20)</f>
        <v>10</v>
      </c>
      <c r="L20" s="128">
        <f>IF('(3).Midterm Exam'!K20="","",'(3).Midterm Exam'!K20)</f>
        <v>10</v>
      </c>
      <c r="M20" s="128">
        <f>IF('(3).Midterm Exam'!L20="","",'(3).Midterm Exam'!L20)</f>
        <v>10</v>
      </c>
      <c r="N20" s="129">
        <f>IF('(3).Midterm Exam'!M20="","",'(3).Midterm Exam'!M20)</f>
        <v>9.5</v>
      </c>
      <c r="O20" s="130">
        <f>IF(B20="","",IF(D20="Incomplete","Incomplete",IF('(3).Midterm Exam'!N20="Change","Change",IF('(3).Midterm Exam'!N20="Stop","Stop",IF('(3).Midterm Exam'!N20="Incomplete","Incomplete",IF(COUNTBLANK(D20:N20)&gt;=1,"Incomplete",D20*20%+SUM(E20:N20)*80%))))))</f>
        <v>89.4</v>
      </c>
    </row>
    <row r="21" spans="1:15" ht="15.95" customHeight="1">
      <c r="A21" s="66">
        <v>15</v>
      </c>
      <c r="B21" s="63" t="str">
        <f>IF('(3).Midterm Exam'!B21="","",'(3).Midterm Exam'!B21)</f>
        <v>OL Amara</v>
      </c>
      <c r="C21" s="67" t="str">
        <f>IF('(3).Midterm Exam'!C21="","",'(3).Midterm Exam'!C21)</f>
        <v>F</v>
      </c>
      <c r="D21" s="126">
        <f>IF('(2).Midterm Daily'!AH21="","",'(2).Midterm Daily'!AH21)</f>
        <v>93.75</v>
      </c>
      <c r="E21" s="127">
        <f>IF('(3).Midterm Exam'!D21="","",'(3).Midterm Exam'!D21)</f>
        <v>10</v>
      </c>
      <c r="F21" s="128">
        <f>IF('(3).Midterm Exam'!E21="","",'(3).Midterm Exam'!E21)</f>
        <v>9</v>
      </c>
      <c r="G21" s="128">
        <f>IF('(3).Midterm Exam'!F21="","",'(3).Midterm Exam'!F21)</f>
        <v>10</v>
      </c>
      <c r="H21" s="128">
        <f>IF('(3).Midterm Exam'!G21="","",'(3).Midterm Exam'!G21)</f>
        <v>10</v>
      </c>
      <c r="I21" s="128">
        <f>IF('(3).Midterm Exam'!H21="","",'(3).Midterm Exam'!H21)</f>
        <v>9</v>
      </c>
      <c r="J21" s="128">
        <f>IF('(3).Midterm Exam'!I21="","",'(3).Midterm Exam'!I21)</f>
        <v>10</v>
      </c>
      <c r="K21" s="128">
        <f>IF('(3).Midterm Exam'!J21="","",'(3).Midterm Exam'!J21)</f>
        <v>10</v>
      </c>
      <c r="L21" s="128">
        <f>IF('(3).Midterm Exam'!K21="","",'(3).Midterm Exam'!K21)</f>
        <v>10</v>
      </c>
      <c r="M21" s="128">
        <f>IF('(3).Midterm Exam'!L21="","",'(3).Midterm Exam'!L21)</f>
        <v>10</v>
      </c>
      <c r="N21" s="129">
        <f>IF('(3).Midterm Exam'!M21="","",'(3).Midterm Exam'!M21)</f>
        <v>10</v>
      </c>
      <c r="O21" s="130">
        <f>IF(B21="","",IF(D21="Incomplete","Incomplete",IF('(3).Midterm Exam'!N21="Change","Change",IF('(3).Midterm Exam'!N21="Stop","Stop",IF('(3).Midterm Exam'!N21="Incomplete","Incomplete",IF(COUNTBLANK(D21:N21)&gt;=1,"Incomplete",D21*20%+SUM(E21:N21)*80%))))))</f>
        <v>97.15</v>
      </c>
    </row>
    <row r="22" spans="1:15" ht="15.95" customHeight="1">
      <c r="A22" s="66">
        <v>16</v>
      </c>
      <c r="B22" s="63" t="str">
        <f>IF('(3).Midterm Exam'!B22="","",'(3).Midterm Exam'!B22)</f>
        <v>Prom Monometa</v>
      </c>
      <c r="C22" s="67" t="str">
        <f>IF('(3).Midterm Exam'!C22="","",'(3).Midterm Exam'!C22)</f>
        <v>M</v>
      </c>
      <c r="D22" s="126">
        <f>IF('(2).Midterm Daily'!AH22="","",'(2).Midterm Daily'!AH22)</f>
        <v>77.25</v>
      </c>
      <c r="E22" s="127">
        <f>IF('(3).Midterm Exam'!D22="","",'(3).Midterm Exam'!D22)</f>
        <v>9.5</v>
      </c>
      <c r="F22" s="128">
        <f>IF('(3).Midterm Exam'!E22="","",'(3).Midterm Exam'!E22)</f>
        <v>7.5</v>
      </c>
      <c r="G22" s="128">
        <f>IF('(3).Midterm Exam'!F22="","",'(3).Midterm Exam'!F22)</f>
        <v>8.5</v>
      </c>
      <c r="H22" s="128">
        <f>IF('(3).Midterm Exam'!G22="","",'(3).Midterm Exam'!G22)</f>
        <v>5</v>
      </c>
      <c r="I22" s="128">
        <f>IF('(3).Midterm Exam'!H22="","",'(3).Midterm Exam'!H22)</f>
        <v>6</v>
      </c>
      <c r="J22" s="128">
        <f>IF('(3).Midterm Exam'!I22="","",'(3).Midterm Exam'!I22)</f>
        <v>9</v>
      </c>
      <c r="K22" s="128">
        <f>IF('(3).Midterm Exam'!J22="","",'(3).Midterm Exam'!J22)</f>
        <v>10</v>
      </c>
      <c r="L22" s="128">
        <f>IF('(3).Midterm Exam'!K22="","",'(3).Midterm Exam'!K22)</f>
        <v>8</v>
      </c>
      <c r="M22" s="128">
        <f>IF('(3).Midterm Exam'!L22="","",'(3).Midterm Exam'!L22)</f>
        <v>9</v>
      </c>
      <c r="N22" s="129">
        <f>IF('(3).Midterm Exam'!M22="","",'(3).Midterm Exam'!M22)</f>
        <v>9</v>
      </c>
      <c r="O22" s="130">
        <f>IF(B22="","",IF(D22="Incomplete","Incomplete",IF('(3).Midterm Exam'!N22="Change","Change",IF('(3).Midterm Exam'!N22="Stop","Stop",IF('(3).Midterm Exam'!N22="Incomplete","Incomplete",IF(COUNTBLANK(D22:N22)&gt;=1,"Incomplete",D22*20%+SUM(E22:N22)*80%))))))</f>
        <v>80.650000000000006</v>
      </c>
    </row>
    <row r="23" spans="1:15" ht="15.95" customHeight="1">
      <c r="A23" s="66">
        <v>17</v>
      </c>
      <c r="B23" s="63" t="str">
        <f>IF('(3).Midterm Exam'!B23="","",'(3).Midterm Exam'!B23)</f>
        <v>Seng Moamunyriangsey</v>
      </c>
      <c r="C23" s="67" t="str">
        <f>IF('(3).Midterm Exam'!C23="","",'(3).Midterm Exam'!C23)</f>
        <v>F</v>
      </c>
      <c r="D23" s="126">
        <f>IF('(2).Midterm Daily'!AH23="","",'(2).Midterm Daily'!AH23)</f>
        <v>73.625</v>
      </c>
      <c r="E23" s="127">
        <f>IF('(3).Midterm Exam'!D23="","",'(3).Midterm Exam'!D23)</f>
        <v>8</v>
      </c>
      <c r="F23" s="128">
        <f>IF('(3).Midterm Exam'!E23="","",'(3).Midterm Exam'!E23)</f>
        <v>8.5</v>
      </c>
      <c r="G23" s="128">
        <f>IF('(3).Midterm Exam'!F23="","",'(3).Midterm Exam'!F23)</f>
        <v>8</v>
      </c>
      <c r="H23" s="128">
        <f>IF('(3).Midterm Exam'!G23="","",'(3).Midterm Exam'!G23)</f>
        <v>5</v>
      </c>
      <c r="I23" s="128">
        <f>IF('(3).Midterm Exam'!H23="","",'(3).Midterm Exam'!H23)</f>
        <v>6</v>
      </c>
      <c r="J23" s="128">
        <f>IF('(3).Midterm Exam'!I23="","",'(3).Midterm Exam'!I23)</f>
        <v>8</v>
      </c>
      <c r="K23" s="128">
        <f>IF('(3).Midterm Exam'!J23="","",'(3).Midterm Exam'!J23)</f>
        <v>10</v>
      </c>
      <c r="L23" s="128">
        <f>IF('(3).Midterm Exam'!K23="","",'(3).Midterm Exam'!K23)</f>
        <v>8</v>
      </c>
      <c r="M23" s="128">
        <f>IF('(3).Midterm Exam'!L23="","",'(3).Midterm Exam'!L23)</f>
        <v>9</v>
      </c>
      <c r="N23" s="129">
        <f>IF('(3).Midterm Exam'!M23="","",'(3).Midterm Exam'!M23)</f>
        <v>8.5</v>
      </c>
      <c r="O23" s="130">
        <f>IF(B23="","",IF(D23="Incomplete","Incomplete",IF('(3).Midterm Exam'!N23="Change","Change",IF('(3).Midterm Exam'!N23="Stop","Stop",IF('(3).Midterm Exam'!N23="Incomplete","Incomplete",IF(COUNTBLANK(D23:N23)&gt;=1,"Incomplete",D23*20%+SUM(E23:N23)*80%))))))</f>
        <v>77.925000000000011</v>
      </c>
    </row>
    <row r="24" spans="1:15" ht="15.95" customHeight="1">
      <c r="A24" s="66">
        <v>18</v>
      </c>
      <c r="B24" s="63" t="str">
        <f>IF('(3).Midterm Exam'!B24="","",'(3).Midterm Exam'!B24)</f>
        <v>Thuy Chanmeylinh</v>
      </c>
      <c r="C24" s="67" t="str">
        <f>IF('(3).Midterm Exam'!C24="","",'(3).Midterm Exam'!C24)</f>
        <v>F</v>
      </c>
      <c r="D24" s="126">
        <f>IF('(2).Midterm Daily'!AH24="","",'(2).Midterm Daily'!AH24)</f>
        <v>97</v>
      </c>
      <c r="E24" s="127">
        <f>IF('(3).Midterm Exam'!D24="","",'(3).Midterm Exam'!D24)</f>
        <v>9</v>
      </c>
      <c r="F24" s="128">
        <f>IF('(3).Midterm Exam'!E24="","",'(3).Midterm Exam'!E24)</f>
        <v>9.75</v>
      </c>
      <c r="G24" s="128">
        <f>IF('(3).Midterm Exam'!F24="","",'(3).Midterm Exam'!F24)</f>
        <v>10</v>
      </c>
      <c r="H24" s="128">
        <f>IF('(3).Midterm Exam'!G24="","",'(3).Midterm Exam'!G24)</f>
        <v>9</v>
      </c>
      <c r="I24" s="128">
        <f>IF('(3).Midterm Exam'!H24="","",'(3).Midterm Exam'!H24)</f>
        <v>10</v>
      </c>
      <c r="J24" s="128">
        <f>IF('(3).Midterm Exam'!I24="","",'(3).Midterm Exam'!I24)</f>
        <v>10</v>
      </c>
      <c r="K24" s="128">
        <f>IF('(3).Midterm Exam'!J24="","",'(3).Midterm Exam'!J24)</f>
        <v>10</v>
      </c>
      <c r="L24" s="128">
        <f>IF('(3).Midterm Exam'!K24="","",'(3).Midterm Exam'!K24)</f>
        <v>10</v>
      </c>
      <c r="M24" s="128">
        <f>IF('(3).Midterm Exam'!L24="","",'(3).Midterm Exam'!L24)</f>
        <v>10</v>
      </c>
      <c r="N24" s="129">
        <f>IF('(3).Midterm Exam'!M24="","",'(3).Midterm Exam'!M24)</f>
        <v>10</v>
      </c>
      <c r="O24" s="130">
        <f>IF(B24="","",IF(D24="Incomplete","Incomplete",IF('(3).Midterm Exam'!N24="Change","Change",IF('(3).Midterm Exam'!N24="Stop","Stop",IF('(3).Midterm Exam'!N24="Incomplete","Incomplete",IF(COUNTBLANK(D24:N24)&gt;=1,"Incomplete",D24*20%+SUM(E24:N24)*80%))))))</f>
        <v>97.600000000000009</v>
      </c>
    </row>
    <row r="25" spans="1:15" ht="15.95" customHeight="1">
      <c r="A25" s="66">
        <v>19</v>
      </c>
      <c r="B25" s="63" t="str">
        <f>IF('(3).Midterm Exam'!B25="","",'(3).Midterm Exam'!B25)</f>
        <v>Vy Monineath</v>
      </c>
      <c r="C25" s="67" t="str">
        <f>IF('(3).Midterm Exam'!C25="","",'(3).Midterm Exam'!C25)</f>
        <v>F</v>
      </c>
      <c r="D25" s="126">
        <f>IF('(2).Midterm Daily'!AH25="","",'(2).Midterm Daily'!AH25)</f>
        <v>96.625</v>
      </c>
      <c r="E25" s="127">
        <f>IF('(3).Midterm Exam'!D25="","",'(3).Midterm Exam'!D25)</f>
        <v>9</v>
      </c>
      <c r="F25" s="128">
        <f>IF('(3).Midterm Exam'!E25="","",'(3).Midterm Exam'!E25)</f>
        <v>10</v>
      </c>
      <c r="G25" s="128">
        <f>IF('(3).Midterm Exam'!F25="","",'(3).Midterm Exam'!F25)</f>
        <v>10</v>
      </c>
      <c r="H25" s="128">
        <f>IF('(3).Midterm Exam'!G25="","",'(3).Midterm Exam'!G25)</f>
        <v>10</v>
      </c>
      <c r="I25" s="128">
        <f>IF('(3).Midterm Exam'!H25="","",'(3).Midterm Exam'!H25)</f>
        <v>9</v>
      </c>
      <c r="J25" s="128">
        <f>IF('(3).Midterm Exam'!I25="","",'(3).Midterm Exam'!I25)</f>
        <v>10</v>
      </c>
      <c r="K25" s="128">
        <f>IF('(3).Midterm Exam'!J25="","",'(3).Midterm Exam'!J25)</f>
        <v>10</v>
      </c>
      <c r="L25" s="128">
        <f>IF('(3).Midterm Exam'!K25="","",'(3).Midterm Exam'!K25)</f>
        <v>10</v>
      </c>
      <c r="M25" s="128">
        <f>IF('(3).Midterm Exam'!L25="","",'(3).Midterm Exam'!L25)</f>
        <v>10</v>
      </c>
      <c r="N25" s="129">
        <f>IF('(3).Midterm Exam'!M25="","",'(3).Midterm Exam'!M25)</f>
        <v>10</v>
      </c>
      <c r="O25" s="130">
        <f>IF(B25="","",IF(D25="Incomplete","Incomplete",IF('(3).Midterm Exam'!N25="Change","Change",IF('(3).Midterm Exam'!N25="Stop","Stop",IF('(3).Midterm Exam'!N25="Incomplete","Incomplete",IF(COUNTBLANK(D25:N25)&gt;=1,"Incomplete",D25*20%+SUM(E25:N25)*80%))))))</f>
        <v>97.725000000000009</v>
      </c>
    </row>
    <row r="26" spans="1:15" ht="15.95" customHeight="1">
      <c r="A26" s="66">
        <v>20</v>
      </c>
      <c r="B26" s="63" t="str">
        <f>IF('(3).Midterm Exam'!B26="","",'(3).Midterm Exam'!B26)</f>
        <v/>
      </c>
      <c r="C26" s="67" t="str">
        <f>IF('(3).Midterm Exam'!C26="","",'(3).Midterm Exam'!C26)</f>
        <v/>
      </c>
      <c r="D26" s="126" t="str">
        <f>IF('(2).Midterm Daily'!AH26="","",'(2).Midterm Daily'!AH26)</f>
        <v/>
      </c>
      <c r="E26" s="127" t="str">
        <f>IF('(3).Midterm Exam'!D26="","",'(3).Midterm Exam'!D26)</f>
        <v/>
      </c>
      <c r="F26" s="128" t="str">
        <f>IF('(3).Midterm Exam'!E26="","",'(3).Midterm Exam'!E26)</f>
        <v/>
      </c>
      <c r="G26" s="128" t="str">
        <f>IF('(3).Midterm Exam'!F26="","",'(3).Midterm Exam'!F26)</f>
        <v/>
      </c>
      <c r="H26" s="128" t="str">
        <f>IF('(3).Midterm Exam'!G26="","",'(3).Midterm Exam'!G26)</f>
        <v/>
      </c>
      <c r="I26" s="128" t="str">
        <f>IF('(3).Midterm Exam'!H26="","",'(3).Midterm Exam'!H26)</f>
        <v/>
      </c>
      <c r="J26" s="128" t="str">
        <f>IF('(3).Midterm Exam'!I26="","",'(3).Midterm Exam'!I26)</f>
        <v/>
      </c>
      <c r="K26" s="128" t="str">
        <f>IF('(3).Midterm Exam'!J26="","",'(3).Midterm Exam'!J26)</f>
        <v/>
      </c>
      <c r="L26" s="128" t="str">
        <f>IF('(3).Midterm Exam'!K26="","",'(3).Midterm Exam'!K26)</f>
        <v/>
      </c>
      <c r="M26" s="128" t="str">
        <f>IF('(3).Midterm Exam'!L26="","",'(3).Midterm Exam'!L26)</f>
        <v/>
      </c>
      <c r="N26" s="129" t="str">
        <f>IF('(3).Midterm Exam'!M26="","",'(3).Midterm Exam'!M26)</f>
        <v/>
      </c>
      <c r="O26" s="130" t="str">
        <f>IF(B26="","",IF(D26="Incomplete","Incomplete",IF('(3).Midterm Exam'!N26="Change","Change",IF('(3).Midterm Exam'!N26="Stop","Stop",IF('(3).Midterm Exam'!N26="Incomplete","Incomplete",IF(COUNTBLANK(D26:N26)&gt;=1,"Incomplete",D26*20%+SUM(E26:N26)*80%))))))</f>
        <v/>
      </c>
    </row>
    <row r="27" spans="1:15" ht="15.95" customHeight="1">
      <c r="A27" s="66">
        <v>21</v>
      </c>
      <c r="B27" s="63" t="str">
        <f>IF('(3).Midterm Exam'!B27="","",'(3).Midterm Exam'!B27)</f>
        <v/>
      </c>
      <c r="C27" s="67" t="str">
        <f>IF('(3).Midterm Exam'!C27="","",'(3).Midterm Exam'!C27)</f>
        <v/>
      </c>
      <c r="D27" s="126" t="str">
        <f>IF('(2).Midterm Daily'!AH27="","",'(2).Midterm Daily'!AH27)</f>
        <v/>
      </c>
      <c r="E27" s="127" t="str">
        <f>IF('(3).Midterm Exam'!D27="","",'(3).Midterm Exam'!D27)</f>
        <v/>
      </c>
      <c r="F27" s="128" t="str">
        <f>IF('(3).Midterm Exam'!E27="","",'(3).Midterm Exam'!E27)</f>
        <v/>
      </c>
      <c r="G27" s="128" t="str">
        <f>IF('(3).Midterm Exam'!F27="","",'(3).Midterm Exam'!F27)</f>
        <v/>
      </c>
      <c r="H27" s="128" t="str">
        <f>IF('(3).Midterm Exam'!G27="","",'(3).Midterm Exam'!G27)</f>
        <v/>
      </c>
      <c r="I27" s="128" t="str">
        <f>IF('(3).Midterm Exam'!H27="","",'(3).Midterm Exam'!H27)</f>
        <v/>
      </c>
      <c r="J27" s="128" t="str">
        <f>IF('(3).Midterm Exam'!I27="","",'(3).Midterm Exam'!I27)</f>
        <v/>
      </c>
      <c r="K27" s="128" t="str">
        <f>IF('(3).Midterm Exam'!J27="","",'(3).Midterm Exam'!J27)</f>
        <v/>
      </c>
      <c r="L27" s="128" t="str">
        <f>IF('(3).Midterm Exam'!K27="","",'(3).Midterm Exam'!K27)</f>
        <v/>
      </c>
      <c r="M27" s="128" t="str">
        <f>IF('(3).Midterm Exam'!L27="","",'(3).Midterm Exam'!L27)</f>
        <v/>
      </c>
      <c r="N27" s="129" t="str">
        <f>IF('(3).Midterm Exam'!M27="","",'(3).Midterm Exam'!M27)</f>
        <v/>
      </c>
      <c r="O27" s="130" t="str">
        <f>IF(B27="","",IF(D27="Incomplete","Incomplete",IF('(3).Midterm Exam'!N27="Change","Change",IF('(3).Midterm Exam'!N27="Stop","Stop",IF('(3).Midterm Exam'!N27="Incomplete","Incomplete",IF(COUNTBLANK(D27:N27)&gt;=1,"Incomplete",D27*20%+SUM(E27:N27)*80%))))))</f>
        <v/>
      </c>
    </row>
    <row r="28" spans="1:15" ht="15.95" customHeight="1">
      <c r="A28" s="66">
        <v>22</v>
      </c>
      <c r="B28" s="63" t="str">
        <f>IF('(3).Midterm Exam'!B28="","",'(3).Midterm Exam'!B28)</f>
        <v/>
      </c>
      <c r="C28" s="67" t="str">
        <f>IF('(3).Midterm Exam'!C28="","",'(3).Midterm Exam'!C28)</f>
        <v/>
      </c>
      <c r="D28" s="126" t="str">
        <f>IF('(2).Midterm Daily'!AH28="","",'(2).Midterm Daily'!AH28)</f>
        <v/>
      </c>
      <c r="E28" s="127" t="str">
        <f>IF('(3).Midterm Exam'!D28="","",'(3).Midterm Exam'!D28)</f>
        <v/>
      </c>
      <c r="F28" s="128" t="str">
        <f>IF('(3).Midterm Exam'!E28="","",'(3).Midterm Exam'!E28)</f>
        <v/>
      </c>
      <c r="G28" s="128" t="str">
        <f>IF('(3).Midterm Exam'!F28="","",'(3).Midterm Exam'!F28)</f>
        <v/>
      </c>
      <c r="H28" s="128" t="str">
        <f>IF('(3).Midterm Exam'!G28="","",'(3).Midterm Exam'!G28)</f>
        <v/>
      </c>
      <c r="I28" s="128" t="str">
        <f>IF('(3).Midterm Exam'!H28="","",'(3).Midterm Exam'!H28)</f>
        <v/>
      </c>
      <c r="J28" s="128" t="str">
        <f>IF('(3).Midterm Exam'!I28="","",'(3).Midterm Exam'!I28)</f>
        <v/>
      </c>
      <c r="K28" s="128" t="str">
        <f>IF('(3).Midterm Exam'!J28="","",'(3).Midterm Exam'!J28)</f>
        <v/>
      </c>
      <c r="L28" s="128" t="str">
        <f>IF('(3).Midterm Exam'!K28="","",'(3).Midterm Exam'!K28)</f>
        <v/>
      </c>
      <c r="M28" s="128" t="str">
        <f>IF('(3).Midterm Exam'!L28="","",'(3).Midterm Exam'!L28)</f>
        <v/>
      </c>
      <c r="N28" s="129" t="str">
        <f>IF('(3).Midterm Exam'!M28="","",'(3).Midterm Exam'!M28)</f>
        <v/>
      </c>
      <c r="O28" s="130" t="str">
        <f>IF(B28="","",IF(D28="Incomplete","Incomplete",IF('(3).Midterm Exam'!N28="Change","Change",IF('(3).Midterm Exam'!N28="Stop","Stop",IF('(3).Midterm Exam'!N28="Incomplete","Incomplete",IF(COUNTBLANK(D28:N28)&gt;=1,"Incomplete",D28*20%+SUM(E28:N28)*80%))))))</f>
        <v/>
      </c>
    </row>
    <row r="29" spans="1:15" ht="15.95" customHeight="1">
      <c r="A29" s="66">
        <v>23</v>
      </c>
      <c r="B29" s="63" t="str">
        <f>IF('(3).Midterm Exam'!B29="","",'(3).Midterm Exam'!B29)</f>
        <v/>
      </c>
      <c r="C29" s="67" t="str">
        <f>IF('(3).Midterm Exam'!C29="","",'(3).Midterm Exam'!C29)</f>
        <v/>
      </c>
      <c r="D29" s="126" t="str">
        <f>IF('(2).Midterm Daily'!AH29="","",'(2).Midterm Daily'!AH29)</f>
        <v/>
      </c>
      <c r="E29" s="127" t="str">
        <f>IF('(3).Midterm Exam'!D29="","",'(3).Midterm Exam'!D29)</f>
        <v/>
      </c>
      <c r="F29" s="128" t="str">
        <f>IF('(3).Midterm Exam'!E29="","",'(3).Midterm Exam'!E29)</f>
        <v/>
      </c>
      <c r="G29" s="128" t="str">
        <f>IF('(3).Midterm Exam'!F29="","",'(3).Midterm Exam'!F29)</f>
        <v/>
      </c>
      <c r="H29" s="128" t="str">
        <f>IF('(3).Midterm Exam'!G29="","",'(3).Midterm Exam'!G29)</f>
        <v/>
      </c>
      <c r="I29" s="128" t="str">
        <f>IF('(3).Midterm Exam'!H29="","",'(3).Midterm Exam'!H29)</f>
        <v/>
      </c>
      <c r="J29" s="128" t="str">
        <f>IF('(3).Midterm Exam'!I29="","",'(3).Midterm Exam'!I29)</f>
        <v/>
      </c>
      <c r="K29" s="128" t="str">
        <f>IF('(3).Midterm Exam'!J29="","",'(3).Midterm Exam'!J29)</f>
        <v/>
      </c>
      <c r="L29" s="128" t="str">
        <f>IF('(3).Midterm Exam'!K29="","",'(3).Midterm Exam'!K29)</f>
        <v/>
      </c>
      <c r="M29" s="128" t="str">
        <f>IF('(3).Midterm Exam'!L29="","",'(3).Midterm Exam'!L29)</f>
        <v/>
      </c>
      <c r="N29" s="129" t="str">
        <f>IF('(3).Midterm Exam'!M29="","",'(3).Midterm Exam'!M29)</f>
        <v/>
      </c>
      <c r="O29" s="130" t="str">
        <f>IF(B29="","",IF(D29="Incomplete","Incomplete",IF('(3).Midterm Exam'!N29="Change","Change",IF('(3).Midterm Exam'!N29="Stop","Stop",IF('(3).Midterm Exam'!N29="Incomplete","Incomplete",IF(COUNTBLANK(D29:N29)&gt;=1,"Incomplete",D29*20%+SUM(E29:N29)*80%))))))</f>
        <v/>
      </c>
    </row>
    <row r="30" spans="1:15" ht="15.95" customHeight="1">
      <c r="A30" s="66">
        <v>24</v>
      </c>
      <c r="B30" s="63" t="str">
        <f>IF('(3).Midterm Exam'!B30="","",'(3).Midterm Exam'!B30)</f>
        <v/>
      </c>
      <c r="C30" s="67" t="str">
        <f>IF('(3).Midterm Exam'!C30="","",'(3).Midterm Exam'!C30)</f>
        <v/>
      </c>
      <c r="D30" s="126" t="str">
        <f>IF('(2).Midterm Daily'!AH30="","",'(2).Midterm Daily'!AH30)</f>
        <v/>
      </c>
      <c r="E30" s="127" t="str">
        <f>IF('(3).Midterm Exam'!D30="","",'(3).Midterm Exam'!D30)</f>
        <v/>
      </c>
      <c r="F30" s="128" t="str">
        <f>IF('(3).Midterm Exam'!E30="","",'(3).Midterm Exam'!E30)</f>
        <v/>
      </c>
      <c r="G30" s="128" t="str">
        <f>IF('(3).Midterm Exam'!F30="","",'(3).Midterm Exam'!F30)</f>
        <v/>
      </c>
      <c r="H30" s="128" t="str">
        <f>IF('(3).Midterm Exam'!G30="","",'(3).Midterm Exam'!G30)</f>
        <v/>
      </c>
      <c r="I30" s="128" t="str">
        <f>IF('(3).Midterm Exam'!H30="","",'(3).Midterm Exam'!H30)</f>
        <v/>
      </c>
      <c r="J30" s="128" t="str">
        <f>IF('(3).Midterm Exam'!I30="","",'(3).Midterm Exam'!I30)</f>
        <v/>
      </c>
      <c r="K30" s="128" t="str">
        <f>IF('(3).Midterm Exam'!J30="","",'(3).Midterm Exam'!J30)</f>
        <v/>
      </c>
      <c r="L30" s="128" t="str">
        <f>IF('(3).Midterm Exam'!K30="","",'(3).Midterm Exam'!K30)</f>
        <v/>
      </c>
      <c r="M30" s="128" t="str">
        <f>IF('(3).Midterm Exam'!L30="","",'(3).Midterm Exam'!L30)</f>
        <v/>
      </c>
      <c r="N30" s="129" t="str">
        <f>IF('(3).Midterm Exam'!M30="","",'(3).Midterm Exam'!M30)</f>
        <v/>
      </c>
      <c r="O30" s="130" t="str">
        <f>IF(B30="","",IF(D30="Incomplete","Incomplete",IF('(3).Midterm Exam'!N30="Change","Change",IF('(3).Midterm Exam'!N30="Stop","Stop",IF('(3).Midterm Exam'!N30="Incomplete","Incomplete",IF(COUNTBLANK(D30:N30)&gt;=1,"Incomplete",D30*20%+SUM(E30:N30)*80%))))))</f>
        <v/>
      </c>
    </row>
    <row r="31" spans="1:15" ht="15.95" customHeight="1">
      <c r="A31" s="66">
        <v>25</v>
      </c>
      <c r="B31" s="63" t="str">
        <f>IF('(3).Midterm Exam'!B31="","",'(3).Midterm Exam'!B31)</f>
        <v/>
      </c>
      <c r="C31" s="67" t="str">
        <f>IF('(3).Midterm Exam'!C31="","",'(3).Midterm Exam'!C31)</f>
        <v/>
      </c>
      <c r="D31" s="126" t="str">
        <f>IF('(2).Midterm Daily'!AH31="","",'(2).Midterm Daily'!AH31)</f>
        <v/>
      </c>
      <c r="E31" s="127" t="str">
        <f>IF('(3).Midterm Exam'!D31="","",'(3).Midterm Exam'!D31)</f>
        <v/>
      </c>
      <c r="F31" s="128" t="str">
        <f>IF('(3).Midterm Exam'!E31="","",'(3).Midterm Exam'!E31)</f>
        <v/>
      </c>
      <c r="G31" s="128" t="str">
        <f>IF('(3).Midterm Exam'!F31="","",'(3).Midterm Exam'!F31)</f>
        <v/>
      </c>
      <c r="H31" s="128" t="str">
        <f>IF('(3).Midterm Exam'!G31="","",'(3).Midterm Exam'!G31)</f>
        <v/>
      </c>
      <c r="I31" s="128" t="str">
        <f>IF('(3).Midterm Exam'!H31="","",'(3).Midterm Exam'!H31)</f>
        <v/>
      </c>
      <c r="J31" s="128" t="str">
        <f>IF('(3).Midterm Exam'!I31="","",'(3).Midterm Exam'!I31)</f>
        <v/>
      </c>
      <c r="K31" s="128" t="str">
        <f>IF('(3).Midterm Exam'!J31="","",'(3).Midterm Exam'!J31)</f>
        <v/>
      </c>
      <c r="L31" s="128" t="str">
        <f>IF('(3).Midterm Exam'!K31="","",'(3).Midterm Exam'!K31)</f>
        <v/>
      </c>
      <c r="M31" s="128" t="str">
        <f>IF('(3).Midterm Exam'!L31="","",'(3).Midterm Exam'!L31)</f>
        <v/>
      </c>
      <c r="N31" s="129" t="str">
        <f>IF('(3).Midterm Exam'!M31="","",'(3).Midterm Exam'!M31)</f>
        <v/>
      </c>
      <c r="O31" s="130" t="str">
        <f>IF(B31="","",IF(D31="Incomplete","Incomplete",IF('(3).Midterm Exam'!N31="Change","Change",IF('(3).Midterm Exam'!N31="Stop","Stop",IF('(3).Midterm Exam'!N31="Incomplete","Incomplete",IF(COUNTBLANK(D31:N31)&gt;=1,"Incomplete",D31*20%+SUM(E31:N31)*80%))))))</f>
        <v/>
      </c>
    </row>
    <row r="32" spans="1:15" ht="15.95" customHeight="1">
      <c r="A32" s="66">
        <v>26</v>
      </c>
      <c r="B32" s="63" t="str">
        <f>IF('(3).Midterm Exam'!B32="","",'(3).Midterm Exam'!B32)</f>
        <v/>
      </c>
      <c r="C32" s="67" t="str">
        <f>IF('(3).Midterm Exam'!C32="","",'(3).Midterm Exam'!C32)</f>
        <v/>
      </c>
      <c r="D32" s="126" t="str">
        <f>IF('(2).Midterm Daily'!AH32="","",'(2).Midterm Daily'!AH32)</f>
        <v/>
      </c>
      <c r="E32" s="127" t="str">
        <f>IF('(3).Midterm Exam'!D32="","",'(3).Midterm Exam'!D32)</f>
        <v/>
      </c>
      <c r="F32" s="128" t="str">
        <f>IF('(3).Midterm Exam'!E32="","",'(3).Midterm Exam'!E32)</f>
        <v/>
      </c>
      <c r="G32" s="128" t="str">
        <f>IF('(3).Midterm Exam'!F32="","",'(3).Midterm Exam'!F32)</f>
        <v/>
      </c>
      <c r="H32" s="128" t="str">
        <f>IF('(3).Midterm Exam'!G32="","",'(3).Midterm Exam'!G32)</f>
        <v/>
      </c>
      <c r="I32" s="128" t="str">
        <f>IF('(3).Midterm Exam'!H32="","",'(3).Midterm Exam'!H32)</f>
        <v/>
      </c>
      <c r="J32" s="128" t="str">
        <f>IF('(3).Midterm Exam'!I32="","",'(3).Midterm Exam'!I32)</f>
        <v/>
      </c>
      <c r="K32" s="128" t="str">
        <f>IF('(3).Midterm Exam'!J32="","",'(3).Midterm Exam'!J32)</f>
        <v/>
      </c>
      <c r="L32" s="128" t="str">
        <f>IF('(3).Midterm Exam'!K32="","",'(3).Midterm Exam'!K32)</f>
        <v/>
      </c>
      <c r="M32" s="128" t="str">
        <f>IF('(3).Midterm Exam'!L32="","",'(3).Midterm Exam'!L32)</f>
        <v/>
      </c>
      <c r="N32" s="129" t="str">
        <f>IF('(3).Midterm Exam'!M32="","",'(3).Midterm Exam'!M32)</f>
        <v/>
      </c>
      <c r="O32" s="130" t="str">
        <f>IF(B32="","",IF(D32="Incomplete","Incomplete",IF('(3).Midterm Exam'!N32="Change","Change",IF('(3).Midterm Exam'!N32="Stop","Stop",IF('(3).Midterm Exam'!N32="Incomplete","Incomplete",IF(COUNTBLANK(D32:N32)&gt;=1,"Incomplete",D32*20%+SUM(E32:N32)*80%))))))</f>
        <v/>
      </c>
    </row>
    <row r="33" spans="1:15" ht="15.95" customHeight="1">
      <c r="A33" s="66">
        <v>27</v>
      </c>
      <c r="B33" s="63" t="str">
        <f>IF('(3).Midterm Exam'!B33="","",'(3).Midterm Exam'!B33)</f>
        <v/>
      </c>
      <c r="C33" s="67" t="str">
        <f>IF('(3).Midterm Exam'!C33="","",'(3).Midterm Exam'!C33)</f>
        <v/>
      </c>
      <c r="D33" s="126" t="str">
        <f>IF('(2).Midterm Daily'!AH33="","",'(2).Midterm Daily'!AH33)</f>
        <v/>
      </c>
      <c r="E33" s="127" t="str">
        <f>IF('(3).Midterm Exam'!D33="","",'(3).Midterm Exam'!D33)</f>
        <v/>
      </c>
      <c r="F33" s="128" t="str">
        <f>IF('(3).Midterm Exam'!E33="","",'(3).Midterm Exam'!E33)</f>
        <v/>
      </c>
      <c r="G33" s="128" t="str">
        <f>IF('(3).Midterm Exam'!F33="","",'(3).Midterm Exam'!F33)</f>
        <v/>
      </c>
      <c r="H33" s="128" t="str">
        <f>IF('(3).Midterm Exam'!G33="","",'(3).Midterm Exam'!G33)</f>
        <v/>
      </c>
      <c r="I33" s="128" t="str">
        <f>IF('(3).Midterm Exam'!H33="","",'(3).Midterm Exam'!H33)</f>
        <v/>
      </c>
      <c r="J33" s="128" t="str">
        <f>IF('(3).Midterm Exam'!I33="","",'(3).Midterm Exam'!I33)</f>
        <v/>
      </c>
      <c r="K33" s="128" t="str">
        <f>IF('(3).Midterm Exam'!J33="","",'(3).Midterm Exam'!J33)</f>
        <v/>
      </c>
      <c r="L33" s="128" t="str">
        <f>IF('(3).Midterm Exam'!K33="","",'(3).Midterm Exam'!K33)</f>
        <v/>
      </c>
      <c r="M33" s="128" t="str">
        <f>IF('(3).Midterm Exam'!L33="","",'(3).Midterm Exam'!L33)</f>
        <v/>
      </c>
      <c r="N33" s="129" t="str">
        <f>IF('(3).Midterm Exam'!M33="","",'(3).Midterm Exam'!M33)</f>
        <v/>
      </c>
      <c r="O33" s="130" t="str">
        <f>IF(B33="","",IF(D33="Incomplete","Incomplete",IF('(3).Midterm Exam'!N33="Change","Change",IF('(3).Midterm Exam'!N33="Stop","Stop",IF('(3).Midterm Exam'!N33="Incomplete","Incomplete",IF(COUNTBLANK(D33:N33)&gt;=1,"Incomplete",D33*20%+SUM(E33:N33)*80%))))))</f>
        <v/>
      </c>
    </row>
    <row r="34" spans="1:15" ht="15.95" customHeight="1">
      <c r="A34" s="66">
        <v>28</v>
      </c>
      <c r="B34" s="63" t="str">
        <f>IF('(3).Midterm Exam'!B34="","",'(3).Midterm Exam'!B34)</f>
        <v/>
      </c>
      <c r="C34" s="67" t="str">
        <f>IF('(3).Midterm Exam'!C34="","",'(3).Midterm Exam'!C34)</f>
        <v/>
      </c>
      <c r="D34" s="126" t="str">
        <f>IF('(2).Midterm Daily'!AH34="","",'(2).Midterm Daily'!AH34)</f>
        <v/>
      </c>
      <c r="E34" s="127" t="str">
        <f>IF('(3).Midterm Exam'!D34="","",'(3).Midterm Exam'!D34)</f>
        <v/>
      </c>
      <c r="F34" s="128" t="str">
        <f>IF('(3).Midterm Exam'!E34="","",'(3).Midterm Exam'!E34)</f>
        <v/>
      </c>
      <c r="G34" s="128" t="str">
        <f>IF('(3).Midterm Exam'!F34="","",'(3).Midterm Exam'!F34)</f>
        <v/>
      </c>
      <c r="H34" s="128" t="str">
        <f>IF('(3).Midterm Exam'!G34="","",'(3).Midterm Exam'!G34)</f>
        <v/>
      </c>
      <c r="I34" s="128" t="str">
        <f>IF('(3).Midterm Exam'!H34="","",'(3).Midterm Exam'!H34)</f>
        <v/>
      </c>
      <c r="J34" s="128" t="str">
        <f>IF('(3).Midterm Exam'!I34="","",'(3).Midterm Exam'!I34)</f>
        <v/>
      </c>
      <c r="K34" s="128" t="str">
        <f>IF('(3).Midterm Exam'!J34="","",'(3).Midterm Exam'!J34)</f>
        <v/>
      </c>
      <c r="L34" s="128" t="str">
        <f>IF('(3).Midterm Exam'!K34="","",'(3).Midterm Exam'!K34)</f>
        <v/>
      </c>
      <c r="M34" s="128" t="str">
        <f>IF('(3).Midterm Exam'!L34="","",'(3).Midterm Exam'!L34)</f>
        <v/>
      </c>
      <c r="N34" s="129" t="str">
        <f>IF('(3).Midterm Exam'!M34="","",'(3).Midterm Exam'!M34)</f>
        <v/>
      </c>
      <c r="O34" s="130" t="str">
        <f>IF(B34="","",IF(D34="Incomplete","Incomplete",IF('(3).Midterm Exam'!N34="Change","Change",IF('(3).Midterm Exam'!N34="Stop","Stop",IF('(3).Midterm Exam'!N34="Incomplete","Incomplete",IF(COUNTBLANK(D34:N34)&gt;=1,"Incomplete",D34*20%+SUM(E34:N34)*80%))))))</f>
        <v/>
      </c>
    </row>
    <row r="35" spans="1:15" ht="15.95" customHeight="1">
      <c r="A35" s="66">
        <v>29</v>
      </c>
      <c r="B35" s="63" t="str">
        <f>IF('(3).Midterm Exam'!B35="","",'(3).Midterm Exam'!B35)</f>
        <v/>
      </c>
      <c r="C35" s="67" t="str">
        <f>IF('(3).Midterm Exam'!C35="","",'(3).Midterm Exam'!C35)</f>
        <v/>
      </c>
      <c r="D35" s="126" t="str">
        <f>IF('(2).Midterm Daily'!AH35="","",'(2).Midterm Daily'!AH35)</f>
        <v/>
      </c>
      <c r="E35" s="127" t="str">
        <f>IF('(3).Midterm Exam'!D35="","",'(3).Midterm Exam'!D35)</f>
        <v/>
      </c>
      <c r="F35" s="128" t="str">
        <f>IF('(3).Midterm Exam'!E35="","",'(3).Midterm Exam'!E35)</f>
        <v/>
      </c>
      <c r="G35" s="128" t="str">
        <f>IF('(3).Midterm Exam'!F35="","",'(3).Midterm Exam'!F35)</f>
        <v/>
      </c>
      <c r="H35" s="128" t="str">
        <f>IF('(3).Midterm Exam'!G35="","",'(3).Midterm Exam'!G35)</f>
        <v/>
      </c>
      <c r="I35" s="128" t="str">
        <f>IF('(3).Midterm Exam'!H35="","",'(3).Midterm Exam'!H35)</f>
        <v/>
      </c>
      <c r="J35" s="128" t="str">
        <f>IF('(3).Midterm Exam'!I35="","",'(3).Midterm Exam'!I35)</f>
        <v/>
      </c>
      <c r="K35" s="128" t="str">
        <f>IF('(3).Midterm Exam'!J35="","",'(3).Midterm Exam'!J35)</f>
        <v/>
      </c>
      <c r="L35" s="128" t="str">
        <f>IF('(3).Midterm Exam'!K35="","",'(3).Midterm Exam'!K35)</f>
        <v/>
      </c>
      <c r="M35" s="128" t="str">
        <f>IF('(3).Midterm Exam'!L35="","",'(3).Midterm Exam'!L35)</f>
        <v/>
      </c>
      <c r="N35" s="129" t="str">
        <f>IF('(3).Midterm Exam'!M35="","",'(3).Midterm Exam'!M35)</f>
        <v/>
      </c>
      <c r="O35" s="130" t="str">
        <f>IF(B35="","",IF(D35="Incomplete","Incomplete",IF('(3).Midterm Exam'!N35="Change","Change",IF('(3).Midterm Exam'!N35="Stop","Stop",IF('(3).Midterm Exam'!N35="Incomplete","Incomplete",IF(COUNTBLANK(D35:N35)&gt;=1,"Incomplete",D35*20%+SUM(E35:N35)*80%))))))</f>
        <v/>
      </c>
    </row>
    <row r="36" spans="1:15" ht="15.95" customHeight="1">
      <c r="A36" s="66">
        <v>30</v>
      </c>
      <c r="B36" s="63" t="str">
        <f>IF('(3).Midterm Exam'!B36="","",'(3).Midterm Exam'!B36)</f>
        <v/>
      </c>
      <c r="C36" s="67" t="str">
        <f>IF('(3).Midterm Exam'!C36="","",'(3).Midterm Exam'!C36)</f>
        <v/>
      </c>
      <c r="D36" s="126" t="str">
        <f>IF('(2).Midterm Daily'!AH36="","",'(2).Midterm Daily'!AH36)</f>
        <v/>
      </c>
      <c r="E36" s="127" t="str">
        <f>IF('(3).Midterm Exam'!D36="","",'(3).Midterm Exam'!D36)</f>
        <v/>
      </c>
      <c r="F36" s="128" t="str">
        <f>IF('(3).Midterm Exam'!E36="","",'(3).Midterm Exam'!E36)</f>
        <v/>
      </c>
      <c r="G36" s="128" t="str">
        <f>IF('(3).Midterm Exam'!F36="","",'(3).Midterm Exam'!F36)</f>
        <v/>
      </c>
      <c r="H36" s="128" t="str">
        <f>IF('(3).Midterm Exam'!G36="","",'(3).Midterm Exam'!G36)</f>
        <v/>
      </c>
      <c r="I36" s="128" t="str">
        <f>IF('(3).Midterm Exam'!H36="","",'(3).Midterm Exam'!H36)</f>
        <v/>
      </c>
      <c r="J36" s="128" t="str">
        <f>IF('(3).Midterm Exam'!I36="","",'(3).Midterm Exam'!I36)</f>
        <v/>
      </c>
      <c r="K36" s="128" t="str">
        <f>IF('(3).Midterm Exam'!J36="","",'(3).Midterm Exam'!J36)</f>
        <v/>
      </c>
      <c r="L36" s="128" t="str">
        <f>IF('(3).Midterm Exam'!K36="","",'(3).Midterm Exam'!K36)</f>
        <v/>
      </c>
      <c r="M36" s="128" t="str">
        <f>IF('(3).Midterm Exam'!L36="","",'(3).Midterm Exam'!L36)</f>
        <v/>
      </c>
      <c r="N36" s="129" t="str">
        <f>IF('(3).Midterm Exam'!M36="","",'(3).Midterm Exam'!M36)</f>
        <v/>
      </c>
      <c r="O36" s="130" t="str">
        <f>IF(B36="","",IF(D36="Incomplete","Incomplete",IF('(3).Midterm Exam'!N36="Change","Change",IF('(3).Midterm Exam'!N36="Stop","Stop",IF('(3).Midterm Exam'!N36="Incomplete","Incomplete",IF(COUNTBLANK(D36:N36)&gt;=1,"Incomplete",D36*20%+SUM(E36:N36)*80%))))))</f>
        <v/>
      </c>
    </row>
    <row r="37" spans="1:15" ht="15.95" customHeight="1">
      <c r="A37" s="18" t="s">
        <v>0</v>
      </c>
      <c r="B37" s="19">
        <f>'(3).Midterm Exam'!B37</f>
        <v>0</v>
      </c>
      <c r="C37" s="60"/>
      <c r="D37" s="225" t="s">
        <v>94</v>
      </c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</row>
    <row r="38" spans="1:15" ht="15.95" customHeight="1">
      <c r="A38" s="18" t="s">
        <v>1</v>
      </c>
      <c r="B38" s="19">
        <f>'(3).Midterm Exam'!B38</f>
        <v>0</v>
      </c>
      <c r="C38" s="60"/>
      <c r="D38" s="225" t="str">
        <f>'(3).Midterm Exam'!D39</f>
        <v>FEBRUARY - JULY 2026</v>
      </c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</row>
    <row r="39" spans="1:15" ht="15.95" customHeight="1">
      <c r="A39" s="18" t="s">
        <v>2</v>
      </c>
      <c r="B39" s="19">
        <f>'(3).Midterm Exam'!B39</f>
        <v>0</v>
      </c>
      <c r="C39" s="60"/>
      <c r="D39" s="226" t="s">
        <v>30</v>
      </c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</row>
    <row r="40" spans="1:15" ht="15.95" customHeight="1">
      <c r="A40" s="18" t="s">
        <v>3</v>
      </c>
      <c r="B40" s="19">
        <f>'(3).Midterm Exam'!B40</f>
        <v>0</v>
      </c>
      <c r="C40" s="60"/>
      <c r="D40" s="117" t="s">
        <v>14</v>
      </c>
      <c r="E40" s="227" t="s">
        <v>93</v>
      </c>
      <c r="F40" s="228"/>
      <c r="G40" s="228"/>
      <c r="H40" s="228"/>
      <c r="I40" s="228"/>
      <c r="J40" s="228"/>
      <c r="K40" s="228"/>
      <c r="L40" s="228"/>
      <c r="M40" s="228"/>
      <c r="N40" s="229"/>
      <c r="O40" s="118" t="s">
        <v>16</v>
      </c>
    </row>
    <row r="41" spans="1:15" ht="15.95" customHeight="1">
      <c r="A41" s="18" t="s">
        <v>4</v>
      </c>
      <c r="B41" s="19">
        <f>'(3).Midterm Exam'!B41</f>
        <v>0</v>
      </c>
      <c r="C41" s="60"/>
      <c r="D41" s="119" t="s">
        <v>15</v>
      </c>
      <c r="E41" s="112" t="str">
        <f>IF(OR($B38="K5",$B38="K6",$B38="K7",$B38="K8",$B38="K9",$B38="K10"),"Listening","Up-Low C")</f>
        <v>Up-Low C</v>
      </c>
      <c r="F41" s="112" t="str">
        <f>IF(OR($B38="K5",$B38="K6",$B38="K7",$B38="K8",$B38="K9",$B38="K10"),"Speaking","Alphabet N")</f>
        <v>Alphabet N</v>
      </c>
      <c r="G41" s="112" t="str">
        <f>IF(OR($B38="K5",$B38="K6",$B38="K7",$B38="K8",$B38="K9",$B38="K10"),"Reading","Alphabet S")</f>
        <v>Alphabet S</v>
      </c>
      <c r="H41" s="112" t="str">
        <f>IF(OR($B38="K5",$B38="K6",$B38="K7",$B38="K8",$B38="K9",$B38="K10"),"Writing","Vocabulary")</f>
        <v>Vocabulary</v>
      </c>
      <c r="I41" s="112" t="str">
        <f>IF(OR($B38="K5",$B38="K6",$B38="K7",$B38="K8",$B38="K9",$B38="K10"),"Grammar","Sprouts")</f>
        <v>Sprouts</v>
      </c>
      <c r="J41" s="112" t="str">
        <f>IF(OR($B38="K5",$B38="K6",$B38="K7",$B38="K8",$B38="K9",$B38="K10"),"Vocabulary","Phonics")</f>
        <v>Phonics</v>
      </c>
      <c r="K41" s="112" t="str">
        <f>IF(OR($B38="K5",$B38="K6",$B38="K7",$B38="K8",$B38="K9",$B38="K10"),"Roots","Math")</f>
        <v>Math</v>
      </c>
      <c r="L41" s="112" t="str">
        <f>IF(OR($B38="K5",$B38="K6",$B38="K7",$B38="K8",$B38="K9",$B38="K10"),"Phonics","Shape")</f>
        <v>Shape</v>
      </c>
      <c r="M41" s="112" t="str">
        <f>IF(OR($B38="K5",$B38="K6",$B38="K7",$B38="K8",$B38="K9",$B38="K10"),"Math","Science")</f>
        <v>Science</v>
      </c>
      <c r="N41" s="112" t="str">
        <f>IF(OR($B38="K5",$B38="K6",$B38="K7",$B38="K8",$B38="K9",$B38="K10"),"Science","Tracing")</f>
        <v>Tracing</v>
      </c>
      <c r="O41" s="120" t="s">
        <v>17</v>
      </c>
    </row>
    <row r="42" spans="1:15" ht="15.95" customHeight="1" thickBot="1">
      <c r="A42" s="82" t="s">
        <v>5</v>
      </c>
      <c r="B42" s="83" t="s">
        <v>6</v>
      </c>
      <c r="C42" s="84" t="s">
        <v>7</v>
      </c>
      <c r="D42" s="113" t="s">
        <v>92</v>
      </c>
      <c r="E42" s="113" t="s">
        <v>9</v>
      </c>
      <c r="F42" s="113" t="s">
        <v>9</v>
      </c>
      <c r="G42" s="113" t="s">
        <v>9</v>
      </c>
      <c r="H42" s="113" t="s">
        <v>9</v>
      </c>
      <c r="I42" s="113" t="s">
        <v>9</v>
      </c>
      <c r="J42" s="113" t="s">
        <v>9</v>
      </c>
      <c r="K42" s="113" t="s">
        <v>9</v>
      </c>
      <c r="L42" s="113" t="s">
        <v>9</v>
      </c>
      <c r="M42" s="113" t="s">
        <v>9</v>
      </c>
      <c r="N42" s="113" t="s">
        <v>9</v>
      </c>
      <c r="O42" s="113" t="s">
        <v>92</v>
      </c>
    </row>
    <row r="43" spans="1:15" ht="15.95" customHeight="1">
      <c r="A43" s="78">
        <v>1</v>
      </c>
      <c r="B43" s="68" t="str">
        <f>IF('(3).Midterm Exam'!B43="","",'(3).Midterm Exam'!B43)</f>
        <v/>
      </c>
      <c r="C43" s="79" t="str">
        <f>IF('(3).Midterm Exam'!C43="","",'(3).Midterm Exam'!C43)</f>
        <v/>
      </c>
      <c r="D43" s="121" t="str">
        <f>IF('(2).Midterm Daily'!AH43="","",'(2).Midterm Daily'!AH43)</f>
        <v/>
      </c>
      <c r="E43" s="122" t="str">
        <f>IF('(3).Midterm Exam'!D43="","",'(3).Midterm Exam'!D43)</f>
        <v/>
      </c>
      <c r="F43" s="123" t="str">
        <f>IF('(3).Midterm Exam'!E43="","",'(3).Midterm Exam'!E43)</f>
        <v/>
      </c>
      <c r="G43" s="123" t="str">
        <f>IF('(3).Midterm Exam'!F43="","",'(3).Midterm Exam'!F43)</f>
        <v/>
      </c>
      <c r="H43" s="123" t="str">
        <f>IF('(3).Midterm Exam'!G43="","",'(3).Midterm Exam'!G43)</f>
        <v/>
      </c>
      <c r="I43" s="123" t="str">
        <f>IF('(3).Midterm Exam'!H43="","",'(3).Midterm Exam'!H43)</f>
        <v/>
      </c>
      <c r="J43" s="123" t="str">
        <f>IF('(3).Midterm Exam'!I43="","",'(3).Midterm Exam'!I43)</f>
        <v/>
      </c>
      <c r="K43" s="123" t="str">
        <f>IF('(3).Midterm Exam'!J43="","",'(3).Midterm Exam'!J43)</f>
        <v/>
      </c>
      <c r="L43" s="123" t="str">
        <f>IF('(3).Midterm Exam'!K43="","",'(3).Midterm Exam'!K43)</f>
        <v/>
      </c>
      <c r="M43" s="123" t="str">
        <f>IF('(3).Midterm Exam'!L43="","",'(3).Midterm Exam'!L43)</f>
        <v/>
      </c>
      <c r="N43" s="124" t="str">
        <f>IF('(3).Midterm Exam'!M43="","",'(3).Midterm Exam'!M43)</f>
        <v/>
      </c>
      <c r="O43" s="125" t="str">
        <f>IF(B43="","",IF(D43="Incomplete","Incomplete",IF('(3).Midterm Exam'!N43="Change","Change",IF('(3).Midterm Exam'!N43="Stop","Stop",IF('(3).Midterm Exam'!N43="Incomplete","Incomplete",IF(COUNTBLANK(D43:N43)&gt;=1,"Incomplete",D43*20%+SUM(E43:N43)*80%))))))</f>
        <v/>
      </c>
    </row>
    <row r="44" spans="1:15" ht="15.95" customHeight="1">
      <c r="A44" s="66">
        <v>2</v>
      </c>
      <c r="B44" s="63" t="str">
        <f>IF('(3).Midterm Exam'!B44="","",'(3).Midterm Exam'!B44)</f>
        <v/>
      </c>
      <c r="C44" s="67" t="str">
        <f>IF('(3).Midterm Exam'!C44="","",'(3).Midterm Exam'!C44)</f>
        <v/>
      </c>
      <c r="D44" s="126" t="str">
        <f>IF('(2).Midterm Daily'!AH44="","",'(2).Midterm Daily'!AH44)</f>
        <v/>
      </c>
      <c r="E44" s="127" t="str">
        <f>IF('(3).Midterm Exam'!D44="","",'(3).Midterm Exam'!D44)</f>
        <v/>
      </c>
      <c r="F44" s="128" t="str">
        <f>IF('(3).Midterm Exam'!E44="","",'(3).Midterm Exam'!E44)</f>
        <v/>
      </c>
      <c r="G44" s="128" t="str">
        <f>IF('(3).Midterm Exam'!F44="","",'(3).Midterm Exam'!F44)</f>
        <v/>
      </c>
      <c r="H44" s="128" t="str">
        <f>IF('(3).Midterm Exam'!G44="","",'(3).Midterm Exam'!G44)</f>
        <v/>
      </c>
      <c r="I44" s="128" t="str">
        <f>IF('(3).Midterm Exam'!H44="","",'(3).Midterm Exam'!H44)</f>
        <v/>
      </c>
      <c r="J44" s="128" t="str">
        <f>IF('(3).Midterm Exam'!I44="","",'(3).Midterm Exam'!I44)</f>
        <v/>
      </c>
      <c r="K44" s="128" t="str">
        <f>IF('(3).Midterm Exam'!J44="","",'(3).Midterm Exam'!J44)</f>
        <v/>
      </c>
      <c r="L44" s="128" t="str">
        <f>IF('(3).Midterm Exam'!K44="","",'(3).Midterm Exam'!K44)</f>
        <v/>
      </c>
      <c r="M44" s="128" t="str">
        <f>IF('(3).Midterm Exam'!L44="","",'(3).Midterm Exam'!L44)</f>
        <v/>
      </c>
      <c r="N44" s="129" t="str">
        <f>IF('(3).Midterm Exam'!M44="","",'(3).Midterm Exam'!M44)</f>
        <v/>
      </c>
      <c r="O44" s="130" t="str">
        <f>IF(B44="","",IF(D44="Incomplete","Incomplete",IF('(3).Midterm Exam'!N44="Change","Change",IF('(3).Midterm Exam'!N44="Stop","Stop",IF('(3).Midterm Exam'!N44="Incomplete","Incomplete",IF(COUNTBLANK(D44:N44)&gt;=1,"Incomplete",D44*20%+SUM(E44:N44)*80%))))))</f>
        <v/>
      </c>
    </row>
    <row r="45" spans="1:15" ht="15.95" customHeight="1">
      <c r="A45" s="66">
        <v>3</v>
      </c>
      <c r="B45" s="63" t="str">
        <f>IF('(3).Midterm Exam'!B45="","",'(3).Midterm Exam'!B45)</f>
        <v/>
      </c>
      <c r="C45" s="67" t="str">
        <f>IF('(3).Midterm Exam'!C45="","",'(3).Midterm Exam'!C45)</f>
        <v/>
      </c>
      <c r="D45" s="126" t="str">
        <f>IF('(2).Midterm Daily'!AH45="","",'(2).Midterm Daily'!AH45)</f>
        <v/>
      </c>
      <c r="E45" s="127" t="str">
        <f>IF('(3).Midterm Exam'!D45="","",'(3).Midterm Exam'!D45)</f>
        <v/>
      </c>
      <c r="F45" s="128" t="str">
        <f>IF('(3).Midterm Exam'!E45="","",'(3).Midterm Exam'!E45)</f>
        <v/>
      </c>
      <c r="G45" s="128" t="str">
        <f>IF('(3).Midterm Exam'!F45="","",'(3).Midterm Exam'!F45)</f>
        <v/>
      </c>
      <c r="H45" s="128" t="str">
        <f>IF('(3).Midterm Exam'!G45="","",'(3).Midterm Exam'!G45)</f>
        <v/>
      </c>
      <c r="I45" s="128" t="str">
        <f>IF('(3).Midterm Exam'!H45="","",'(3).Midterm Exam'!H45)</f>
        <v/>
      </c>
      <c r="J45" s="128" t="str">
        <f>IF('(3).Midterm Exam'!I45="","",'(3).Midterm Exam'!I45)</f>
        <v/>
      </c>
      <c r="K45" s="128" t="str">
        <f>IF('(3).Midterm Exam'!J45="","",'(3).Midterm Exam'!J45)</f>
        <v/>
      </c>
      <c r="L45" s="128" t="str">
        <f>IF('(3).Midterm Exam'!K45="","",'(3).Midterm Exam'!K45)</f>
        <v/>
      </c>
      <c r="M45" s="128" t="str">
        <f>IF('(3).Midterm Exam'!L45="","",'(3).Midterm Exam'!L45)</f>
        <v/>
      </c>
      <c r="N45" s="129" t="str">
        <f>IF('(3).Midterm Exam'!M45="","",'(3).Midterm Exam'!M45)</f>
        <v/>
      </c>
      <c r="O45" s="130" t="str">
        <f>IF(B45="","",IF(D45="Incomplete","Incomplete",IF('(3).Midterm Exam'!N45="Change","Change",IF('(3).Midterm Exam'!N45="Stop","Stop",IF('(3).Midterm Exam'!N45="Incomplete","Incomplete",IF(COUNTBLANK(D45:N45)&gt;=1,"Incomplete",D45*20%+SUM(E45:N45)*80%))))))</f>
        <v/>
      </c>
    </row>
    <row r="46" spans="1:15" ht="15.95" customHeight="1">
      <c r="A46" s="66">
        <v>4</v>
      </c>
      <c r="B46" s="63" t="str">
        <f>IF('(3).Midterm Exam'!B46="","",'(3).Midterm Exam'!B46)</f>
        <v/>
      </c>
      <c r="C46" s="67" t="str">
        <f>IF('(3).Midterm Exam'!C46="","",'(3).Midterm Exam'!C46)</f>
        <v/>
      </c>
      <c r="D46" s="126" t="str">
        <f>IF('(2).Midterm Daily'!AH46="","",'(2).Midterm Daily'!AH46)</f>
        <v/>
      </c>
      <c r="E46" s="127" t="str">
        <f>IF('(3).Midterm Exam'!D46="","",'(3).Midterm Exam'!D46)</f>
        <v/>
      </c>
      <c r="F46" s="128" t="str">
        <f>IF('(3).Midterm Exam'!E46="","",'(3).Midterm Exam'!E46)</f>
        <v/>
      </c>
      <c r="G46" s="128" t="str">
        <f>IF('(3).Midterm Exam'!F46="","",'(3).Midterm Exam'!F46)</f>
        <v/>
      </c>
      <c r="H46" s="128" t="str">
        <f>IF('(3).Midterm Exam'!G46="","",'(3).Midterm Exam'!G46)</f>
        <v/>
      </c>
      <c r="I46" s="128" t="str">
        <f>IF('(3).Midterm Exam'!H46="","",'(3).Midterm Exam'!H46)</f>
        <v/>
      </c>
      <c r="J46" s="128" t="str">
        <f>IF('(3).Midterm Exam'!I46="","",'(3).Midterm Exam'!I46)</f>
        <v/>
      </c>
      <c r="K46" s="128" t="str">
        <f>IF('(3).Midterm Exam'!J46="","",'(3).Midterm Exam'!J46)</f>
        <v/>
      </c>
      <c r="L46" s="128" t="str">
        <f>IF('(3).Midterm Exam'!K46="","",'(3).Midterm Exam'!K46)</f>
        <v/>
      </c>
      <c r="M46" s="128" t="str">
        <f>IF('(3).Midterm Exam'!L46="","",'(3).Midterm Exam'!L46)</f>
        <v/>
      </c>
      <c r="N46" s="129" t="str">
        <f>IF('(3).Midterm Exam'!M46="","",'(3).Midterm Exam'!M46)</f>
        <v/>
      </c>
      <c r="O46" s="130" t="str">
        <f>IF(B46="","",IF(D46="Incomplete","Incomplete",IF('(3).Midterm Exam'!N46="Change","Change",IF('(3).Midterm Exam'!N46="Stop","Stop",IF('(3).Midterm Exam'!N46="Incomplete","Incomplete",IF(COUNTBLANK(D46:N46)&gt;=1,"Incomplete",D46*20%+SUM(E46:N46)*80%))))))</f>
        <v/>
      </c>
    </row>
    <row r="47" spans="1:15" ht="15.95" customHeight="1">
      <c r="A47" s="66">
        <v>5</v>
      </c>
      <c r="B47" s="63" t="str">
        <f>IF('(3).Midterm Exam'!B47="","",'(3).Midterm Exam'!B47)</f>
        <v/>
      </c>
      <c r="C47" s="67" t="str">
        <f>IF('(3).Midterm Exam'!C47="","",'(3).Midterm Exam'!C47)</f>
        <v/>
      </c>
      <c r="D47" s="126" t="str">
        <f>IF('(2).Midterm Daily'!AH47="","",'(2).Midterm Daily'!AH47)</f>
        <v/>
      </c>
      <c r="E47" s="127" t="str">
        <f>IF('(3).Midterm Exam'!D47="","",'(3).Midterm Exam'!D47)</f>
        <v/>
      </c>
      <c r="F47" s="128" t="str">
        <f>IF('(3).Midterm Exam'!E47="","",'(3).Midterm Exam'!E47)</f>
        <v/>
      </c>
      <c r="G47" s="128" t="str">
        <f>IF('(3).Midterm Exam'!F47="","",'(3).Midterm Exam'!F47)</f>
        <v/>
      </c>
      <c r="H47" s="128" t="str">
        <f>IF('(3).Midterm Exam'!G47="","",'(3).Midterm Exam'!G47)</f>
        <v/>
      </c>
      <c r="I47" s="128" t="str">
        <f>IF('(3).Midterm Exam'!H47="","",'(3).Midterm Exam'!H47)</f>
        <v/>
      </c>
      <c r="J47" s="128" t="str">
        <f>IF('(3).Midterm Exam'!I47="","",'(3).Midterm Exam'!I47)</f>
        <v/>
      </c>
      <c r="K47" s="128" t="str">
        <f>IF('(3).Midterm Exam'!J47="","",'(3).Midterm Exam'!J47)</f>
        <v/>
      </c>
      <c r="L47" s="128" t="str">
        <f>IF('(3).Midterm Exam'!K47="","",'(3).Midterm Exam'!K47)</f>
        <v/>
      </c>
      <c r="M47" s="128" t="str">
        <f>IF('(3).Midterm Exam'!L47="","",'(3).Midterm Exam'!L47)</f>
        <v/>
      </c>
      <c r="N47" s="129" t="str">
        <f>IF('(3).Midterm Exam'!M47="","",'(3).Midterm Exam'!M47)</f>
        <v/>
      </c>
      <c r="O47" s="130" t="str">
        <f>IF(B47="","",IF(D47="Incomplete","Incomplete",IF('(3).Midterm Exam'!N47="Change","Change",IF('(3).Midterm Exam'!N47="Stop","Stop",IF('(3).Midterm Exam'!N47="Incomplete","Incomplete",IF(COUNTBLANK(D47:N47)&gt;=1,"Incomplete",D47*20%+SUM(E47:N47)*80%))))))</f>
        <v/>
      </c>
    </row>
    <row r="48" spans="1:15" ht="15.95" customHeight="1">
      <c r="A48" s="66">
        <v>6</v>
      </c>
      <c r="B48" s="63" t="str">
        <f>IF('(3).Midterm Exam'!B48="","",'(3).Midterm Exam'!B48)</f>
        <v/>
      </c>
      <c r="C48" s="67" t="str">
        <f>IF('(3).Midterm Exam'!C48="","",'(3).Midterm Exam'!C48)</f>
        <v/>
      </c>
      <c r="D48" s="126" t="str">
        <f>IF('(2).Midterm Daily'!AH48="","",'(2).Midterm Daily'!AH48)</f>
        <v/>
      </c>
      <c r="E48" s="127" t="str">
        <f>IF('(3).Midterm Exam'!D48="","",'(3).Midterm Exam'!D48)</f>
        <v/>
      </c>
      <c r="F48" s="128" t="str">
        <f>IF('(3).Midterm Exam'!E48="","",'(3).Midterm Exam'!E48)</f>
        <v/>
      </c>
      <c r="G48" s="128" t="str">
        <f>IF('(3).Midterm Exam'!F48="","",'(3).Midterm Exam'!F48)</f>
        <v/>
      </c>
      <c r="H48" s="128" t="str">
        <f>IF('(3).Midterm Exam'!G48="","",'(3).Midterm Exam'!G48)</f>
        <v/>
      </c>
      <c r="I48" s="128" t="str">
        <f>IF('(3).Midterm Exam'!H48="","",'(3).Midterm Exam'!H48)</f>
        <v/>
      </c>
      <c r="J48" s="128" t="str">
        <f>IF('(3).Midterm Exam'!I48="","",'(3).Midterm Exam'!I48)</f>
        <v/>
      </c>
      <c r="K48" s="128" t="str">
        <f>IF('(3).Midterm Exam'!J48="","",'(3).Midterm Exam'!J48)</f>
        <v/>
      </c>
      <c r="L48" s="128" t="str">
        <f>IF('(3).Midterm Exam'!K48="","",'(3).Midterm Exam'!K48)</f>
        <v/>
      </c>
      <c r="M48" s="128" t="str">
        <f>IF('(3).Midterm Exam'!L48="","",'(3).Midterm Exam'!L48)</f>
        <v/>
      </c>
      <c r="N48" s="129" t="str">
        <f>IF('(3).Midterm Exam'!M48="","",'(3).Midterm Exam'!M48)</f>
        <v/>
      </c>
      <c r="O48" s="130" t="str">
        <f>IF(B48="","",IF(D48="Incomplete","Incomplete",IF('(3).Midterm Exam'!N48="Change","Change",IF('(3).Midterm Exam'!N48="Stop","Stop",IF('(3).Midterm Exam'!N48="Incomplete","Incomplete",IF(COUNTBLANK(D48:N48)&gt;=1,"Incomplete",D48*20%+SUM(E48:N48)*80%))))))</f>
        <v/>
      </c>
    </row>
    <row r="49" spans="1:15" ht="15.95" customHeight="1">
      <c r="A49" s="66">
        <v>7</v>
      </c>
      <c r="B49" s="63" t="str">
        <f>IF('(3).Midterm Exam'!B49="","",'(3).Midterm Exam'!B49)</f>
        <v/>
      </c>
      <c r="C49" s="67" t="str">
        <f>IF('(3).Midterm Exam'!C49="","",'(3).Midterm Exam'!C49)</f>
        <v/>
      </c>
      <c r="D49" s="126" t="str">
        <f>IF('(2).Midterm Daily'!AH49="","",'(2).Midterm Daily'!AH49)</f>
        <v/>
      </c>
      <c r="E49" s="127" t="str">
        <f>IF('(3).Midterm Exam'!D49="","",'(3).Midterm Exam'!D49)</f>
        <v/>
      </c>
      <c r="F49" s="128" t="str">
        <f>IF('(3).Midterm Exam'!E49="","",'(3).Midterm Exam'!E49)</f>
        <v/>
      </c>
      <c r="G49" s="128" t="str">
        <f>IF('(3).Midterm Exam'!F49="","",'(3).Midterm Exam'!F49)</f>
        <v/>
      </c>
      <c r="H49" s="128" t="str">
        <f>IF('(3).Midterm Exam'!G49="","",'(3).Midterm Exam'!G49)</f>
        <v/>
      </c>
      <c r="I49" s="128" t="str">
        <f>IF('(3).Midterm Exam'!H49="","",'(3).Midterm Exam'!H49)</f>
        <v/>
      </c>
      <c r="J49" s="128" t="str">
        <f>IF('(3).Midterm Exam'!I49="","",'(3).Midterm Exam'!I49)</f>
        <v/>
      </c>
      <c r="K49" s="128" t="str">
        <f>IF('(3).Midterm Exam'!J49="","",'(3).Midterm Exam'!J49)</f>
        <v/>
      </c>
      <c r="L49" s="128" t="str">
        <f>IF('(3).Midterm Exam'!K49="","",'(3).Midterm Exam'!K49)</f>
        <v/>
      </c>
      <c r="M49" s="128" t="str">
        <f>IF('(3).Midterm Exam'!L49="","",'(3).Midterm Exam'!L49)</f>
        <v/>
      </c>
      <c r="N49" s="129" t="str">
        <f>IF('(3).Midterm Exam'!M49="","",'(3).Midterm Exam'!M49)</f>
        <v/>
      </c>
      <c r="O49" s="130" t="str">
        <f>IF(B49="","",IF(D49="Incomplete","Incomplete",IF('(3).Midterm Exam'!N49="Change","Change",IF('(3).Midterm Exam'!N49="Stop","Stop",IF('(3).Midterm Exam'!N49="Incomplete","Incomplete",IF(COUNTBLANK(D49:N49)&gt;=1,"Incomplete",D49*20%+SUM(E49:N49)*80%))))))</f>
        <v/>
      </c>
    </row>
    <row r="50" spans="1:15" ht="15.95" customHeight="1">
      <c r="A50" s="66">
        <v>8</v>
      </c>
      <c r="B50" s="63" t="str">
        <f>IF('(3).Midterm Exam'!B50="","",'(3).Midterm Exam'!B50)</f>
        <v/>
      </c>
      <c r="C50" s="67" t="str">
        <f>IF('(3).Midterm Exam'!C50="","",'(3).Midterm Exam'!C50)</f>
        <v/>
      </c>
      <c r="D50" s="126" t="str">
        <f>IF('(2).Midterm Daily'!AH50="","",'(2).Midterm Daily'!AH50)</f>
        <v/>
      </c>
      <c r="E50" s="127" t="str">
        <f>IF('(3).Midterm Exam'!D50="","",'(3).Midterm Exam'!D50)</f>
        <v/>
      </c>
      <c r="F50" s="128" t="str">
        <f>IF('(3).Midterm Exam'!E50="","",'(3).Midterm Exam'!E50)</f>
        <v/>
      </c>
      <c r="G50" s="128" t="str">
        <f>IF('(3).Midterm Exam'!F50="","",'(3).Midterm Exam'!F50)</f>
        <v/>
      </c>
      <c r="H50" s="128" t="str">
        <f>IF('(3).Midterm Exam'!G50="","",'(3).Midterm Exam'!G50)</f>
        <v/>
      </c>
      <c r="I50" s="128" t="str">
        <f>IF('(3).Midterm Exam'!H50="","",'(3).Midterm Exam'!H50)</f>
        <v/>
      </c>
      <c r="J50" s="128" t="str">
        <f>IF('(3).Midterm Exam'!I50="","",'(3).Midterm Exam'!I50)</f>
        <v/>
      </c>
      <c r="K50" s="128" t="str">
        <f>IF('(3).Midterm Exam'!J50="","",'(3).Midterm Exam'!J50)</f>
        <v/>
      </c>
      <c r="L50" s="128" t="str">
        <f>IF('(3).Midterm Exam'!K50="","",'(3).Midterm Exam'!K50)</f>
        <v/>
      </c>
      <c r="M50" s="128" t="str">
        <f>IF('(3).Midterm Exam'!L50="","",'(3).Midterm Exam'!L50)</f>
        <v/>
      </c>
      <c r="N50" s="129" t="str">
        <f>IF('(3).Midterm Exam'!M50="","",'(3).Midterm Exam'!M50)</f>
        <v/>
      </c>
      <c r="O50" s="130" t="str">
        <f>IF(B50="","",IF(D50="Incomplete","Incomplete",IF('(3).Midterm Exam'!N50="Change","Change",IF('(3).Midterm Exam'!N50="Stop","Stop",IF('(3).Midterm Exam'!N50="Incomplete","Incomplete",IF(COUNTBLANK(D50:N50)&gt;=1,"Incomplete",D50*20%+SUM(E50:N50)*80%))))))</f>
        <v/>
      </c>
    </row>
    <row r="51" spans="1:15" ht="15.95" customHeight="1">
      <c r="A51" s="66">
        <v>9</v>
      </c>
      <c r="B51" s="63" t="str">
        <f>IF('(3).Midterm Exam'!B51="","",'(3).Midterm Exam'!B51)</f>
        <v/>
      </c>
      <c r="C51" s="67" t="str">
        <f>IF('(3).Midterm Exam'!C51="","",'(3).Midterm Exam'!C51)</f>
        <v/>
      </c>
      <c r="D51" s="126" t="str">
        <f>IF('(2).Midterm Daily'!AH51="","",'(2).Midterm Daily'!AH51)</f>
        <v/>
      </c>
      <c r="E51" s="127" t="str">
        <f>IF('(3).Midterm Exam'!D51="","",'(3).Midterm Exam'!D51)</f>
        <v/>
      </c>
      <c r="F51" s="128" t="str">
        <f>IF('(3).Midterm Exam'!E51="","",'(3).Midterm Exam'!E51)</f>
        <v/>
      </c>
      <c r="G51" s="128" t="str">
        <f>IF('(3).Midterm Exam'!F51="","",'(3).Midterm Exam'!F51)</f>
        <v/>
      </c>
      <c r="H51" s="128" t="str">
        <f>IF('(3).Midterm Exam'!G51="","",'(3).Midterm Exam'!G51)</f>
        <v/>
      </c>
      <c r="I51" s="128" t="str">
        <f>IF('(3).Midterm Exam'!H51="","",'(3).Midterm Exam'!H51)</f>
        <v/>
      </c>
      <c r="J51" s="128" t="str">
        <f>IF('(3).Midterm Exam'!I51="","",'(3).Midterm Exam'!I51)</f>
        <v/>
      </c>
      <c r="K51" s="128" t="str">
        <f>IF('(3).Midterm Exam'!J51="","",'(3).Midterm Exam'!J51)</f>
        <v/>
      </c>
      <c r="L51" s="128" t="str">
        <f>IF('(3).Midterm Exam'!K51="","",'(3).Midterm Exam'!K51)</f>
        <v/>
      </c>
      <c r="M51" s="128" t="str">
        <f>IF('(3).Midterm Exam'!L51="","",'(3).Midterm Exam'!L51)</f>
        <v/>
      </c>
      <c r="N51" s="129" t="str">
        <f>IF('(3).Midterm Exam'!M51="","",'(3).Midterm Exam'!M51)</f>
        <v/>
      </c>
      <c r="O51" s="130" t="str">
        <f>IF(B51="","",IF(D51="Incomplete","Incomplete",IF('(3).Midterm Exam'!N51="Change","Change",IF('(3).Midterm Exam'!N51="Stop","Stop",IF('(3).Midterm Exam'!N51="Incomplete","Incomplete",IF(COUNTBLANK(D51:N51)&gt;=1,"Incomplete",D51*20%+SUM(E51:N51)*80%))))))</f>
        <v/>
      </c>
    </row>
    <row r="52" spans="1:15" ht="15.95" customHeight="1">
      <c r="A52" s="66">
        <v>10</v>
      </c>
      <c r="B52" s="63" t="str">
        <f>IF('(3).Midterm Exam'!B52="","",'(3).Midterm Exam'!B52)</f>
        <v/>
      </c>
      <c r="C52" s="67" t="str">
        <f>IF('(3).Midterm Exam'!C52="","",'(3).Midterm Exam'!C52)</f>
        <v/>
      </c>
      <c r="D52" s="126" t="str">
        <f>IF('(2).Midterm Daily'!AH52="","",'(2).Midterm Daily'!AH52)</f>
        <v/>
      </c>
      <c r="E52" s="127" t="str">
        <f>IF('(3).Midterm Exam'!D52="","",'(3).Midterm Exam'!D52)</f>
        <v/>
      </c>
      <c r="F52" s="128" t="str">
        <f>IF('(3).Midterm Exam'!E52="","",'(3).Midterm Exam'!E52)</f>
        <v/>
      </c>
      <c r="G52" s="128" t="str">
        <f>IF('(3).Midterm Exam'!F52="","",'(3).Midterm Exam'!F52)</f>
        <v/>
      </c>
      <c r="H52" s="128" t="str">
        <f>IF('(3).Midterm Exam'!G52="","",'(3).Midterm Exam'!G52)</f>
        <v/>
      </c>
      <c r="I52" s="128" t="str">
        <f>IF('(3).Midterm Exam'!H52="","",'(3).Midterm Exam'!H52)</f>
        <v/>
      </c>
      <c r="J52" s="128" t="str">
        <f>IF('(3).Midterm Exam'!I52="","",'(3).Midterm Exam'!I52)</f>
        <v/>
      </c>
      <c r="K52" s="128" t="str">
        <f>IF('(3).Midterm Exam'!J52="","",'(3).Midterm Exam'!J52)</f>
        <v/>
      </c>
      <c r="L52" s="128" t="str">
        <f>IF('(3).Midterm Exam'!K52="","",'(3).Midterm Exam'!K52)</f>
        <v/>
      </c>
      <c r="M52" s="128" t="str">
        <f>IF('(3).Midterm Exam'!L52="","",'(3).Midterm Exam'!L52)</f>
        <v/>
      </c>
      <c r="N52" s="129" t="str">
        <f>IF('(3).Midterm Exam'!M52="","",'(3).Midterm Exam'!M52)</f>
        <v/>
      </c>
      <c r="O52" s="130" t="str">
        <f>IF(B52="","",IF(D52="Incomplete","Incomplete",IF('(3).Midterm Exam'!N52="Change","Change",IF('(3).Midterm Exam'!N52="Stop","Stop",IF('(3).Midterm Exam'!N52="Incomplete","Incomplete",IF(COUNTBLANK(D52:N52)&gt;=1,"Incomplete",D52*20%+SUM(E52:N52)*80%))))))</f>
        <v/>
      </c>
    </row>
    <row r="53" spans="1:15" ht="15.95" customHeight="1">
      <c r="A53" s="66">
        <v>11</v>
      </c>
      <c r="B53" s="63" t="str">
        <f>IF('(3).Midterm Exam'!B53="","",'(3).Midterm Exam'!B53)</f>
        <v/>
      </c>
      <c r="C53" s="67" t="str">
        <f>IF('(3).Midterm Exam'!C53="","",'(3).Midterm Exam'!C53)</f>
        <v/>
      </c>
      <c r="D53" s="126" t="str">
        <f>IF('(2).Midterm Daily'!AH53="","",'(2).Midterm Daily'!AH53)</f>
        <v/>
      </c>
      <c r="E53" s="127" t="str">
        <f>IF('(3).Midterm Exam'!D53="","",'(3).Midterm Exam'!D53)</f>
        <v/>
      </c>
      <c r="F53" s="128" t="str">
        <f>IF('(3).Midterm Exam'!E53="","",'(3).Midterm Exam'!E53)</f>
        <v/>
      </c>
      <c r="G53" s="128" t="str">
        <f>IF('(3).Midterm Exam'!F53="","",'(3).Midterm Exam'!F53)</f>
        <v/>
      </c>
      <c r="H53" s="128" t="str">
        <f>IF('(3).Midterm Exam'!G53="","",'(3).Midterm Exam'!G53)</f>
        <v/>
      </c>
      <c r="I53" s="128" t="str">
        <f>IF('(3).Midterm Exam'!H53="","",'(3).Midterm Exam'!H53)</f>
        <v/>
      </c>
      <c r="J53" s="128" t="str">
        <f>IF('(3).Midterm Exam'!I53="","",'(3).Midterm Exam'!I53)</f>
        <v/>
      </c>
      <c r="K53" s="128" t="str">
        <f>IF('(3).Midterm Exam'!J53="","",'(3).Midterm Exam'!J53)</f>
        <v/>
      </c>
      <c r="L53" s="128" t="str">
        <f>IF('(3).Midterm Exam'!K53="","",'(3).Midterm Exam'!K53)</f>
        <v/>
      </c>
      <c r="M53" s="128" t="str">
        <f>IF('(3).Midterm Exam'!L53="","",'(3).Midterm Exam'!L53)</f>
        <v/>
      </c>
      <c r="N53" s="129" t="str">
        <f>IF('(3).Midterm Exam'!M53="","",'(3).Midterm Exam'!M53)</f>
        <v/>
      </c>
      <c r="O53" s="130" t="str">
        <f>IF(B53="","",IF(D53="Incomplete","Incomplete",IF('(3).Midterm Exam'!N53="Change","Change",IF('(3).Midterm Exam'!N53="Stop","Stop",IF('(3).Midterm Exam'!N53="Incomplete","Incomplete",IF(COUNTBLANK(D53:N53)&gt;=1,"Incomplete",D53*20%+SUM(E53:N53)*80%))))))</f>
        <v/>
      </c>
    </row>
    <row r="54" spans="1:15" ht="15.95" customHeight="1">
      <c r="A54" s="66">
        <v>12</v>
      </c>
      <c r="B54" s="63" t="str">
        <f>IF('(3).Midterm Exam'!B54="","",'(3).Midterm Exam'!B54)</f>
        <v/>
      </c>
      <c r="C54" s="67" t="str">
        <f>IF('(3).Midterm Exam'!C54="","",'(3).Midterm Exam'!C54)</f>
        <v/>
      </c>
      <c r="D54" s="126" t="str">
        <f>IF('(2).Midterm Daily'!AH54="","",'(2).Midterm Daily'!AH54)</f>
        <v/>
      </c>
      <c r="E54" s="127" t="str">
        <f>IF('(3).Midterm Exam'!D54="","",'(3).Midterm Exam'!D54)</f>
        <v/>
      </c>
      <c r="F54" s="128" t="str">
        <f>IF('(3).Midterm Exam'!E54="","",'(3).Midterm Exam'!E54)</f>
        <v/>
      </c>
      <c r="G54" s="128" t="str">
        <f>IF('(3).Midterm Exam'!F54="","",'(3).Midterm Exam'!F54)</f>
        <v/>
      </c>
      <c r="H54" s="128" t="str">
        <f>IF('(3).Midterm Exam'!G54="","",'(3).Midterm Exam'!G54)</f>
        <v/>
      </c>
      <c r="I54" s="128" t="str">
        <f>IF('(3).Midterm Exam'!H54="","",'(3).Midterm Exam'!H54)</f>
        <v/>
      </c>
      <c r="J54" s="128" t="str">
        <f>IF('(3).Midterm Exam'!I54="","",'(3).Midterm Exam'!I54)</f>
        <v/>
      </c>
      <c r="K54" s="128" t="str">
        <f>IF('(3).Midterm Exam'!J54="","",'(3).Midterm Exam'!J54)</f>
        <v/>
      </c>
      <c r="L54" s="128" t="str">
        <f>IF('(3).Midterm Exam'!K54="","",'(3).Midterm Exam'!K54)</f>
        <v/>
      </c>
      <c r="M54" s="128" t="str">
        <f>IF('(3).Midterm Exam'!L54="","",'(3).Midterm Exam'!L54)</f>
        <v/>
      </c>
      <c r="N54" s="129" t="str">
        <f>IF('(3).Midterm Exam'!M54="","",'(3).Midterm Exam'!M54)</f>
        <v/>
      </c>
      <c r="O54" s="130" t="str">
        <f>IF(B54="","",IF(D54="Incomplete","Incomplete",IF('(3).Midterm Exam'!N54="Change","Change",IF('(3).Midterm Exam'!N54="Stop","Stop",IF('(3).Midterm Exam'!N54="Incomplete","Incomplete",IF(COUNTBLANK(D54:N54)&gt;=1,"Incomplete",D54*20%+SUM(E54:N54)*80%))))))</f>
        <v/>
      </c>
    </row>
    <row r="55" spans="1:15" ht="15.95" customHeight="1">
      <c r="A55" s="66">
        <v>13</v>
      </c>
      <c r="B55" s="63" t="str">
        <f>IF('(3).Midterm Exam'!B55="","",'(3).Midterm Exam'!B55)</f>
        <v/>
      </c>
      <c r="C55" s="67" t="str">
        <f>IF('(3).Midterm Exam'!C55="","",'(3).Midterm Exam'!C55)</f>
        <v/>
      </c>
      <c r="D55" s="126" t="str">
        <f>IF('(2).Midterm Daily'!AH55="","",'(2).Midterm Daily'!AH55)</f>
        <v/>
      </c>
      <c r="E55" s="127" t="str">
        <f>IF('(3).Midterm Exam'!D55="","",'(3).Midterm Exam'!D55)</f>
        <v/>
      </c>
      <c r="F55" s="128" t="str">
        <f>IF('(3).Midterm Exam'!E55="","",'(3).Midterm Exam'!E55)</f>
        <v/>
      </c>
      <c r="G55" s="128" t="str">
        <f>IF('(3).Midterm Exam'!F55="","",'(3).Midterm Exam'!F55)</f>
        <v/>
      </c>
      <c r="H55" s="128" t="str">
        <f>IF('(3).Midterm Exam'!G55="","",'(3).Midterm Exam'!G55)</f>
        <v/>
      </c>
      <c r="I55" s="128" t="str">
        <f>IF('(3).Midterm Exam'!H55="","",'(3).Midterm Exam'!H55)</f>
        <v/>
      </c>
      <c r="J55" s="128" t="str">
        <f>IF('(3).Midterm Exam'!I55="","",'(3).Midterm Exam'!I55)</f>
        <v/>
      </c>
      <c r="K55" s="128" t="str">
        <f>IF('(3).Midterm Exam'!J55="","",'(3).Midterm Exam'!J55)</f>
        <v/>
      </c>
      <c r="L55" s="128" t="str">
        <f>IF('(3).Midterm Exam'!K55="","",'(3).Midterm Exam'!K55)</f>
        <v/>
      </c>
      <c r="M55" s="128" t="str">
        <f>IF('(3).Midterm Exam'!L55="","",'(3).Midterm Exam'!L55)</f>
        <v/>
      </c>
      <c r="N55" s="129" t="str">
        <f>IF('(3).Midterm Exam'!M55="","",'(3).Midterm Exam'!M55)</f>
        <v/>
      </c>
      <c r="O55" s="130" t="str">
        <f>IF(B55="","",IF(D55="Incomplete","Incomplete",IF('(3).Midterm Exam'!N55="Change","Change",IF('(3).Midterm Exam'!N55="Stop","Stop",IF('(3).Midterm Exam'!N55="Incomplete","Incomplete",IF(COUNTBLANK(D55:N55)&gt;=1,"Incomplete",D55*20%+SUM(E55:N55)*80%))))))</f>
        <v/>
      </c>
    </row>
    <row r="56" spans="1:15" ht="15.95" customHeight="1">
      <c r="A56" s="66">
        <v>14</v>
      </c>
      <c r="B56" s="63" t="str">
        <f>IF('(3).Midterm Exam'!B56="","",'(3).Midterm Exam'!B56)</f>
        <v/>
      </c>
      <c r="C56" s="67" t="str">
        <f>IF('(3).Midterm Exam'!C56="","",'(3).Midterm Exam'!C56)</f>
        <v/>
      </c>
      <c r="D56" s="126" t="str">
        <f>IF('(2).Midterm Daily'!AH56="","",'(2).Midterm Daily'!AH56)</f>
        <v/>
      </c>
      <c r="E56" s="127" t="str">
        <f>IF('(3).Midterm Exam'!D56="","",'(3).Midterm Exam'!D56)</f>
        <v/>
      </c>
      <c r="F56" s="128" t="str">
        <f>IF('(3).Midterm Exam'!E56="","",'(3).Midterm Exam'!E56)</f>
        <v/>
      </c>
      <c r="G56" s="128" t="str">
        <f>IF('(3).Midterm Exam'!F56="","",'(3).Midterm Exam'!F56)</f>
        <v/>
      </c>
      <c r="H56" s="128" t="str">
        <f>IF('(3).Midterm Exam'!G56="","",'(3).Midterm Exam'!G56)</f>
        <v/>
      </c>
      <c r="I56" s="128" t="str">
        <f>IF('(3).Midterm Exam'!H56="","",'(3).Midterm Exam'!H56)</f>
        <v/>
      </c>
      <c r="J56" s="128" t="str">
        <f>IF('(3).Midterm Exam'!I56="","",'(3).Midterm Exam'!I56)</f>
        <v/>
      </c>
      <c r="K56" s="128" t="str">
        <f>IF('(3).Midterm Exam'!J56="","",'(3).Midterm Exam'!J56)</f>
        <v/>
      </c>
      <c r="L56" s="128" t="str">
        <f>IF('(3).Midterm Exam'!K56="","",'(3).Midterm Exam'!K56)</f>
        <v/>
      </c>
      <c r="M56" s="128" t="str">
        <f>IF('(3).Midterm Exam'!L56="","",'(3).Midterm Exam'!L56)</f>
        <v/>
      </c>
      <c r="N56" s="129" t="str">
        <f>IF('(3).Midterm Exam'!M56="","",'(3).Midterm Exam'!M56)</f>
        <v/>
      </c>
      <c r="O56" s="130" t="str">
        <f>IF(B56="","",IF(D56="Incomplete","Incomplete",IF('(3).Midterm Exam'!N56="Change","Change",IF('(3).Midterm Exam'!N56="Stop","Stop",IF('(3).Midterm Exam'!N56="Incomplete","Incomplete",IF(COUNTBLANK(D56:N56)&gt;=1,"Incomplete",D56*20%+SUM(E56:N56)*80%))))))</f>
        <v/>
      </c>
    </row>
    <row r="57" spans="1:15" ht="15.95" customHeight="1">
      <c r="A57" s="66">
        <v>15</v>
      </c>
      <c r="B57" s="63" t="str">
        <f>IF('(3).Midterm Exam'!B57="","",'(3).Midterm Exam'!B57)</f>
        <v/>
      </c>
      <c r="C57" s="67" t="str">
        <f>IF('(3).Midterm Exam'!C57="","",'(3).Midterm Exam'!C57)</f>
        <v/>
      </c>
      <c r="D57" s="126" t="str">
        <f>IF('(2).Midterm Daily'!AH57="","",'(2).Midterm Daily'!AH57)</f>
        <v/>
      </c>
      <c r="E57" s="127" t="str">
        <f>IF('(3).Midterm Exam'!D57="","",'(3).Midterm Exam'!D57)</f>
        <v/>
      </c>
      <c r="F57" s="128" t="str">
        <f>IF('(3).Midterm Exam'!E57="","",'(3).Midterm Exam'!E57)</f>
        <v/>
      </c>
      <c r="G57" s="128" t="str">
        <f>IF('(3).Midterm Exam'!F57="","",'(3).Midterm Exam'!F57)</f>
        <v/>
      </c>
      <c r="H57" s="128" t="str">
        <f>IF('(3).Midterm Exam'!G57="","",'(3).Midterm Exam'!G57)</f>
        <v/>
      </c>
      <c r="I57" s="128" t="str">
        <f>IF('(3).Midterm Exam'!H57="","",'(3).Midterm Exam'!H57)</f>
        <v/>
      </c>
      <c r="J57" s="128" t="str">
        <f>IF('(3).Midterm Exam'!I57="","",'(3).Midterm Exam'!I57)</f>
        <v/>
      </c>
      <c r="K57" s="128" t="str">
        <f>IF('(3).Midterm Exam'!J57="","",'(3).Midterm Exam'!J57)</f>
        <v/>
      </c>
      <c r="L57" s="128" t="str">
        <f>IF('(3).Midterm Exam'!K57="","",'(3).Midterm Exam'!K57)</f>
        <v/>
      </c>
      <c r="M57" s="128" t="str">
        <f>IF('(3).Midterm Exam'!L57="","",'(3).Midterm Exam'!L57)</f>
        <v/>
      </c>
      <c r="N57" s="129" t="str">
        <f>IF('(3).Midterm Exam'!M57="","",'(3).Midterm Exam'!M57)</f>
        <v/>
      </c>
      <c r="O57" s="130" t="str">
        <f>IF(B57="","",IF(D57="Incomplete","Incomplete",IF('(3).Midterm Exam'!N57="Change","Change",IF('(3).Midterm Exam'!N57="Stop","Stop",IF('(3).Midterm Exam'!N57="Incomplete","Incomplete",IF(COUNTBLANK(D57:N57)&gt;=1,"Incomplete",D57*20%+SUM(E57:N57)*80%))))))</f>
        <v/>
      </c>
    </row>
    <row r="58" spans="1:15" ht="15.95" customHeight="1">
      <c r="A58" s="66">
        <v>16</v>
      </c>
      <c r="B58" s="63" t="str">
        <f>IF('(3).Midterm Exam'!B58="","",'(3).Midterm Exam'!B58)</f>
        <v/>
      </c>
      <c r="C58" s="67" t="str">
        <f>IF('(3).Midterm Exam'!C58="","",'(3).Midterm Exam'!C58)</f>
        <v/>
      </c>
      <c r="D58" s="126" t="str">
        <f>IF('(2).Midterm Daily'!AH58="","",'(2).Midterm Daily'!AH58)</f>
        <v/>
      </c>
      <c r="E58" s="127" t="str">
        <f>IF('(3).Midterm Exam'!D58="","",'(3).Midterm Exam'!D58)</f>
        <v/>
      </c>
      <c r="F58" s="128" t="str">
        <f>IF('(3).Midterm Exam'!E58="","",'(3).Midterm Exam'!E58)</f>
        <v/>
      </c>
      <c r="G58" s="128" t="str">
        <f>IF('(3).Midterm Exam'!F58="","",'(3).Midterm Exam'!F58)</f>
        <v/>
      </c>
      <c r="H58" s="128" t="str">
        <f>IF('(3).Midterm Exam'!G58="","",'(3).Midterm Exam'!G58)</f>
        <v/>
      </c>
      <c r="I58" s="128" t="str">
        <f>IF('(3).Midterm Exam'!H58="","",'(3).Midterm Exam'!H58)</f>
        <v/>
      </c>
      <c r="J58" s="128" t="str">
        <f>IF('(3).Midterm Exam'!I58="","",'(3).Midterm Exam'!I58)</f>
        <v/>
      </c>
      <c r="K58" s="128" t="str">
        <f>IF('(3).Midterm Exam'!J58="","",'(3).Midterm Exam'!J58)</f>
        <v/>
      </c>
      <c r="L58" s="128" t="str">
        <f>IF('(3).Midterm Exam'!K58="","",'(3).Midterm Exam'!K58)</f>
        <v/>
      </c>
      <c r="M58" s="128" t="str">
        <f>IF('(3).Midterm Exam'!L58="","",'(3).Midterm Exam'!L58)</f>
        <v/>
      </c>
      <c r="N58" s="129" t="str">
        <f>IF('(3).Midterm Exam'!M58="","",'(3).Midterm Exam'!M58)</f>
        <v/>
      </c>
      <c r="O58" s="130" t="str">
        <f>IF(B58="","",IF(D58="Incomplete","Incomplete",IF('(3).Midterm Exam'!N58="Change","Change",IF('(3).Midterm Exam'!N58="Stop","Stop",IF('(3).Midterm Exam'!N58="Incomplete","Incomplete",IF(COUNTBLANK(D58:N58)&gt;=1,"Incomplete",D58*20%+SUM(E58:N58)*80%))))))</f>
        <v/>
      </c>
    </row>
    <row r="59" spans="1:15" ht="15.95" customHeight="1">
      <c r="A59" s="66">
        <v>17</v>
      </c>
      <c r="B59" s="63" t="str">
        <f>IF('(3).Midterm Exam'!B59="","",'(3).Midterm Exam'!B59)</f>
        <v/>
      </c>
      <c r="C59" s="67" t="str">
        <f>IF('(3).Midterm Exam'!C59="","",'(3).Midterm Exam'!C59)</f>
        <v/>
      </c>
      <c r="D59" s="126" t="str">
        <f>IF('(2).Midterm Daily'!AH59="","",'(2).Midterm Daily'!AH59)</f>
        <v/>
      </c>
      <c r="E59" s="127" t="str">
        <f>IF('(3).Midterm Exam'!D59="","",'(3).Midterm Exam'!D59)</f>
        <v/>
      </c>
      <c r="F59" s="128" t="str">
        <f>IF('(3).Midterm Exam'!E59="","",'(3).Midterm Exam'!E59)</f>
        <v/>
      </c>
      <c r="G59" s="128" t="str">
        <f>IF('(3).Midterm Exam'!F59="","",'(3).Midterm Exam'!F59)</f>
        <v/>
      </c>
      <c r="H59" s="128" t="str">
        <f>IF('(3).Midterm Exam'!G59="","",'(3).Midterm Exam'!G59)</f>
        <v/>
      </c>
      <c r="I59" s="128" t="str">
        <f>IF('(3).Midterm Exam'!H59="","",'(3).Midterm Exam'!H59)</f>
        <v/>
      </c>
      <c r="J59" s="128" t="str">
        <f>IF('(3).Midterm Exam'!I59="","",'(3).Midterm Exam'!I59)</f>
        <v/>
      </c>
      <c r="K59" s="128" t="str">
        <f>IF('(3).Midterm Exam'!J59="","",'(3).Midterm Exam'!J59)</f>
        <v/>
      </c>
      <c r="L59" s="128" t="str">
        <f>IF('(3).Midterm Exam'!K59="","",'(3).Midterm Exam'!K59)</f>
        <v/>
      </c>
      <c r="M59" s="128" t="str">
        <f>IF('(3).Midterm Exam'!L59="","",'(3).Midterm Exam'!L59)</f>
        <v/>
      </c>
      <c r="N59" s="129" t="str">
        <f>IF('(3).Midterm Exam'!M59="","",'(3).Midterm Exam'!M59)</f>
        <v/>
      </c>
      <c r="O59" s="130" t="str">
        <f>IF(B59="","",IF(D59="Incomplete","Incomplete",IF('(3).Midterm Exam'!N59="Change","Change",IF('(3).Midterm Exam'!N59="Stop","Stop",IF('(3).Midterm Exam'!N59="Incomplete","Incomplete",IF(COUNTBLANK(D59:N59)&gt;=1,"Incomplete",D59*20%+SUM(E59:N59)*80%))))))</f>
        <v/>
      </c>
    </row>
    <row r="60" spans="1:15" ht="15.95" customHeight="1">
      <c r="A60" s="66">
        <v>18</v>
      </c>
      <c r="B60" s="63" t="str">
        <f>IF('(3).Midterm Exam'!B60="","",'(3).Midterm Exam'!B60)</f>
        <v/>
      </c>
      <c r="C60" s="67" t="str">
        <f>IF('(3).Midterm Exam'!C60="","",'(3).Midterm Exam'!C60)</f>
        <v/>
      </c>
      <c r="D60" s="126" t="str">
        <f>IF('(2).Midterm Daily'!AH60="","",'(2).Midterm Daily'!AH60)</f>
        <v/>
      </c>
      <c r="E60" s="127" t="str">
        <f>IF('(3).Midterm Exam'!D60="","",'(3).Midterm Exam'!D60)</f>
        <v/>
      </c>
      <c r="F60" s="128" t="str">
        <f>IF('(3).Midterm Exam'!E60="","",'(3).Midterm Exam'!E60)</f>
        <v/>
      </c>
      <c r="G60" s="128" t="str">
        <f>IF('(3).Midterm Exam'!F60="","",'(3).Midterm Exam'!F60)</f>
        <v/>
      </c>
      <c r="H60" s="128" t="str">
        <f>IF('(3).Midterm Exam'!G60="","",'(3).Midterm Exam'!G60)</f>
        <v/>
      </c>
      <c r="I60" s="128" t="str">
        <f>IF('(3).Midterm Exam'!H60="","",'(3).Midterm Exam'!H60)</f>
        <v/>
      </c>
      <c r="J60" s="128" t="str">
        <f>IF('(3).Midterm Exam'!I60="","",'(3).Midterm Exam'!I60)</f>
        <v/>
      </c>
      <c r="K60" s="128" t="str">
        <f>IF('(3).Midterm Exam'!J60="","",'(3).Midterm Exam'!J60)</f>
        <v/>
      </c>
      <c r="L60" s="128" t="str">
        <f>IF('(3).Midterm Exam'!K60="","",'(3).Midterm Exam'!K60)</f>
        <v/>
      </c>
      <c r="M60" s="128" t="str">
        <f>IF('(3).Midterm Exam'!L60="","",'(3).Midterm Exam'!L60)</f>
        <v/>
      </c>
      <c r="N60" s="129" t="str">
        <f>IF('(3).Midterm Exam'!M60="","",'(3).Midterm Exam'!M60)</f>
        <v/>
      </c>
      <c r="O60" s="130" t="str">
        <f>IF(B60="","",IF(D60="Incomplete","Incomplete",IF('(3).Midterm Exam'!N60="Change","Change",IF('(3).Midterm Exam'!N60="Stop","Stop",IF('(3).Midterm Exam'!N60="Incomplete","Incomplete",IF(COUNTBLANK(D60:N60)&gt;=1,"Incomplete",D60*20%+SUM(E60:N60)*80%))))))</f>
        <v/>
      </c>
    </row>
    <row r="61" spans="1:15" ht="15.95" customHeight="1">
      <c r="A61" s="66">
        <v>19</v>
      </c>
      <c r="B61" s="63" t="str">
        <f>IF('(3).Midterm Exam'!B61="","",'(3).Midterm Exam'!B61)</f>
        <v/>
      </c>
      <c r="C61" s="67" t="str">
        <f>IF('(3).Midterm Exam'!C61="","",'(3).Midterm Exam'!C61)</f>
        <v/>
      </c>
      <c r="D61" s="126" t="str">
        <f>IF('(2).Midterm Daily'!AH61="","",'(2).Midterm Daily'!AH61)</f>
        <v/>
      </c>
      <c r="E61" s="127" t="str">
        <f>IF('(3).Midterm Exam'!D61="","",'(3).Midterm Exam'!D61)</f>
        <v/>
      </c>
      <c r="F61" s="128" t="str">
        <f>IF('(3).Midterm Exam'!E61="","",'(3).Midterm Exam'!E61)</f>
        <v/>
      </c>
      <c r="G61" s="128" t="str">
        <f>IF('(3).Midterm Exam'!F61="","",'(3).Midterm Exam'!F61)</f>
        <v/>
      </c>
      <c r="H61" s="128" t="str">
        <f>IF('(3).Midterm Exam'!G61="","",'(3).Midterm Exam'!G61)</f>
        <v/>
      </c>
      <c r="I61" s="128" t="str">
        <f>IF('(3).Midterm Exam'!H61="","",'(3).Midterm Exam'!H61)</f>
        <v/>
      </c>
      <c r="J61" s="128" t="str">
        <f>IF('(3).Midterm Exam'!I61="","",'(3).Midterm Exam'!I61)</f>
        <v/>
      </c>
      <c r="K61" s="128" t="str">
        <f>IF('(3).Midterm Exam'!J61="","",'(3).Midterm Exam'!J61)</f>
        <v/>
      </c>
      <c r="L61" s="128" t="str">
        <f>IF('(3).Midterm Exam'!K61="","",'(3).Midterm Exam'!K61)</f>
        <v/>
      </c>
      <c r="M61" s="128" t="str">
        <f>IF('(3).Midterm Exam'!L61="","",'(3).Midterm Exam'!L61)</f>
        <v/>
      </c>
      <c r="N61" s="129" t="str">
        <f>IF('(3).Midterm Exam'!M61="","",'(3).Midterm Exam'!M61)</f>
        <v/>
      </c>
      <c r="O61" s="130" t="str">
        <f>IF(B61="","",IF(D61="Incomplete","Incomplete",IF('(3).Midterm Exam'!N61="Change","Change",IF('(3).Midterm Exam'!N61="Stop","Stop",IF('(3).Midterm Exam'!N61="Incomplete","Incomplete",IF(COUNTBLANK(D61:N61)&gt;=1,"Incomplete",D61*20%+SUM(E61:N61)*80%))))))</f>
        <v/>
      </c>
    </row>
    <row r="62" spans="1:15" ht="15.95" customHeight="1">
      <c r="A62" s="66">
        <v>20</v>
      </c>
      <c r="B62" s="63" t="str">
        <f>IF('(3).Midterm Exam'!B62="","",'(3).Midterm Exam'!B62)</f>
        <v/>
      </c>
      <c r="C62" s="67" t="str">
        <f>IF('(3).Midterm Exam'!C62="","",'(3).Midterm Exam'!C62)</f>
        <v/>
      </c>
      <c r="D62" s="126" t="str">
        <f>IF('(2).Midterm Daily'!AH62="","",'(2).Midterm Daily'!AH62)</f>
        <v/>
      </c>
      <c r="E62" s="127" t="str">
        <f>IF('(3).Midterm Exam'!D62="","",'(3).Midterm Exam'!D62)</f>
        <v/>
      </c>
      <c r="F62" s="128" t="str">
        <f>IF('(3).Midterm Exam'!E62="","",'(3).Midterm Exam'!E62)</f>
        <v/>
      </c>
      <c r="G62" s="128" t="str">
        <f>IF('(3).Midterm Exam'!F62="","",'(3).Midterm Exam'!F62)</f>
        <v/>
      </c>
      <c r="H62" s="128" t="str">
        <f>IF('(3).Midterm Exam'!G62="","",'(3).Midterm Exam'!G62)</f>
        <v/>
      </c>
      <c r="I62" s="128" t="str">
        <f>IF('(3).Midterm Exam'!H62="","",'(3).Midterm Exam'!H62)</f>
        <v/>
      </c>
      <c r="J62" s="128" t="str">
        <f>IF('(3).Midterm Exam'!I62="","",'(3).Midterm Exam'!I62)</f>
        <v/>
      </c>
      <c r="K62" s="128" t="str">
        <f>IF('(3).Midterm Exam'!J62="","",'(3).Midterm Exam'!J62)</f>
        <v/>
      </c>
      <c r="L62" s="128" t="str">
        <f>IF('(3).Midterm Exam'!K62="","",'(3).Midterm Exam'!K62)</f>
        <v/>
      </c>
      <c r="M62" s="128" t="str">
        <f>IF('(3).Midterm Exam'!L62="","",'(3).Midterm Exam'!L62)</f>
        <v/>
      </c>
      <c r="N62" s="129" t="str">
        <f>IF('(3).Midterm Exam'!M62="","",'(3).Midterm Exam'!M62)</f>
        <v/>
      </c>
      <c r="O62" s="130" t="str">
        <f>IF(B62="","",IF(D62="Incomplete","Incomplete",IF('(3).Midterm Exam'!N62="Change","Change",IF('(3).Midterm Exam'!N62="Stop","Stop",IF('(3).Midterm Exam'!N62="Incomplete","Incomplete",IF(COUNTBLANK(D62:N62)&gt;=1,"Incomplete",D62*20%+SUM(E62:N62)*80%))))))</f>
        <v/>
      </c>
    </row>
    <row r="63" spans="1:15" ht="15.95" customHeight="1">
      <c r="A63" s="66">
        <v>21</v>
      </c>
      <c r="B63" s="63" t="str">
        <f>IF('(3).Midterm Exam'!B63="","",'(3).Midterm Exam'!B63)</f>
        <v/>
      </c>
      <c r="C63" s="67" t="str">
        <f>IF('(3).Midterm Exam'!C63="","",'(3).Midterm Exam'!C63)</f>
        <v/>
      </c>
      <c r="D63" s="126" t="str">
        <f>IF('(2).Midterm Daily'!AH63="","",'(2).Midterm Daily'!AH63)</f>
        <v/>
      </c>
      <c r="E63" s="127" t="str">
        <f>IF('(3).Midterm Exam'!D63="","",'(3).Midterm Exam'!D63)</f>
        <v/>
      </c>
      <c r="F63" s="128" t="str">
        <f>IF('(3).Midterm Exam'!E63="","",'(3).Midterm Exam'!E63)</f>
        <v/>
      </c>
      <c r="G63" s="128" t="str">
        <f>IF('(3).Midterm Exam'!F63="","",'(3).Midterm Exam'!F63)</f>
        <v/>
      </c>
      <c r="H63" s="128" t="str">
        <f>IF('(3).Midterm Exam'!G63="","",'(3).Midterm Exam'!G63)</f>
        <v/>
      </c>
      <c r="I63" s="128" t="str">
        <f>IF('(3).Midterm Exam'!H63="","",'(3).Midterm Exam'!H63)</f>
        <v/>
      </c>
      <c r="J63" s="128" t="str">
        <f>IF('(3).Midterm Exam'!I63="","",'(3).Midterm Exam'!I63)</f>
        <v/>
      </c>
      <c r="K63" s="128" t="str">
        <f>IF('(3).Midterm Exam'!J63="","",'(3).Midterm Exam'!J63)</f>
        <v/>
      </c>
      <c r="L63" s="128" t="str">
        <f>IF('(3).Midterm Exam'!K63="","",'(3).Midterm Exam'!K63)</f>
        <v/>
      </c>
      <c r="M63" s="128" t="str">
        <f>IF('(3).Midterm Exam'!L63="","",'(3).Midterm Exam'!L63)</f>
        <v/>
      </c>
      <c r="N63" s="129" t="str">
        <f>IF('(3).Midterm Exam'!M63="","",'(3).Midterm Exam'!M63)</f>
        <v/>
      </c>
      <c r="O63" s="130" t="str">
        <f>IF(B63="","",IF(D63="Incomplete","Incomplete",IF('(3).Midterm Exam'!N63="Change","Change",IF('(3).Midterm Exam'!N63="Stop","Stop",IF('(3).Midterm Exam'!N63="Incomplete","Incomplete",IF(COUNTBLANK(D63:N63)&gt;=1,"Incomplete",D63*20%+SUM(E63:N63)*80%))))))</f>
        <v/>
      </c>
    </row>
    <row r="64" spans="1:15" ht="15.95" customHeight="1">
      <c r="A64" s="66">
        <v>22</v>
      </c>
      <c r="B64" s="63" t="str">
        <f>IF('(3).Midterm Exam'!B64="","",'(3).Midterm Exam'!B64)</f>
        <v/>
      </c>
      <c r="C64" s="67" t="str">
        <f>IF('(3).Midterm Exam'!C64="","",'(3).Midterm Exam'!C64)</f>
        <v/>
      </c>
      <c r="D64" s="126" t="str">
        <f>IF('(2).Midterm Daily'!AH64="","",'(2).Midterm Daily'!AH64)</f>
        <v/>
      </c>
      <c r="E64" s="127" t="str">
        <f>IF('(3).Midterm Exam'!D64="","",'(3).Midterm Exam'!D64)</f>
        <v/>
      </c>
      <c r="F64" s="128" t="str">
        <f>IF('(3).Midterm Exam'!E64="","",'(3).Midterm Exam'!E64)</f>
        <v/>
      </c>
      <c r="G64" s="128" t="str">
        <f>IF('(3).Midterm Exam'!F64="","",'(3).Midterm Exam'!F64)</f>
        <v/>
      </c>
      <c r="H64" s="128" t="str">
        <f>IF('(3).Midterm Exam'!G64="","",'(3).Midterm Exam'!G64)</f>
        <v/>
      </c>
      <c r="I64" s="128" t="str">
        <f>IF('(3).Midterm Exam'!H64="","",'(3).Midterm Exam'!H64)</f>
        <v/>
      </c>
      <c r="J64" s="128" t="str">
        <f>IF('(3).Midterm Exam'!I64="","",'(3).Midterm Exam'!I64)</f>
        <v/>
      </c>
      <c r="K64" s="128" t="str">
        <f>IF('(3).Midterm Exam'!J64="","",'(3).Midterm Exam'!J64)</f>
        <v/>
      </c>
      <c r="L64" s="128" t="str">
        <f>IF('(3).Midterm Exam'!K64="","",'(3).Midterm Exam'!K64)</f>
        <v/>
      </c>
      <c r="M64" s="128" t="str">
        <f>IF('(3).Midterm Exam'!L64="","",'(3).Midterm Exam'!L64)</f>
        <v/>
      </c>
      <c r="N64" s="129" t="str">
        <f>IF('(3).Midterm Exam'!M64="","",'(3).Midterm Exam'!M64)</f>
        <v/>
      </c>
      <c r="O64" s="130" t="str">
        <f>IF(B64="","",IF(D64="Incomplete","Incomplete",IF('(3).Midterm Exam'!N64="Change","Change",IF('(3).Midterm Exam'!N64="Stop","Stop",IF('(3).Midterm Exam'!N64="Incomplete","Incomplete",IF(COUNTBLANK(D64:N64)&gt;=1,"Incomplete",D64*20%+SUM(E64:N64)*80%))))))</f>
        <v/>
      </c>
    </row>
    <row r="65" spans="1:15" ht="15.95" customHeight="1">
      <c r="A65" s="66">
        <v>23</v>
      </c>
      <c r="B65" s="63" t="str">
        <f>IF('(3).Midterm Exam'!B65="","",'(3).Midterm Exam'!B65)</f>
        <v/>
      </c>
      <c r="C65" s="67" t="str">
        <f>IF('(3).Midterm Exam'!C65="","",'(3).Midterm Exam'!C65)</f>
        <v/>
      </c>
      <c r="D65" s="126" t="str">
        <f>IF('(2).Midterm Daily'!AH65="","",'(2).Midterm Daily'!AH65)</f>
        <v/>
      </c>
      <c r="E65" s="127" t="str">
        <f>IF('(3).Midterm Exam'!D65="","",'(3).Midterm Exam'!D65)</f>
        <v/>
      </c>
      <c r="F65" s="128" t="str">
        <f>IF('(3).Midterm Exam'!E65="","",'(3).Midterm Exam'!E65)</f>
        <v/>
      </c>
      <c r="G65" s="128" t="str">
        <f>IF('(3).Midterm Exam'!F65="","",'(3).Midterm Exam'!F65)</f>
        <v/>
      </c>
      <c r="H65" s="128" t="str">
        <f>IF('(3).Midterm Exam'!G65="","",'(3).Midterm Exam'!G65)</f>
        <v/>
      </c>
      <c r="I65" s="128" t="str">
        <f>IF('(3).Midterm Exam'!H65="","",'(3).Midterm Exam'!H65)</f>
        <v/>
      </c>
      <c r="J65" s="128" t="str">
        <f>IF('(3).Midterm Exam'!I65="","",'(3).Midterm Exam'!I65)</f>
        <v/>
      </c>
      <c r="K65" s="128" t="str">
        <f>IF('(3).Midterm Exam'!J65="","",'(3).Midterm Exam'!J65)</f>
        <v/>
      </c>
      <c r="L65" s="128" t="str">
        <f>IF('(3).Midterm Exam'!K65="","",'(3).Midterm Exam'!K65)</f>
        <v/>
      </c>
      <c r="M65" s="128" t="str">
        <f>IF('(3).Midterm Exam'!L65="","",'(3).Midterm Exam'!L65)</f>
        <v/>
      </c>
      <c r="N65" s="129" t="str">
        <f>IF('(3).Midterm Exam'!M65="","",'(3).Midterm Exam'!M65)</f>
        <v/>
      </c>
      <c r="O65" s="130" t="str">
        <f>IF(B65="","",IF(D65="Incomplete","Incomplete",IF('(3).Midterm Exam'!N65="Change","Change",IF('(3).Midterm Exam'!N65="Stop","Stop",IF('(3).Midterm Exam'!N65="Incomplete","Incomplete",IF(COUNTBLANK(D65:N65)&gt;=1,"Incomplete",D65*20%+SUM(E65:N65)*80%))))))</f>
        <v/>
      </c>
    </row>
    <row r="66" spans="1:15" ht="15.95" customHeight="1">
      <c r="A66" s="66">
        <v>24</v>
      </c>
      <c r="B66" s="63" t="str">
        <f>IF('(3).Midterm Exam'!B66="","",'(3).Midterm Exam'!B66)</f>
        <v/>
      </c>
      <c r="C66" s="67" t="str">
        <f>IF('(3).Midterm Exam'!C66="","",'(3).Midterm Exam'!C66)</f>
        <v/>
      </c>
      <c r="D66" s="126" t="str">
        <f>IF('(2).Midterm Daily'!AH66="","",'(2).Midterm Daily'!AH66)</f>
        <v/>
      </c>
      <c r="E66" s="127" t="str">
        <f>IF('(3).Midterm Exam'!D66="","",'(3).Midterm Exam'!D66)</f>
        <v/>
      </c>
      <c r="F66" s="128" t="str">
        <f>IF('(3).Midterm Exam'!E66="","",'(3).Midterm Exam'!E66)</f>
        <v/>
      </c>
      <c r="G66" s="128" t="str">
        <f>IF('(3).Midterm Exam'!F66="","",'(3).Midterm Exam'!F66)</f>
        <v/>
      </c>
      <c r="H66" s="128" t="str">
        <f>IF('(3).Midterm Exam'!G66="","",'(3).Midterm Exam'!G66)</f>
        <v/>
      </c>
      <c r="I66" s="128" t="str">
        <f>IF('(3).Midterm Exam'!H66="","",'(3).Midterm Exam'!H66)</f>
        <v/>
      </c>
      <c r="J66" s="128" t="str">
        <f>IF('(3).Midterm Exam'!I66="","",'(3).Midterm Exam'!I66)</f>
        <v/>
      </c>
      <c r="K66" s="128" t="str">
        <f>IF('(3).Midterm Exam'!J66="","",'(3).Midterm Exam'!J66)</f>
        <v/>
      </c>
      <c r="L66" s="128" t="str">
        <f>IF('(3).Midterm Exam'!K66="","",'(3).Midterm Exam'!K66)</f>
        <v/>
      </c>
      <c r="M66" s="128" t="str">
        <f>IF('(3).Midterm Exam'!L66="","",'(3).Midterm Exam'!L66)</f>
        <v/>
      </c>
      <c r="N66" s="129" t="str">
        <f>IF('(3).Midterm Exam'!M66="","",'(3).Midterm Exam'!M66)</f>
        <v/>
      </c>
      <c r="O66" s="130" t="str">
        <f>IF(B66="","",IF(D66="Incomplete","Incomplete",IF('(3).Midterm Exam'!N66="Change","Change",IF('(3).Midterm Exam'!N66="Stop","Stop",IF('(3).Midterm Exam'!N66="Incomplete","Incomplete",IF(COUNTBLANK(D66:N66)&gt;=1,"Incomplete",D66*20%+SUM(E66:N66)*80%))))))</f>
        <v/>
      </c>
    </row>
    <row r="67" spans="1:15" ht="15.95" customHeight="1">
      <c r="A67" s="66">
        <v>25</v>
      </c>
      <c r="B67" s="63" t="str">
        <f>IF('(3).Midterm Exam'!B67="","",'(3).Midterm Exam'!B67)</f>
        <v/>
      </c>
      <c r="C67" s="67" t="str">
        <f>IF('(3).Midterm Exam'!C67="","",'(3).Midterm Exam'!C67)</f>
        <v/>
      </c>
      <c r="D67" s="126" t="str">
        <f>IF('(2).Midterm Daily'!AH67="","",'(2).Midterm Daily'!AH67)</f>
        <v/>
      </c>
      <c r="E67" s="127" t="str">
        <f>IF('(3).Midterm Exam'!D67="","",'(3).Midterm Exam'!D67)</f>
        <v/>
      </c>
      <c r="F67" s="128" t="str">
        <f>IF('(3).Midterm Exam'!E67="","",'(3).Midterm Exam'!E67)</f>
        <v/>
      </c>
      <c r="G67" s="128" t="str">
        <f>IF('(3).Midterm Exam'!F67="","",'(3).Midterm Exam'!F67)</f>
        <v/>
      </c>
      <c r="H67" s="128" t="str">
        <f>IF('(3).Midterm Exam'!G67="","",'(3).Midterm Exam'!G67)</f>
        <v/>
      </c>
      <c r="I67" s="128" t="str">
        <f>IF('(3).Midterm Exam'!H67="","",'(3).Midterm Exam'!H67)</f>
        <v/>
      </c>
      <c r="J67" s="128" t="str">
        <f>IF('(3).Midterm Exam'!I67="","",'(3).Midterm Exam'!I67)</f>
        <v/>
      </c>
      <c r="K67" s="128" t="str">
        <f>IF('(3).Midterm Exam'!J67="","",'(3).Midterm Exam'!J67)</f>
        <v/>
      </c>
      <c r="L67" s="128" t="str">
        <f>IF('(3).Midterm Exam'!K67="","",'(3).Midterm Exam'!K67)</f>
        <v/>
      </c>
      <c r="M67" s="128" t="str">
        <f>IF('(3).Midterm Exam'!L67="","",'(3).Midterm Exam'!L67)</f>
        <v/>
      </c>
      <c r="N67" s="129" t="str">
        <f>IF('(3).Midterm Exam'!M67="","",'(3).Midterm Exam'!M67)</f>
        <v/>
      </c>
      <c r="O67" s="130" t="str">
        <f>IF(B67="","",IF(D67="Incomplete","Incomplete",IF('(3).Midterm Exam'!N67="Change","Change",IF('(3).Midterm Exam'!N67="Stop","Stop",IF('(3).Midterm Exam'!N67="Incomplete","Incomplete",IF(COUNTBLANK(D67:N67)&gt;=1,"Incomplete",D67*20%+SUM(E67:N67)*80%))))))</f>
        <v/>
      </c>
    </row>
    <row r="68" spans="1:15" ht="15.95" customHeight="1">
      <c r="A68" s="66">
        <v>26</v>
      </c>
      <c r="B68" s="63" t="str">
        <f>IF('(3).Midterm Exam'!B68="","",'(3).Midterm Exam'!B68)</f>
        <v/>
      </c>
      <c r="C68" s="67" t="str">
        <f>IF('(3).Midterm Exam'!C68="","",'(3).Midterm Exam'!C68)</f>
        <v/>
      </c>
      <c r="D68" s="126" t="str">
        <f>IF('(2).Midterm Daily'!AH68="","",'(2).Midterm Daily'!AH68)</f>
        <v/>
      </c>
      <c r="E68" s="127" t="str">
        <f>IF('(3).Midterm Exam'!D68="","",'(3).Midterm Exam'!D68)</f>
        <v/>
      </c>
      <c r="F68" s="128" t="str">
        <f>IF('(3).Midterm Exam'!E68="","",'(3).Midterm Exam'!E68)</f>
        <v/>
      </c>
      <c r="G68" s="128" t="str">
        <f>IF('(3).Midterm Exam'!F68="","",'(3).Midterm Exam'!F68)</f>
        <v/>
      </c>
      <c r="H68" s="128" t="str">
        <f>IF('(3).Midterm Exam'!G68="","",'(3).Midterm Exam'!G68)</f>
        <v/>
      </c>
      <c r="I68" s="128" t="str">
        <f>IF('(3).Midterm Exam'!H68="","",'(3).Midterm Exam'!H68)</f>
        <v/>
      </c>
      <c r="J68" s="128" t="str">
        <f>IF('(3).Midterm Exam'!I68="","",'(3).Midterm Exam'!I68)</f>
        <v/>
      </c>
      <c r="K68" s="128" t="str">
        <f>IF('(3).Midterm Exam'!J68="","",'(3).Midterm Exam'!J68)</f>
        <v/>
      </c>
      <c r="L68" s="128" t="str">
        <f>IF('(3).Midterm Exam'!K68="","",'(3).Midterm Exam'!K68)</f>
        <v/>
      </c>
      <c r="M68" s="128" t="str">
        <f>IF('(3).Midterm Exam'!L68="","",'(3).Midterm Exam'!L68)</f>
        <v/>
      </c>
      <c r="N68" s="129" t="str">
        <f>IF('(3).Midterm Exam'!M68="","",'(3).Midterm Exam'!M68)</f>
        <v/>
      </c>
      <c r="O68" s="130" t="str">
        <f>IF(B68="","",IF(D68="Incomplete","Incomplete",IF('(3).Midterm Exam'!N68="Change","Change",IF('(3).Midterm Exam'!N68="Stop","Stop",IF('(3).Midterm Exam'!N68="Incomplete","Incomplete",IF(COUNTBLANK(D68:N68)&gt;=1,"Incomplete",D68*20%+SUM(E68:N68)*80%))))))</f>
        <v/>
      </c>
    </row>
    <row r="69" spans="1:15" ht="15.95" customHeight="1">
      <c r="A69" s="66">
        <v>27</v>
      </c>
      <c r="B69" s="63" t="str">
        <f>IF('(3).Midterm Exam'!B69="","",'(3).Midterm Exam'!B69)</f>
        <v/>
      </c>
      <c r="C69" s="67" t="str">
        <f>IF('(3).Midterm Exam'!C69="","",'(3).Midterm Exam'!C69)</f>
        <v/>
      </c>
      <c r="D69" s="126" t="str">
        <f>IF('(2).Midterm Daily'!AH69="","",'(2).Midterm Daily'!AH69)</f>
        <v/>
      </c>
      <c r="E69" s="127" t="str">
        <f>IF('(3).Midterm Exam'!D69="","",'(3).Midterm Exam'!D69)</f>
        <v/>
      </c>
      <c r="F69" s="128" t="str">
        <f>IF('(3).Midterm Exam'!E69="","",'(3).Midterm Exam'!E69)</f>
        <v/>
      </c>
      <c r="G69" s="128" t="str">
        <f>IF('(3).Midterm Exam'!F69="","",'(3).Midterm Exam'!F69)</f>
        <v/>
      </c>
      <c r="H69" s="128" t="str">
        <f>IF('(3).Midterm Exam'!G69="","",'(3).Midterm Exam'!G69)</f>
        <v/>
      </c>
      <c r="I69" s="128" t="str">
        <f>IF('(3).Midterm Exam'!H69="","",'(3).Midterm Exam'!H69)</f>
        <v/>
      </c>
      <c r="J69" s="128" t="str">
        <f>IF('(3).Midterm Exam'!I69="","",'(3).Midterm Exam'!I69)</f>
        <v/>
      </c>
      <c r="K69" s="128" t="str">
        <f>IF('(3).Midterm Exam'!J69="","",'(3).Midterm Exam'!J69)</f>
        <v/>
      </c>
      <c r="L69" s="128" t="str">
        <f>IF('(3).Midterm Exam'!K69="","",'(3).Midterm Exam'!K69)</f>
        <v/>
      </c>
      <c r="M69" s="128" t="str">
        <f>IF('(3).Midterm Exam'!L69="","",'(3).Midterm Exam'!L69)</f>
        <v/>
      </c>
      <c r="N69" s="129" t="str">
        <f>IF('(3).Midterm Exam'!M69="","",'(3).Midterm Exam'!M69)</f>
        <v/>
      </c>
      <c r="O69" s="130" t="str">
        <f>IF(B69="","",IF(D69="Incomplete","Incomplete",IF('(3).Midterm Exam'!N69="Change","Change",IF('(3).Midterm Exam'!N69="Stop","Stop",IF('(3).Midterm Exam'!N69="Incomplete","Incomplete",IF(COUNTBLANK(D69:N69)&gt;=1,"Incomplete",D69*20%+SUM(E69:N69)*80%))))))</f>
        <v/>
      </c>
    </row>
    <row r="70" spans="1:15" ht="15.95" customHeight="1">
      <c r="A70" s="66">
        <v>28</v>
      </c>
      <c r="B70" s="63" t="str">
        <f>IF('(3).Midterm Exam'!B70="","",'(3).Midterm Exam'!B70)</f>
        <v/>
      </c>
      <c r="C70" s="67" t="str">
        <f>IF('(3).Midterm Exam'!C70="","",'(3).Midterm Exam'!C70)</f>
        <v/>
      </c>
      <c r="D70" s="126" t="str">
        <f>IF('(2).Midterm Daily'!AH70="","",'(2).Midterm Daily'!AH70)</f>
        <v/>
      </c>
      <c r="E70" s="127" t="str">
        <f>IF('(3).Midterm Exam'!D70="","",'(3).Midterm Exam'!D70)</f>
        <v/>
      </c>
      <c r="F70" s="128" t="str">
        <f>IF('(3).Midterm Exam'!E70="","",'(3).Midterm Exam'!E70)</f>
        <v/>
      </c>
      <c r="G70" s="128" t="str">
        <f>IF('(3).Midterm Exam'!F70="","",'(3).Midterm Exam'!F70)</f>
        <v/>
      </c>
      <c r="H70" s="128" t="str">
        <f>IF('(3).Midterm Exam'!G70="","",'(3).Midterm Exam'!G70)</f>
        <v/>
      </c>
      <c r="I70" s="128" t="str">
        <f>IF('(3).Midterm Exam'!H70="","",'(3).Midterm Exam'!H70)</f>
        <v/>
      </c>
      <c r="J70" s="128" t="str">
        <f>IF('(3).Midterm Exam'!I70="","",'(3).Midterm Exam'!I70)</f>
        <v/>
      </c>
      <c r="K70" s="128" t="str">
        <f>IF('(3).Midterm Exam'!J70="","",'(3).Midterm Exam'!J70)</f>
        <v/>
      </c>
      <c r="L70" s="128" t="str">
        <f>IF('(3).Midterm Exam'!K70="","",'(3).Midterm Exam'!K70)</f>
        <v/>
      </c>
      <c r="M70" s="128" t="str">
        <f>IF('(3).Midterm Exam'!L70="","",'(3).Midterm Exam'!L70)</f>
        <v/>
      </c>
      <c r="N70" s="129" t="str">
        <f>IF('(3).Midterm Exam'!M70="","",'(3).Midterm Exam'!M70)</f>
        <v/>
      </c>
      <c r="O70" s="130" t="str">
        <f>IF(B70="","",IF(D70="Incomplete","Incomplete",IF('(3).Midterm Exam'!N70="Change","Change",IF('(3).Midterm Exam'!N70="Stop","Stop",IF('(3).Midterm Exam'!N70="Incomplete","Incomplete",IF(COUNTBLANK(D70:N70)&gt;=1,"Incomplete",D70*20%+SUM(E70:N70)*80%))))))</f>
        <v/>
      </c>
    </row>
    <row r="71" spans="1:15" ht="15.95" customHeight="1">
      <c r="A71" s="66">
        <v>29</v>
      </c>
      <c r="B71" s="63" t="str">
        <f>IF('(3).Midterm Exam'!B71="","",'(3).Midterm Exam'!B71)</f>
        <v/>
      </c>
      <c r="C71" s="67" t="str">
        <f>IF('(3).Midterm Exam'!C71="","",'(3).Midterm Exam'!C71)</f>
        <v/>
      </c>
      <c r="D71" s="126" t="str">
        <f>IF('(2).Midterm Daily'!AH71="","",'(2).Midterm Daily'!AH71)</f>
        <v/>
      </c>
      <c r="E71" s="127" t="str">
        <f>IF('(3).Midterm Exam'!D71="","",'(3).Midterm Exam'!D71)</f>
        <v/>
      </c>
      <c r="F71" s="128" t="str">
        <f>IF('(3).Midterm Exam'!E71="","",'(3).Midterm Exam'!E71)</f>
        <v/>
      </c>
      <c r="G71" s="128" t="str">
        <f>IF('(3).Midterm Exam'!F71="","",'(3).Midterm Exam'!F71)</f>
        <v/>
      </c>
      <c r="H71" s="128" t="str">
        <f>IF('(3).Midterm Exam'!G71="","",'(3).Midterm Exam'!G71)</f>
        <v/>
      </c>
      <c r="I71" s="128" t="str">
        <f>IF('(3).Midterm Exam'!H71="","",'(3).Midterm Exam'!H71)</f>
        <v/>
      </c>
      <c r="J71" s="128" t="str">
        <f>IF('(3).Midterm Exam'!I71="","",'(3).Midterm Exam'!I71)</f>
        <v/>
      </c>
      <c r="K71" s="128" t="str">
        <f>IF('(3).Midterm Exam'!J71="","",'(3).Midterm Exam'!J71)</f>
        <v/>
      </c>
      <c r="L71" s="128" t="str">
        <f>IF('(3).Midterm Exam'!K71="","",'(3).Midterm Exam'!K71)</f>
        <v/>
      </c>
      <c r="M71" s="128" t="str">
        <f>IF('(3).Midterm Exam'!L71="","",'(3).Midterm Exam'!L71)</f>
        <v/>
      </c>
      <c r="N71" s="129" t="str">
        <f>IF('(3).Midterm Exam'!M71="","",'(3).Midterm Exam'!M71)</f>
        <v/>
      </c>
      <c r="O71" s="130" t="str">
        <f>IF(B71="","",IF(D71="Incomplete","Incomplete",IF('(3).Midterm Exam'!N71="Change","Change",IF('(3).Midterm Exam'!N71="Stop","Stop",IF('(3).Midterm Exam'!N71="Incomplete","Incomplete",IF(COUNTBLANK(D71:N71)&gt;=1,"Incomplete",D71*20%+SUM(E71:N71)*80%))))))</f>
        <v/>
      </c>
    </row>
    <row r="72" spans="1:15" ht="15.95" customHeight="1">
      <c r="A72" s="66">
        <v>30</v>
      </c>
      <c r="B72" s="63" t="str">
        <f>IF('(3).Midterm Exam'!B72="","",'(3).Midterm Exam'!B72)</f>
        <v/>
      </c>
      <c r="C72" s="67" t="str">
        <f>IF('(3).Midterm Exam'!C72="","",'(3).Midterm Exam'!C72)</f>
        <v/>
      </c>
      <c r="D72" s="126" t="str">
        <f>IF('(2).Midterm Daily'!AH72="","",'(2).Midterm Daily'!AH72)</f>
        <v/>
      </c>
      <c r="E72" s="127" t="str">
        <f>IF('(3).Midterm Exam'!D72="","",'(3).Midterm Exam'!D72)</f>
        <v/>
      </c>
      <c r="F72" s="128" t="str">
        <f>IF('(3).Midterm Exam'!E72="","",'(3).Midterm Exam'!E72)</f>
        <v/>
      </c>
      <c r="G72" s="128" t="str">
        <f>IF('(3).Midterm Exam'!F72="","",'(3).Midterm Exam'!F72)</f>
        <v/>
      </c>
      <c r="H72" s="128" t="str">
        <f>IF('(3).Midterm Exam'!G72="","",'(3).Midterm Exam'!G72)</f>
        <v/>
      </c>
      <c r="I72" s="128" t="str">
        <f>IF('(3).Midterm Exam'!H72="","",'(3).Midterm Exam'!H72)</f>
        <v/>
      </c>
      <c r="J72" s="128" t="str">
        <f>IF('(3).Midterm Exam'!I72="","",'(3).Midterm Exam'!I72)</f>
        <v/>
      </c>
      <c r="K72" s="128" t="str">
        <f>IF('(3).Midterm Exam'!J72="","",'(3).Midterm Exam'!J72)</f>
        <v/>
      </c>
      <c r="L72" s="128" t="str">
        <f>IF('(3).Midterm Exam'!K72="","",'(3).Midterm Exam'!K72)</f>
        <v/>
      </c>
      <c r="M72" s="128" t="str">
        <f>IF('(3).Midterm Exam'!L72="","",'(3).Midterm Exam'!L72)</f>
        <v/>
      </c>
      <c r="N72" s="129" t="str">
        <f>IF('(3).Midterm Exam'!M72="","",'(3).Midterm Exam'!M72)</f>
        <v/>
      </c>
      <c r="O72" s="130" t="str">
        <f>IF(B72="","",IF(D72="Incomplete","Incomplete",IF('(3).Midterm Exam'!N72="Change","Change",IF('(3).Midterm Exam'!N72="Stop","Stop",IF('(3).Midterm Exam'!N72="Incomplete","Incomplete",IF(COUNTBLANK(D72:N72)&gt;=1,"Incomplete",D72*20%+SUM(E72:N72)*80%))))))</f>
        <v/>
      </c>
    </row>
    <row r="73" spans="1:15" ht="15.95" customHeight="1">
      <c r="A73" s="18" t="s">
        <v>0</v>
      </c>
      <c r="B73" s="19">
        <f>'(3).Midterm Exam'!B73</f>
        <v>0</v>
      </c>
      <c r="C73" s="60"/>
      <c r="D73" s="225" t="s">
        <v>94</v>
      </c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</row>
    <row r="74" spans="1:15" ht="15.95" customHeight="1">
      <c r="A74" s="18" t="s">
        <v>1</v>
      </c>
      <c r="B74" s="19">
        <f>'(3).Midterm Exam'!B74</f>
        <v>0</v>
      </c>
      <c r="C74" s="60"/>
      <c r="D74" s="225" t="str">
        <f>'(3).Midterm Exam'!D75</f>
        <v>FEBRUARY - JULY 2026</v>
      </c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</row>
    <row r="75" spans="1:15" ht="15.95" customHeight="1">
      <c r="A75" s="18" t="s">
        <v>2</v>
      </c>
      <c r="B75" s="19">
        <f>'(3).Midterm Exam'!B75</f>
        <v>0</v>
      </c>
      <c r="C75" s="60"/>
      <c r="D75" s="226" t="s">
        <v>30</v>
      </c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</row>
    <row r="76" spans="1:15" ht="15.95" customHeight="1">
      <c r="A76" s="18" t="s">
        <v>3</v>
      </c>
      <c r="B76" s="19">
        <f>'(3).Midterm Exam'!B76</f>
        <v>0</v>
      </c>
      <c r="C76" s="60"/>
      <c r="D76" s="117" t="s">
        <v>14</v>
      </c>
      <c r="E76" s="227" t="s">
        <v>93</v>
      </c>
      <c r="F76" s="228"/>
      <c r="G76" s="228"/>
      <c r="H76" s="228"/>
      <c r="I76" s="228"/>
      <c r="J76" s="228"/>
      <c r="K76" s="228"/>
      <c r="L76" s="228"/>
      <c r="M76" s="228"/>
      <c r="N76" s="229"/>
      <c r="O76" s="118" t="s">
        <v>16</v>
      </c>
    </row>
    <row r="77" spans="1:15" ht="15.95" customHeight="1">
      <c r="A77" s="18" t="s">
        <v>4</v>
      </c>
      <c r="B77" s="19">
        <f>'(3).Midterm Exam'!B77</f>
        <v>0</v>
      </c>
      <c r="C77" s="60"/>
      <c r="D77" s="119" t="s">
        <v>15</v>
      </c>
      <c r="E77" s="112" t="str">
        <f>IF(OR($B74="K5",$B74="K6",$B74="K7",$B74="K8",$B74="K9",$B74="K10"),"Listening","Up-Low C")</f>
        <v>Up-Low C</v>
      </c>
      <c r="F77" s="112" t="str">
        <f>IF(OR($B74="K5",$B74="K6",$B74="K7",$B74="K8",$B74="K9",$B74="K10"),"Speaking","Alphabet N")</f>
        <v>Alphabet N</v>
      </c>
      <c r="G77" s="112" t="str">
        <f>IF(OR($B74="K5",$B74="K6",$B74="K7",$B74="K8",$B74="K9",$B74="K10"),"Reading","Alphabet S")</f>
        <v>Alphabet S</v>
      </c>
      <c r="H77" s="112" t="str">
        <f>IF(OR($B74="K5",$B74="K6",$B74="K7",$B74="K8",$B74="K9",$B74="K10"),"Writing","Vocabulary")</f>
        <v>Vocabulary</v>
      </c>
      <c r="I77" s="112" t="str">
        <f>IF(OR($B74="K5",$B74="K6",$B74="K7",$B74="K8",$B74="K9",$B74="K10"),"Grammar","Sprouts")</f>
        <v>Sprouts</v>
      </c>
      <c r="J77" s="112" t="str">
        <f>IF(OR($B74="K5",$B74="K6",$B74="K7",$B74="K8",$B74="K9",$B74="K10"),"Vocabulary","Phonics")</f>
        <v>Phonics</v>
      </c>
      <c r="K77" s="112" t="str">
        <f>IF(OR($B74="K5",$B74="K6",$B74="K7",$B74="K8",$B74="K9",$B74="K10"),"Roots","Math")</f>
        <v>Math</v>
      </c>
      <c r="L77" s="112" t="str">
        <f>IF(OR($B74="K5",$B74="K6",$B74="K7",$B74="K8",$B74="K9",$B74="K10"),"Phonics","Shape")</f>
        <v>Shape</v>
      </c>
      <c r="M77" s="112" t="str">
        <f>IF(OR($B74="K5",$B74="K6",$B74="K7",$B74="K8",$B74="K9",$B74="K10"),"Math","Science")</f>
        <v>Science</v>
      </c>
      <c r="N77" s="112" t="str">
        <f>IF(OR($B74="K5",$B74="K6",$B74="K7",$B74="K8",$B74="K9",$B74="K10"),"Science","Tracing")</f>
        <v>Tracing</v>
      </c>
      <c r="O77" s="120" t="s">
        <v>17</v>
      </c>
    </row>
    <row r="78" spans="1:15" ht="15.95" customHeight="1" thickBot="1">
      <c r="A78" s="82" t="s">
        <v>5</v>
      </c>
      <c r="B78" s="83" t="s">
        <v>6</v>
      </c>
      <c r="C78" s="84" t="s">
        <v>7</v>
      </c>
      <c r="D78" s="113" t="s">
        <v>92</v>
      </c>
      <c r="E78" s="113" t="s">
        <v>9</v>
      </c>
      <c r="F78" s="113" t="s">
        <v>9</v>
      </c>
      <c r="G78" s="113" t="s">
        <v>9</v>
      </c>
      <c r="H78" s="113" t="s">
        <v>9</v>
      </c>
      <c r="I78" s="113" t="s">
        <v>9</v>
      </c>
      <c r="J78" s="113" t="s">
        <v>9</v>
      </c>
      <c r="K78" s="113" t="s">
        <v>9</v>
      </c>
      <c r="L78" s="113" t="s">
        <v>9</v>
      </c>
      <c r="M78" s="113" t="s">
        <v>9</v>
      </c>
      <c r="N78" s="113" t="s">
        <v>9</v>
      </c>
      <c r="O78" s="113" t="s">
        <v>92</v>
      </c>
    </row>
    <row r="79" spans="1:15" ht="15.95" customHeight="1">
      <c r="A79" s="78">
        <v>1</v>
      </c>
      <c r="B79" s="68" t="str">
        <f>IF('(3).Midterm Exam'!B79="","",'(3).Midterm Exam'!B79)</f>
        <v/>
      </c>
      <c r="C79" s="79" t="str">
        <f>IF('(3).Midterm Exam'!C79="","",'(3).Midterm Exam'!C79)</f>
        <v/>
      </c>
      <c r="D79" s="121" t="str">
        <f>IF('(2).Midterm Daily'!AH79="","",'(2).Midterm Daily'!AH79)</f>
        <v/>
      </c>
      <c r="E79" s="122" t="str">
        <f>IF('(3).Midterm Exam'!D79="","",'(3).Midterm Exam'!D79)</f>
        <v/>
      </c>
      <c r="F79" s="123" t="str">
        <f>IF('(3).Midterm Exam'!E79="","",'(3).Midterm Exam'!E79)</f>
        <v/>
      </c>
      <c r="G79" s="123" t="str">
        <f>IF('(3).Midterm Exam'!F79="","",'(3).Midterm Exam'!F79)</f>
        <v/>
      </c>
      <c r="H79" s="123" t="str">
        <f>IF('(3).Midterm Exam'!G79="","",'(3).Midterm Exam'!G79)</f>
        <v/>
      </c>
      <c r="I79" s="123" t="str">
        <f>IF('(3).Midterm Exam'!H79="","",'(3).Midterm Exam'!H79)</f>
        <v/>
      </c>
      <c r="J79" s="123" t="str">
        <f>IF('(3).Midterm Exam'!I79="","",'(3).Midterm Exam'!I79)</f>
        <v/>
      </c>
      <c r="K79" s="123" t="str">
        <f>IF('(3).Midterm Exam'!J79="","",'(3).Midterm Exam'!J79)</f>
        <v/>
      </c>
      <c r="L79" s="123" t="str">
        <f>IF('(3).Midterm Exam'!K79="","",'(3).Midterm Exam'!K79)</f>
        <v/>
      </c>
      <c r="M79" s="123" t="str">
        <f>IF('(3).Midterm Exam'!L79="","",'(3).Midterm Exam'!L79)</f>
        <v/>
      </c>
      <c r="N79" s="124" t="str">
        <f>IF('(3).Midterm Exam'!M79="","",'(3).Midterm Exam'!M79)</f>
        <v/>
      </c>
      <c r="O79" s="125" t="str">
        <f>IF(B79="","",IF(D79="Incomplete","Incomplete",IF('(3).Midterm Exam'!N79="Change","Change",IF('(3).Midterm Exam'!N79="Stop","Stop",IF('(3).Midterm Exam'!N79="Incomplete","Incomplete",IF(COUNTBLANK(D79:N79)&gt;=1,"Incomplete",D79*20%+SUM(E79:N79)*80%))))))</f>
        <v/>
      </c>
    </row>
    <row r="80" spans="1:15" ht="15.95" customHeight="1">
      <c r="A80" s="66">
        <v>2</v>
      </c>
      <c r="B80" s="63" t="str">
        <f>IF('(3).Midterm Exam'!B80="","",'(3).Midterm Exam'!B80)</f>
        <v/>
      </c>
      <c r="C80" s="67" t="str">
        <f>IF('(3).Midterm Exam'!C80="","",'(3).Midterm Exam'!C80)</f>
        <v/>
      </c>
      <c r="D80" s="126" t="str">
        <f>IF('(2).Midterm Daily'!AH80="","",'(2).Midterm Daily'!AH80)</f>
        <v/>
      </c>
      <c r="E80" s="127" t="str">
        <f>IF('(3).Midterm Exam'!D80="","",'(3).Midterm Exam'!D80)</f>
        <v/>
      </c>
      <c r="F80" s="128" t="str">
        <f>IF('(3).Midterm Exam'!E80="","",'(3).Midterm Exam'!E80)</f>
        <v/>
      </c>
      <c r="G80" s="128" t="str">
        <f>IF('(3).Midterm Exam'!F80="","",'(3).Midterm Exam'!F80)</f>
        <v/>
      </c>
      <c r="H80" s="128" t="str">
        <f>IF('(3).Midterm Exam'!G80="","",'(3).Midterm Exam'!G80)</f>
        <v/>
      </c>
      <c r="I80" s="128" t="str">
        <f>IF('(3).Midterm Exam'!H80="","",'(3).Midterm Exam'!H80)</f>
        <v/>
      </c>
      <c r="J80" s="128" t="str">
        <f>IF('(3).Midterm Exam'!I80="","",'(3).Midterm Exam'!I80)</f>
        <v/>
      </c>
      <c r="K80" s="128" t="str">
        <f>IF('(3).Midterm Exam'!J80="","",'(3).Midterm Exam'!J80)</f>
        <v/>
      </c>
      <c r="L80" s="128" t="str">
        <f>IF('(3).Midterm Exam'!K80="","",'(3).Midterm Exam'!K80)</f>
        <v/>
      </c>
      <c r="M80" s="128" t="str">
        <f>IF('(3).Midterm Exam'!L80="","",'(3).Midterm Exam'!L80)</f>
        <v/>
      </c>
      <c r="N80" s="129" t="str">
        <f>IF('(3).Midterm Exam'!M80="","",'(3).Midterm Exam'!M80)</f>
        <v/>
      </c>
      <c r="O80" s="130" t="str">
        <f>IF(B80="","",IF(D80="Incomplete","Incomplete",IF('(3).Midterm Exam'!N80="Change","Change",IF('(3).Midterm Exam'!N80="Stop","Stop",IF('(3).Midterm Exam'!N80="Incomplete","Incomplete",IF(COUNTBLANK(D80:N80)&gt;=1,"Incomplete",D80*20%+SUM(E80:N80)*80%))))))</f>
        <v/>
      </c>
    </row>
    <row r="81" spans="1:15" ht="15.95" customHeight="1">
      <c r="A81" s="66">
        <v>3</v>
      </c>
      <c r="B81" s="63" t="str">
        <f>IF('(3).Midterm Exam'!B81="","",'(3).Midterm Exam'!B81)</f>
        <v/>
      </c>
      <c r="C81" s="67" t="str">
        <f>IF('(3).Midterm Exam'!C81="","",'(3).Midterm Exam'!C81)</f>
        <v/>
      </c>
      <c r="D81" s="126" t="str">
        <f>IF('(2).Midterm Daily'!AH81="","",'(2).Midterm Daily'!AH81)</f>
        <v/>
      </c>
      <c r="E81" s="127" t="str">
        <f>IF('(3).Midterm Exam'!D81="","",'(3).Midterm Exam'!D81)</f>
        <v/>
      </c>
      <c r="F81" s="128" t="str">
        <f>IF('(3).Midterm Exam'!E81="","",'(3).Midterm Exam'!E81)</f>
        <v/>
      </c>
      <c r="G81" s="128" t="str">
        <f>IF('(3).Midterm Exam'!F81="","",'(3).Midterm Exam'!F81)</f>
        <v/>
      </c>
      <c r="H81" s="128" t="str">
        <f>IF('(3).Midterm Exam'!G81="","",'(3).Midterm Exam'!G81)</f>
        <v/>
      </c>
      <c r="I81" s="128" t="str">
        <f>IF('(3).Midterm Exam'!H81="","",'(3).Midterm Exam'!H81)</f>
        <v/>
      </c>
      <c r="J81" s="128" t="str">
        <f>IF('(3).Midterm Exam'!I81="","",'(3).Midterm Exam'!I81)</f>
        <v/>
      </c>
      <c r="K81" s="128" t="str">
        <f>IF('(3).Midterm Exam'!J81="","",'(3).Midterm Exam'!J81)</f>
        <v/>
      </c>
      <c r="L81" s="128" t="str">
        <f>IF('(3).Midterm Exam'!K81="","",'(3).Midterm Exam'!K81)</f>
        <v/>
      </c>
      <c r="M81" s="128" t="str">
        <f>IF('(3).Midterm Exam'!L81="","",'(3).Midterm Exam'!L81)</f>
        <v/>
      </c>
      <c r="N81" s="129" t="str">
        <f>IF('(3).Midterm Exam'!M81="","",'(3).Midterm Exam'!M81)</f>
        <v/>
      </c>
      <c r="O81" s="130" t="str">
        <f>IF(B81="","",IF(D81="Incomplete","Incomplete",IF('(3).Midterm Exam'!N81="Change","Change",IF('(3).Midterm Exam'!N81="Stop","Stop",IF('(3).Midterm Exam'!N81="Incomplete","Incomplete",IF(COUNTBLANK(D81:N81)&gt;=1,"Incomplete",D81*20%+SUM(E81:N81)*80%))))))</f>
        <v/>
      </c>
    </row>
    <row r="82" spans="1:15" ht="15.95" customHeight="1">
      <c r="A82" s="66">
        <v>4</v>
      </c>
      <c r="B82" s="63" t="str">
        <f>IF('(3).Midterm Exam'!B82="","",'(3).Midterm Exam'!B82)</f>
        <v/>
      </c>
      <c r="C82" s="67" t="str">
        <f>IF('(3).Midterm Exam'!C82="","",'(3).Midterm Exam'!C82)</f>
        <v/>
      </c>
      <c r="D82" s="126" t="str">
        <f>IF('(2).Midterm Daily'!AH82="","",'(2).Midterm Daily'!AH82)</f>
        <v/>
      </c>
      <c r="E82" s="127" t="str">
        <f>IF('(3).Midterm Exam'!D82="","",'(3).Midterm Exam'!D82)</f>
        <v/>
      </c>
      <c r="F82" s="128" t="str">
        <f>IF('(3).Midterm Exam'!E82="","",'(3).Midterm Exam'!E82)</f>
        <v/>
      </c>
      <c r="G82" s="128" t="str">
        <f>IF('(3).Midterm Exam'!F82="","",'(3).Midterm Exam'!F82)</f>
        <v/>
      </c>
      <c r="H82" s="128" t="str">
        <f>IF('(3).Midterm Exam'!G82="","",'(3).Midterm Exam'!G82)</f>
        <v/>
      </c>
      <c r="I82" s="128" t="str">
        <f>IF('(3).Midterm Exam'!H82="","",'(3).Midterm Exam'!H82)</f>
        <v/>
      </c>
      <c r="J82" s="128" t="str">
        <f>IF('(3).Midterm Exam'!I82="","",'(3).Midterm Exam'!I82)</f>
        <v/>
      </c>
      <c r="K82" s="128" t="str">
        <f>IF('(3).Midterm Exam'!J82="","",'(3).Midterm Exam'!J82)</f>
        <v/>
      </c>
      <c r="L82" s="128" t="str">
        <f>IF('(3).Midterm Exam'!K82="","",'(3).Midterm Exam'!K82)</f>
        <v/>
      </c>
      <c r="M82" s="128" t="str">
        <f>IF('(3).Midterm Exam'!L82="","",'(3).Midterm Exam'!L82)</f>
        <v/>
      </c>
      <c r="N82" s="129" t="str">
        <f>IF('(3).Midterm Exam'!M82="","",'(3).Midterm Exam'!M82)</f>
        <v/>
      </c>
      <c r="O82" s="130" t="str">
        <f>IF(B82="","",IF(D82="Incomplete","Incomplete",IF('(3).Midterm Exam'!N82="Change","Change",IF('(3).Midterm Exam'!N82="Stop","Stop",IF('(3).Midterm Exam'!N82="Incomplete","Incomplete",IF(COUNTBLANK(D82:N82)&gt;=1,"Incomplete",D82*20%+SUM(E82:N82)*80%))))))</f>
        <v/>
      </c>
    </row>
    <row r="83" spans="1:15" ht="15.95" customHeight="1">
      <c r="A83" s="66">
        <v>5</v>
      </c>
      <c r="B83" s="63" t="str">
        <f>IF('(3).Midterm Exam'!B83="","",'(3).Midterm Exam'!B83)</f>
        <v/>
      </c>
      <c r="C83" s="67" t="str">
        <f>IF('(3).Midterm Exam'!C83="","",'(3).Midterm Exam'!C83)</f>
        <v/>
      </c>
      <c r="D83" s="126" t="str">
        <f>IF('(2).Midterm Daily'!AH83="","",'(2).Midterm Daily'!AH83)</f>
        <v/>
      </c>
      <c r="E83" s="127" t="str">
        <f>IF('(3).Midterm Exam'!D83="","",'(3).Midterm Exam'!D83)</f>
        <v/>
      </c>
      <c r="F83" s="128" t="str">
        <f>IF('(3).Midterm Exam'!E83="","",'(3).Midterm Exam'!E83)</f>
        <v/>
      </c>
      <c r="G83" s="128" t="str">
        <f>IF('(3).Midterm Exam'!F83="","",'(3).Midterm Exam'!F83)</f>
        <v/>
      </c>
      <c r="H83" s="128" t="str">
        <f>IF('(3).Midterm Exam'!G83="","",'(3).Midterm Exam'!G83)</f>
        <v/>
      </c>
      <c r="I83" s="128" t="str">
        <f>IF('(3).Midterm Exam'!H83="","",'(3).Midterm Exam'!H83)</f>
        <v/>
      </c>
      <c r="J83" s="128" t="str">
        <f>IF('(3).Midterm Exam'!I83="","",'(3).Midterm Exam'!I83)</f>
        <v/>
      </c>
      <c r="K83" s="128" t="str">
        <f>IF('(3).Midterm Exam'!J83="","",'(3).Midterm Exam'!J83)</f>
        <v/>
      </c>
      <c r="L83" s="128" t="str">
        <f>IF('(3).Midterm Exam'!K83="","",'(3).Midterm Exam'!K83)</f>
        <v/>
      </c>
      <c r="M83" s="128" t="str">
        <f>IF('(3).Midterm Exam'!L83="","",'(3).Midterm Exam'!L83)</f>
        <v/>
      </c>
      <c r="N83" s="129" t="str">
        <f>IF('(3).Midterm Exam'!M83="","",'(3).Midterm Exam'!M83)</f>
        <v/>
      </c>
      <c r="O83" s="130" t="str">
        <f>IF(B83="","",IF(D83="Incomplete","Incomplete",IF('(3).Midterm Exam'!N83="Change","Change",IF('(3).Midterm Exam'!N83="Stop","Stop",IF('(3).Midterm Exam'!N83="Incomplete","Incomplete",IF(COUNTBLANK(D83:N83)&gt;=1,"Incomplete",D83*20%+SUM(E83:N83)*80%))))))</f>
        <v/>
      </c>
    </row>
    <row r="84" spans="1:15" ht="15.95" customHeight="1">
      <c r="A84" s="66">
        <v>6</v>
      </c>
      <c r="B84" s="63" t="str">
        <f>IF('(3).Midterm Exam'!B84="","",'(3).Midterm Exam'!B84)</f>
        <v/>
      </c>
      <c r="C84" s="67" t="str">
        <f>IF('(3).Midterm Exam'!C84="","",'(3).Midterm Exam'!C84)</f>
        <v/>
      </c>
      <c r="D84" s="126" t="str">
        <f>IF('(2).Midterm Daily'!AH84="","",'(2).Midterm Daily'!AH84)</f>
        <v/>
      </c>
      <c r="E84" s="127" t="str">
        <f>IF('(3).Midterm Exam'!D84="","",'(3).Midterm Exam'!D84)</f>
        <v/>
      </c>
      <c r="F84" s="128" t="str">
        <f>IF('(3).Midterm Exam'!E84="","",'(3).Midterm Exam'!E84)</f>
        <v/>
      </c>
      <c r="G84" s="128" t="str">
        <f>IF('(3).Midterm Exam'!F84="","",'(3).Midterm Exam'!F84)</f>
        <v/>
      </c>
      <c r="H84" s="128" t="str">
        <f>IF('(3).Midterm Exam'!G84="","",'(3).Midterm Exam'!G84)</f>
        <v/>
      </c>
      <c r="I84" s="128" t="str">
        <f>IF('(3).Midterm Exam'!H84="","",'(3).Midterm Exam'!H84)</f>
        <v/>
      </c>
      <c r="J84" s="128" t="str">
        <f>IF('(3).Midterm Exam'!I84="","",'(3).Midterm Exam'!I84)</f>
        <v/>
      </c>
      <c r="K84" s="128" t="str">
        <f>IF('(3).Midterm Exam'!J84="","",'(3).Midterm Exam'!J84)</f>
        <v/>
      </c>
      <c r="L84" s="128" t="str">
        <f>IF('(3).Midterm Exam'!K84="","",'(3).Midterm Exam'!K84)</f>
        <v/>
      </c>
      <c r="M84" s="128" t="str">
        <f>IF('(3).Midterm Exam'!L84="","",'(3).Midterm Exam'!L84)</f>
        <v/>
      </c>
      <c r="N84" s="129" t="str">
        <f>IF('(3).Midterm Exam'!M84="","",'(3).Midterm Exam'!M84)</f>
        <v/>
      </c>
      <c r="O84" s="130" t="str">
        <f>IF(B84="","",IF(D84="Incomplete","Incomplete",IF('(3).Midterm Exam'!N84="Change","Change",IF('(3).Midterm Exam'!N84="Stop","Stop",IF('(3).Midterm Exam'!N84="Incomplete","Incomplete",IF(COUNTBLANK(D84:N84)&gt;=1,"Incomplete",D84*20%+SUM(E84:N84)*80%))))))</f>
        <v/>
      </c>
    </row>
    <row r="85" spans="1:15" ht="15.95" customHeight="1">
      <c r="A85" s="66">
        <v>7</v>
      </c>
      <c r="B85" s="63" t="str">
        <f>IF('(3).Midterm Exam'!B85="","",'(3).Midterm Exam'!B85)</f>
        <v/>
      </c>
      <c r="C85" s="67" t="str">
        <f>IF('(3).Midterm Exam'!C85="","",'(3).Midterm Exam'!C85)</f>
        <v/>
      </c>
      <c r="D85" s="126" t="str">
        <f>IF('(2).Midterm Daily'!AH85="","",'(2).Midterm Daily'!AH85)</f>
        <v/>
      </c>
      <c r="E85" s="127" t="str">
        <f>IF('(3).Midterm Exam'!D85="","",'(3).Midterm Exam'!D85)</f>
        <v/>
      </c>
      <c r="F85" s="128" t="str">
        <f>IF('(3).Midterm Exam'!E85="","",'(3).Midterm Exam'!E85)</f>
        <v/>
      </c>
      <c r="G85" s="128" t="str">
        <f>IF('(3).Midterm Exam'!F85="","",'(3).Midterm Exam'!F85)</f>
        <v/>
      </c>
      <c r="H85" s="128" t="str">
        <f>IF('(3).Midterm Exam'!G85="","",'(3).Midterm Exam'!G85)</f>
        <v/>
      </c>
      <c r="I85" s="128" t="str">
        <f>IF('(3).Midterm Exam'!H85="","",'(3).Midterm Exam'!H85)</f>
        <v/>
      </c>
      <c r="J85" s="128" t="str">
        <f>IF('(3).Midterm Exam'!I85="","",'(3).Midterm Exam'!I85)</f>
        <v/>
      </c>
      <c r="K85" s="128" t="str">
        <f>IF('(3).Midterm Exam'!J85="","",'(3).Midterm Exam'!J85)</f>
        <v/>
      </c>
      <c r="L85" s="128" t="str">
        <f>IF('(3).Midterm Exam'!K85="","",'(3).Midterm Exam'!K85)</f>
        <v/>
      </c>
      <c r="M85" s="128" t="str">
        <f>IF('(3).Midterm Exam'!L85="","",'(3).Midterm Exam'!L85)</f>
        <v/>
      </c>
      <c r="N85" s="129" t="str">
        <f>IF('(3).Midterm Exam'!M85="","",'(3).Midterm Exam'!M85)</f>
        <v/>
      </c>
      <c r="O85" s="130" t="str">
        <f>IF(B85="","",IF(D85="Incomplete","Incomplete",IF('(3).Midterm Exam'!N85="Change","Change",IF('(3).Midterm Exam'!N85="Stop","Stop",IF('(3).Midterm Exam'!N85="Incomplete","Incomplete",IF(COUNTBLANK(D85:N85)&gt;=1,"Incomplete",D85*20%+SUM(E85:N85)*80%))))))</f>
        <v/>
      </c>
    </row>
    <row r="86" spans="1:15" ht="15.95" customHeight="1">
      <c r="A86" s="66">
        <v>8</v>
      </c>
      <c r="B86" s="63" t="str">
        <f>IF('(3).Midterm Exam'!B86="","",'(3).Midterm Exam'!B86)</f>
        <v/>
      </c>
      <c r="C86" s="67" t="str">
        <f>IF('(3).Midterm Exam'!C86="","",'(3).Midterm Exam'!C86)</f>
        <v/>
      </c>
      <c r="D86" s="126" t="str">
        <f>IF('(2).Midterm Daily'!AH86="","",'(2).Midterm Daily'!AH86)</f>
        <v/>
      </c>
      <c r="E86" s="127" t="str">
        <f>IF('(3).Midterm Exam'!D86="","",'(3).Midterm Exam'!D86)</f>
        <v/>
      </c>
      <c r="F86" s="128" t="str">
        <f>IF('(3).Midterm Exam'!E86="","",'(3).Midterm Exam'!E86)</f>
        <v/>
      </c>
      <c r="G86" s="128" t="str">
        <f>IF('(3).Midterm Exam'!F86="","",'(3).Midterm Exam'!F86)</f>
        <v/>
      </c>
      <c r="H86" s="128" t="str">
        <f>IF('(3).Midterm Exam'!G86="","",'(3).Midterm Exam'!G86)</f>
        <v/>
      </c>
      <c r="I86" s="128" t="str">
        <f>IF('(3).Midterm Exam'!H86="","",'(3).Midterm Exam'!H86)</f>
        <v/>
      </c>
      <c r="J86" s="128" t="str">
        <f>IF('(3).Midterm Exam'!I86="","",'(3).Midterm Exam'!I86)</f>
        <v/>
      </c>
      <c r="K86" s="128" t="str">
        <f>IF('(3).Midterm Exam'!J86="","",'(3).Midterm Exam'!J86)</f>
        <v/>
      </c>
      <c r="L86" s="128" t="str">
        <f>IF('(3).Midterm Exam'!K86="","",'(3).Midterm Exam'!K86)</f>
        <v/>
      </c>
      <c r="M86" s="128" t="str">
        <f>IF('(3).Midterm Exam'!L86="","",'(3).Midterm Exam'!L86)</f>
        <v/>
      </c>
      <c r="N86" s="129" t="str">
        <f>IF('(3).Midterm Exam'!M86="","",'(3).Midterm Exam'!M86)</f>
        <v/>
      </c>
      <c r="O86" s="130" t="str">
        <f>IF(B86="","",IF(D86="Incomplete","Incomplete",IF('(3).Midterm Exam'!N86="Change","Change",IF('(3).Midterm Exam'!N86="Stop","Stop",IF('(3).Midterm Exam'!N86="Incomplete","Incomplete",IF(COUNTBLANK(D86:N86)&gt;=1,"Incomplete",D86*20%+SUM(E86:N86)*80%))))))</f>
        <v/>
      </c>
    </row>
    <row r="87" spans="1:15" ht="15.95" customHeight="1">
      <c r="A87" s="66">
        <v>9</v>
      </c>
      <c r="B87" s="63" t="str">
        <f>IF('(3).Midterm Exam'!B87="","",'(3).Midterm Exam'!B87)</f>
        <v/>
      </c>
      <c r="C87" s="67" t="str">
        <f>IF('(3).Midterm Exam'!C87="","",'(3).Midterm Exam'!C87)</f>
        <v/>
      </c>
      <c r="D87" s="126" t="str">
        <f>IF('(2).Midterm Daily'!AH87="","",'(2).Midterm Daily'!AH87)</f>
        <v/>
      </c>
      <c r="E87" s="127" t="str">
        <f>IF('(3).Midterm Exam'!D87="","",'(3).Midterm Exam'!D87)</f>
        <v/>
      </c>
      <c r="F87" s="128" t="str">
        <f>IF('(3).Midterm Exam'!E87="","",'(3).Midterm Exam'!E87)</f>
        <v/>
      </c>
      <c r="G87" s="128" t="str">
        <f>IF('(3).Midterm Exam'!F87="","",'(3).Midterm Exam'!F87)</f>
        <v/>
      </c>
      <c r="H87" s="128" t="str">
        <f>IF('(3).Midterm Exam'!G87="","",'(3).Midterm Exam'!G87)</f>
        <v/>
      </c>
      <c r="I87" s="128" t="str">
        <f>IF('(3).Midterm Exam'!H87="","",'(3).Midterm Exam'!H87)</f>
        <v/>
      </c>
      <c r="J87" s="128" t="str">
        <f>IF('(3).Midterm Exam'!I87="","",'(3).Midterm Exam'!I87)</f>
        <v/>
      </c>
      <c r="K87" s="128" t="str">
        <f>IF('(3).Midterm Exam'!J87="","",'(3).Midterm Exam'!J87)</f>
        <v/>
      </c>
      <c r="L87" s="128" t="str">
        <f>IF('(3).Midterm Exam'!K87="","",'(3).Midterm Exam'!K87)</f>
        <v/>
      </c>
      <c r="M87" s="128" t="str">
        <f>IF('(3).Midterm Exam'!L87="","",'(3).Midterm Exam'!L87)</f>
        <v/>
      </c>
      <c r="N87" s="129" t="str">
        <f>IF('(3).Midterm Exam'!M87="","",'(3).Midterm Exam'!M87)</f>
        <v/>
      </c>
      <c r="O87" s="130" t="str">
        <f>IF(B87="","",IF(D87="Incomplete","Incomplete",IF('(3).Midterm Exam'!N87="Change","Change",IF('(3).Midterm Exam'!N87="Stop","Stop",IF('(3).Midterm Exam'!N87="Incomplete","Incomplete",IF(COUNTBLANK(D87:N87)&gt;=1,"Incomplete",D87*20%+SUM(E87:N87)*80%))))))</f>
        <v/>
      </c>
    </row>
    <row r="88" spans="1:15" ht="15.95" customHeight="1">
      <c r="A88" s="66">
        <v>10</v>
      </c>
      <c r="B88" s="63" t="str">
        <f>IF('(3).Midterm Exam'!B88="","",'(3).Midterm Exam'!B88)</f>
        <v/>
      </c>
      <c r="C88" s="67" t="str">
        <f>IF('(3).Midterm Exam'!C88="","",'(3).Midterm Exam'!C88)</f>
        <v/>
      </c>
      <c r="D88" s="126" t="str">
        <f>IF('(2).Midterm Daily'!AH88="","",'(2).Midterm Daily'!AH88)</f>
        <v/>
      </c>
      <c r="E88" s="127" t="str">
        <f>IF('(3).Midterm Exam'!D88="","",'(3).Midterm Exam'!D88)</f>
        <v/>
      </c>
      <c r="F88" s="128" t="str">
        <f>IF('(3).Midterm Exam'!E88="","",'(3).Midterm Exam'!E88)</f>
        <v/>
      </c>
      <c r="G88" s="128" t="str">
        <f>IF('(3).Midterm Exam'!F88="","",'(3).Midterm Exam'!F88)</f>
        <v/>
      </c>
      <c r="H88" s="128" t="str">
        <f>IF('(3).Midterm Exam'!G88="","",'(3).Midterm Exam'!G88)</f>
        <v/>
      </c>
      <c r="I88" s="128" t="str">
        <f>IF('(3).Midterm Exam'!H88="","",'(3).Midterm Exam'!H88)</f>
        <v/>
      </c>
      <c r="J88" s="128" t="str">
        <f>IF('(3).Midterm Exam'!I88="","",'(3).Midterm Exam'!I88)</f>
        <v/>
      </c>
      <c r="K88" s="128" t="str">
        <f>IF('(3).Midterm Exam'!J88="","",'(3).Midterm Exam'!J88)</f>
        <v/>
      </c>
      <c r="L88" s="128" t="str">
        <f>IF('(3).Midterm Exam'!K88="","",'(3).Midterm Exam'!K88)</f>
        <v/>
      </c>
      <c r="M88" s="128" t="str">
        <f>IF('(3).Midterm Exam'!L88="","",'(3).Midterm Exam'!L88)</f>
        <v/>
      </c>
      <c r="N88" s="129" t="str">
        <f>IF('(3).Midterm Exam'!M88="","",'(3).Midterm Exam'!M88)</f>
        <v/>
      </c>
      <c r="O88" s="130" t="str">
        <f>IF(B88="","",IF(D88="Incomplete","Incomplete",IF('(3).Midterm Exam'!N88="Change","Change",IF('(3).Midterm Exam'!N88="Stop","Stop",IF('(3).Midterm Exam'!N88="Incomplete","Incomplete",IF(COUNTBLANK(D88:N88)&gt;=1,"Incomplete",D88*20%+SUM(E88:N88)*80%))))))</f>
        <v/>
      </c>
    </row>
    <row r="89" spans="1:15" ht="15.95" customHeight="1">
      <c r="A89" s="66">
        <v>11</v>
      </c>
      <c r="B89" s="63" t="str">
        <f>IF('(3).Midterm Exam'!B89="","",'(3).Midterm Exam'!B89)</f>
        <v/>
      </c>
      <c r="C89" s="67" t="str">
        <f>IF('(3).Midterm Exam'!C89="","",'(3).Midterm Exam'!C89)</f>
        <v/>
      </c>
      <c r="D89" s="126" t="str">
        <f>IF('(2).Midterm Daily'!AH89="","",'(2).Midterm Daily'!AH89)</f>
        <v/>
      </c>
      <c r="E89" s="127" t="str">
        <f>IF('(3).Midterm Exam'!D89="","",'(3).Midterm Exam'!D89)</f>
        <v/>
      </c>
      <c r="F89" s="128" t="str">
        <f>IF('(3).Midterm Exam'!E89="","",'(3).Midterm Exam'!E89)</f>
        <v/>
      </c>
      <c r="G89" s="128" t="str">
        <f>IF('(3).Midterm Exam'!F89="","",'(3).Midterm Exam'!F89)</f>
        <v/>
      </c>
      <c r="H89" s="128" t="str">
        <f>IF('(3).Midterm Exam'!G89="","",'(3).Midterm Exam'!G89)</f>
        <v/>
      </c>
      <c r="I89" s="128" t="str">
        <f>IF('(3).Midterm Exam'!H89="","",'(3).Midterm Exam'!H89)</f>
        <v/>
      </c>
      <c r="J89" s="128" t="str">
        <f>IF('(3).Midterm Exam'!I89="","",'(3).Midterm Exam'!I89)</f>
        <v/>
      </c>
      <c r="K89" s="128" t="str">
        <f>IF('(3).Midterm Exam'!J89="","",'(3).Midterm Exam'!J89)</f>
        <v/>
      </c>
      <c r="L89" s="128" t="str">
        <f>IF('(3).Midterm Exam'!K89="","",'(3).Midterm Exam'!K89)</f>
        <v/>
      </c>
      <c r="M89" s="128" t="str">
        <f>IF('(3).Midterm Exam'!L89="","",'(3).Midterm Exam'!L89)</f>
        <v/>
      </c>
      <c r="N89" s="129" t="str">
        <f>IF('(3).Midterm Exam'!M89="","",'(3).Midterm Exam'!M89)</f>
        <v/>
      </c>
      <c r="O89" s="130" t="str">
        <f>IF(B89="","",IF(D89="Incomplete","Incomplete",IF('(3).Midterm Exam'!N89="Change","Change",IF('(3).Midterm Exam'!N89="Stop","Stop",IF('(3).Midterm Exam'!N89="Incomplete","Incomplete",IF(COUNTBLANK(D89:N89)&gt;=1,"Incomplete",D89*20%+SUM(E89:N89)*80%))))))</f>
        <v/>
      </c>
    </row>
    <row r="90" spans="1:15" ht="15.95" customHeight="1">
      <c r="A90" s="66">
        <v>12</v>
      </c>
      <c r="B90" s="63" t="str">
        <f>IF('(3).Midterm Exam'!B90="","",'(3).Midterm Exam'!B90)</f>
        <v/>
      </c>
      <c r="C90" s="67" t="str">
        <f>IF('(3).Midterm Exam'!C90="","",'(3).Midterm Exam'!C90)</f>
        <v/>
      </c>
      <c r="D90" s="126" t="str">
        <f>IF('(2).Midterm Daily'!AH90="","",'(2).Midterm Daily'!AH90)</f>
        <v/>
      </c>
      <c r="E90" s="127" t="str">
        <f>IF('(3).Midterm Exam'!D90="","",'(3).Midterm Exam'!D90)</f>
        <v/>
      </c>
      <c r="F90" s="128" t="str">
        <f>IF('(3).Midterm Exam'!E90="","",'(3).Midterm Exam'!E90)</f>
        <v/>
      </c>
      <c r="G90" s="128" t="str">
        <f>IF('(3).Midterm Exam'!F90="","",'(3).Midterm Exam'!F90)</f>
        <v/>
      </c>
      <c r="H90" s="128" t="str">
        <f>IF('(3).Midterm Exam'!G90="","",'(3).Midterm Exam'!G90)</f>
        <v/>
      </c>
      <c r="I90" s="128" t="str">
        <f>IF('(3).Midterm Exam'!H90="","",'(3).Midterm Exam'!H90)</f>
        <v/>
      </c>
      <c r="J90" s="128" t="str">
        <f>IF('(3).Midterm Exam'!I90="","",'(3).Midterm Exam'!I90)</f>
        <v/>
      </c>
      <c r="K90" s="128" t="str">
        <f>IF('(3).Midterm Exam'!J90="","",'(3).Midterm Exam'!J90)</f>
        <v/>
      </c>
      <c r="L90" s="128" t="str">
        <f>IF('(3).Midterm Exam'!K90="","",'(3).Midterm Exam'!K90)</f>
        <v/>
      </c>
      <c r="M90" s="128" t="str">
        <f>IF('(3).Midterm Exam'!L90="","",'(3).Midterm Exam'!L90)</f>
        <v/>
      </c>
      <c r="N90" s="129" t="str">
        <f>IF('(3).Midterm Exam'!M90="","",'(3).Midterm Exam'!M90)</f>
        <v/>
      </c>
      <c r="O90" s="130" t="str">
        <f>IF(B90="","",IF(D90="Incomplete","Incomplete",IF('(3).Midterm Exam'!N90="Change","Change",IF('(3).Midterm Exam'!N90="Stop","Stop",IF('(3).Midterm Exam'!N90="Incomplete","Incomplete",IF(COUNTBLANK(D90:N90)&gt;=1,"Incomplete",D90*20%+SUM(E90:N90)*80%))))))</f>
        <v/>
      </c>
    </row>
    <row r="91" spans="1:15" ht="15.95" customHeight="1">
      <c r="A91" s="66">
        <v>13</v>
      </c>
      <c r="B91" s="63" t="str">
        <f>IF('(3).Midterm Exam'!B91="","",'(3).Midterm Exam'!B91)</f>
        <v/>
      </c>
      <c r="C91" s="67" t="str">
        <f>IF('(3).Midterm Exam'!C91="","",'(3).Midterm Exam'!C91)</f>
        <v/>
      </c>
      <c r="D91" s="126" t="str">
        <f>IF('(2).Midterm Daily'!AH91="","",'(2).Midterm Daily'!AH91)</f>
        <v/>
      </c>
      <c r="E91" s="127" t="str">
        <f>IF('(3).Midterm Exam'!D91="","",'(3).Midterm Exam'!D91)</f>
        <v/>
      </c>
      <c r="F91" s="128" t="str">
        <f>IF('(3).Midterm Exam'!E91="","",'(3).Midterm Exam'!E91)</f>
        <v/>
      </c>
      <c r="G91" s="128" t="str">
        <f>IF('(3).Midterm Exam'!F91="","",'(3).Midterm Exam'!F91)</f>
        <v/>
      </c>
      <c r="H91" s="128" t="str">
        <f>IF('(3).Midterm Exam'!G91="","",'(3).Midterm Exam'!G91)</f>
        <v/>
      </c>
      <c r="I91" s="128" t="str">
        <f>IF('(3).Midterm Exam'!H91="","",'(3).Midterm Exam'!H91)</f>
        <v/>
      </c>
      <c r="J91" s="128" t="str">
        <f>IF('(3).Midterm Exam'!I91="","",'(3).Midterm Exam'!I91)</f>
        <v/>
      </c>
      <c r="K91" s="128" t="str">
        <f>IF('(3).Midterm Exam'!J91="","",'(3).Midterm Exam'!J91)</f>
        <v/>
      </c>
      <c r="L91" s="128" t="str">
        <f>IF('(3).Midterm Exam'!K91="","",'(3).Midterm Exam'!K91)</f>
        <v/>
      </c>
      <c r="M91" s="128" t="str">
        <f>IF('(3).Midterm Exam'!L91="","",'(3).Midterm Exam'!L91)</f>
        <v/>
      </c>
      <c r="N91" s="129" t="str">
        <f>IF('(3).Midterm Exam'!M91="","",'(3).Midterm Exam'!M91)</f>
        <v/>
      </c>
      <c r="O91" s="130" t="str">
        <f>IF(B91="","",IF(D91="Incomplete","Incomplete",IF('(3).Midterm Exam'!N91="Change","Change",IF('(3).Midterm Exam'!N91="Stop","Stop",IF('(3).Midterm Exam'!N91="Incomplete","Incomplete",IF(COUNTBLANK(D91:N91)&gt;=1,"Incomplete",D91*20%+SUM(E91:N91)*80%))))))</f>
        <v/>
      </c>
    </row>
    <row r="92" spans="1:15" ht="15.95" customHeight="1">
      <c r="A92" s="66">
        <v>14</v>
      </c>
      <c r="B92" s="63" t="str">
        <f>IF('(3).Midterm Exam'!B92="","",'(3).Midterm Exam'!B92)</f>
        <v/>
      </c>
      <c r="C92" s="67" t="str">
        <f>IF('(3).Midterm Exam'!C92="","",'(3).Midterm Exam'!C92)</f>
        <v/>
      </c>
      <c r="D92" s="126" t="str">
        <f>IF('(2).Midterm Daily'!AH92="","",'(2).Midterm Daily'!AH92)</f>
        <v/>
      </c>
      <c r="E92" s="127" t="str">
        <f>IF('(3).Midterm Exam'!D92="","",'(3).Midterm Exam'!D92)</f>
        <v/>
      </c>
      <c r="F92" s="128" t="str">
        <f>IF('(3).Midterm Exam'!E92="","",'(3).Midterm Exam'!E92)</f>
        <v/>
      </c>
      <c r="G92" s="128" t="str">
        <f>IF('(3).Midterm Exam'!F92="","",'(3).Midterm Exam'!F92)</f>
        <v/>
      </c>
      <c r="H92" s="128" t="str">
        <f>IF('(3).Midterm Exam'!G92="","",'(3).Midterm Exam'!G92)</f>
        <v/>
      </c>
      <c r="I92" s="128" t="str">
        <f>IF('(3).Midterm Exam'!H92="","",'(3).Midterm Exam'!H92)</f>
        <v/>
      </c>
      <c r="J92" s="128" t="str">
        <f>IF('(3).Midterm Exam'!I92="","",'(3).Midterm Exam'!I92)</f>
        <v/>
      </c>
      <c r="K92" s="128" t="str">
        <f>IF('(3).Midterm Exam'!J92="","",'(3).Midterm Exam'!J92)</f>
        <v/>
      </c>
      <c r="L92" s="128" t="str">
        <f>IF('(3).Midterm Exam'!K92="","",'(3).Midterm Exam'!K92)</f>
        <v/>
      </c>
      <c r="M92" s="128" t="str">
        <f>IF('(3).Midterm Exam'!L92="","",'(3).Midterm Exam'!L92)</f>
        <v/>
      </c>
      <c r="N92" s="129" t="str">
        <f>IF('(3).Midterm Exam'!M92="","",'(3).Midterm Exam'!M92)</f>
        <v/>
      </c>
      <c r="O92" s="130" t="str">
        <f>IF(B92="","",IF(D92="Incomplete","Incomplete",IF('(3).Midterm Exam'!N92="Change","Change",IF('(3).Midterm Exam'!N92="Stop","Stop",IF('(3).Midterm Exam'!N92="Incomplete","Incomplete",IF(COUNTBLANK(D92:N92)&gt;=1,"Incomplete",D92*20%+SUM(E92:N92)*80%))))))</f>
        <v/>
      </c>
    </row>
    <row r="93" spans="1:15" ht="15.95" customHeight="1">
      <c r="A93" s="66">
        <v>15</v>
      </c>
      <c r="B93" s="63" t="str">
        <f>IF('(3).Midterm Exam'!B93="","",'(3).Midterm Exam'!B93)</f>
        <v/>
      </c>
      <c r="C93" s="67" t="str">
        <f>IF('(3).Midterm Exam'!C93="","",'(3).Midterm Exam'!C93)</f>
        <v/>
      </c>
      <c r="D93" s="126" t="str">
        <f>IF('(2).Midterm Daily'!AH93="","",'(2).Midterm Daily'!AH93)</f>
        <v/>
      </c>
      <c r="E93" s="127" t="str">
        <f>IF('(3).Midterm Exam'!D93="","",'(3).Midterm Exam'!D93)</f>
        <v/>
      </c>
      <c r="F93" s="128" t="str">
        <f>IF('(3).Midterm Exam'!E93="","",'(3).Midterm Exam'!E93)</f>
        <v/>
      </c>
      <c r="G93" s="128" t="str">
        <f>IF('(3).Midterm Exam'!F93="","",'(3).Midterm Exam'!F93)</f>
        <v/>
      </c>
      <c r="H93" s="128" t="str">
        <f>IF('(3).Midterm Exam'!G93="","",'(3).Midterm Exam'!G93)</f>
        <v/>
      </c>
      <c r="I93" s="128" t="str">
        <f>IF('(3).Midterm Exam'!H93="","",'(3).Midterm Exam'!H93)</f>
        <v/>
      </c>
      <c r="J93" s="128" t="str">
        <f>IF('(3).Midterm Exam'!I93="","",'(3).Midterm Exam'!I93)</f>
        <v/>
      </c>
      <c r="K93" s="128" t="str">
        <f>IF('(3).Midterm Exam'!J93="","",'(3).Midterm Exam'!J93)</f>
        <v/>
      </c>
      <c r="L93" s="128" t="str">
        <f>IF('(3).Midterm Exam'!K93="","",'(3).Midterm Exam'!K93)</f>
        <v/>
      </c>
      <c r="M93" s="128" t="str">
        <f>IF('(3).Midterm Exam'!L93="","",'(3).Midterm Exam'!L93)</f>
        <v/>
      </c>
      <c r="N93" s="129" t="str">
        <f>IF('(3).Midterm Exam'!M93="","",'(3).Midterm Exam'!M93)</f>
        <v/>
      </c>
      <c r="O93" s="130" t="str">
        <f>IF(B93="","",IF(D93="Incomplete","Incomplete",IF('(3).Midterm Exam'!N93="Change","Change",IF('(3).Midterm Exam'!N93="Stop","Stop",IF('(3).Midterm Exam'!N93="Incomplete","Incomplete",IF(COUNTBLANK(D93:N93)&gt;=1,"Incomplete",D93*20%+SUM(E93:N93)*80%))))))</f>
        <v/>
      </c>
    </row>
    <row r="94" spans="1:15" ht="15.95" customHeight="1">
      <c r="A94" s="66">
        <v>16</v>
      </c>
      <c r="B94" s="63" t="str">
        <f>IF('(3).Midterm Exam'!B94="","",'(3).Midterm Exam'!B94)</f>
        <v/>
      </c>
      <c r="C94" s="67" t="str">
        <f>IF('(3).Midterm Exam'!C94="","",'(3).Midterm Exam'!C94)</f>
        <v/>
      </c>
      <c r="D94" s="126" t="str">
        <f>IF('(2).Midterm Daily'!AH94="","",'(2).Midterm Daily'!AH94)</f>
        <v/>
      </c>
      <c r="E94" s="127" t="str">
        <f>IF('(3).Midterm Exam'!D94="","",'(3).Midterm Exam'!D94)</f>
        <v/>
      </c>
      <c r="F94" s="128" t="str">
        <f>IF('(3).Midterm Exam'!E94="","",'(3).Midterm Exam'!E94)</f>
        <v/>
      </c>
      <c r="G94" s="128" t="str">
        <f>IF('(3).Midterm Exam'!F94="","",'(3).Midterm Exam'!F94)</f>
        <v/>
      </c>
      <c r="H94" s="128" t="str">
        <f>IF('(3).Midterm Exam'!G94="","",'(3).Midterm Exam'!G94)</f>
        <v/>
      </c>
      <c r="I94" s="128" t="str">
        <f>IF('(3).Midterm Exam'!H94="","",'(3).Midterm Exam'!H94)</f>
        <v/>
      </c>
      <c r="J94" s="128" t="str">
        <f>IF('(3).Midterm Exam'!I94="","",'(3).Midterm Exam'!I94)</f>
        <v/>
      </c>
      <c r="K94" s="128" t="str">
        <f>IF('(3).Midterm Exam'!J94="","",'(3).Midterm Exam'!J94)</f>
        <v/>
      </c>
      <c r="L94" s="128" t="str">
        <f>IF('(3).Midterm Exam'!K94="","",'(3).Midterm Exam'!K94)</f>
        <v/>
      </c>
      <c r="M94" s="128" t="str">
        <f>IF('(3).Midterm Exam'!L94="","",'(3).Midterm Exam'!L94)</f>
        <v/>
      </c>
      <c r="N94" s="129" t="str">
        <f>IF('(3).Midterm Exam'!M94="","",'(3).Midterm Exam'!M94)</f>
        <v/>
      </c>
      <c r="O94" s="130" t="str">
        <f>IF(B94="","",IF(D94="Incomplete","Incomplete",IF('(3).Midterm Exam'!N94="Change","Change",IF('(3).Midterm Exam'!N94="Stop","Stop",IF('(3).Midterm Exam'!N94="Incomplete","Incomplete",IF(COUNTBLANK(D94:N94)&gt;=1,"Incomplete",D94*20%+SUM(E94:N94)*80%))))))</f>
        <v/>
      </c>
    </row>
    <row r="95" spans="1:15" ht="15.95" customHeight="1">
      <c r="A95" s="66">
        <v>17</v>
      </c>
      <c r="B95" s="63" t="str">
        <f>IF('(3).Midterm Exam'!B95="","",'(3).Midterm Exam'!B95)</f>
        <v/>
      </c>
      <c r="C95" s="67" t="str">
        <f>IF('(3).Midterm Exam'!C95="","",'(3).Midterm Exam'!C95)</f>
        <v/>
      </c>
      <c r="D95" s="126" t="str">
        <f>IF('(2).Midterm Daily'!AH95="","",'(2).Midterm Daily'!AH95)</f>
        <v/>
      </c>
      <c r="E95" s="127" t="str">
        <f>IF('(3).Midterm Exam'!D95="","",'(3).Midterm Exam'!D95)</f>
        <v/>
      </c>
      <c r="F95" s="128" t="str">
        <f>IF('(3).Midterm Exam'!E95="","",'(3).Midterm Exam'!E95)</f>
        <v/>
      </c>
      <c r="G95" s="128" t="str">
        <f>IF('(3).Midterm Exam'!F95="","",'(3).Midterm Exam'!F95)</f>
        <v/>
      </c>
      <c r="H95" s="128" t="str">
        <f>IF('(3).Midterm Exam'!G95="","",'(3).Midterm Exam'!G95)</f>
        <v/>
      </c>
      <c r="I95" s="128" t="str">
        <f>IF('(3).Midterm Exam'!H95="","",'(3).Midterm Exam'!H95)</f>
        <v/>
      </c>
      <c r="J95" s="128" t="str">
        <f>IF('(3).Midterm Exam'!I95="","",'(3).Midterm Exam'!I95)</f>
        <v/>
      </c>
      <c r="K95" s="128" t="str">
        <f>IF('(3).Midterm Exam'!J95="","",'(3).Midterm Exam'!J95)</f>
        <v/>
      </c>
      <c r="L95" s="128" t="str">
        <f>IF('(3).Midterm Exam'!K95="","",'(3).Midterm Exam'!K95)</f>
        <v/>
      </c>
      <c r="M95" s="128" t="str">
        <f>IF('(3).Midterm Exam'!L95="","",'(3).Midterm Exam'!L95)</f>
        <v/>
      </c>
      <c r="N95" s="129" t="str">
        <f>IF('(3).Midterm Exam'!M95="","",'(3).Midterm Exam'!M95)</f>
        <v/>
      </c>
      <c r="O95" s="130" t="str">
        <f>IF(B95="","",IF(D95="Incomplete","Incomplete",IF('(3).Midterm Exam'!N95="Change","Change",IF('(3).Midterm Exam'!N95="Stop","Stop",IF('(3).Midterm Exam'!N95="Incomplete","Incomplete",IF(COUNTBLANK(D95:N95)&gt;=1,"Incomplete",D95*20%+SUM(E95:N95)*80%))))))</f>
        <v/>
      </c>
    </row>
    <row r="96" spans="1:15" ht="15.95" customHeight="1">
      <c r="A96" s="66">
        <v>18</v>
      </c>
      <c r="B96" s="63" t="str">
        <f>IF('(3).Midterm Exam'!B96="","",'(3).Midterm Exam'!B96)</f>
        <v/>
      </c>
      <c r="C96" s="67" t="str">
        <f>IF('(3).Midterm Exam'!C96="","",'(3).Midterm Exam'!C96)</f>
        <v/>
      </c>
      <c r="D96" s="126" t="str">
        <f>IF('(2).Midterm Daily'!AH96="","",'(2).Midterm Daily'!AH96)</f>
        <v/>
      </c>
      <c r="E96" s="127" t="str">
        <f>IF('(3).Midterm Exam'!D96="","",'(3).Midterm Exam'!D96)</f>
        <v/>
      </c>
      <c r="F96" s="128" t="str">
        <f>IF('(3).Midterm Exam'!E96="","",'(3).Midterm Exam'!E96)</f>
        <v/>
      </c>
      <c r="G96" s="128" t="str">
        <f>IF('(3).Midterm Exam'!F96="","",'(3).Midterm Exam'!F96)</f>
        <v/>
      </c>
      <c r="H96" s="128" t="str">
        <f>IF('(3).Midterm Exam'!G96="","",'(3).Midterm Exam'!G96)</f>
        <v/>
      </c>
      <c r="I96" s="128" t="str">
        <f>IF('(3).Midterm Exam'!H96="","",'(3).Midterm Exam'!H96)</f>
        <v/>
      </c>
      <c r="J96" s="128" t="str">
        <f>IF('(3).Midterm Exam'!I96="","",'(3).Midterm Exam'!I96)</f>
        <v/>
      </c>
      <c r="K96" s="128" t="str">
        <f>IF('(3).Midterm Exam'!J96="","",'(3).Midterm Exam'!J96)</f>
        <v/>
      </c>
      <c r="L96" s="128" t="str">
        <f>IF('(3).Midterm Exam'!K96="","",'(3).Midterm Exam'!K96)</f>
        <v/>
      </c>
      <c r="M96" s="128" t="str">
        <f>IF('(3).Midterm Exam'!L96="","",'(3).Midterm Exam'!L96)</f>
        <v/>
      </c>
      <c r="N96" s="129" t="str">
        <f>IF('(3).Midterm Exam'!M96="","",'(3).Midterm Exam'!M96)</f>
        <v/>
      </c>
      <c r="O96" s="130" t="str">
        <f>IF(B96="","",IF(D96="Incomplete","Incomplete",IF('(3).Midterm Exam'!N96="Change","Change",IF('(3).Midterm Exam'!N96="Stop","Stop",IF('(3).Midterm Exam'!N96="Incomplete","Incomplete",IF(COUNTBLANK(D96:N96)&gt;=1,"Incomplete",D96*20%+SUM(E96:N96)*80%))))))</f>
        <v/>
      </c>
    </row>
    <row r="97" spans="1:15" ht="15.95" customHeight="1">
      <c r="A97" s="66">
        <v>19</v>
      </c>
      <c r="B97" s="63" t="str">
        <f>IF('(3).Midterm Exam'!B97="","",'(3).Midterm Exam'!B97)</f>
        <v/>
      </c>
      <c r="C97" s="67" t="str">
        <f>IF('(3).Midterm Exam'!C97="","",'(3).Midterm Exam'!C97)</f>
        <v/>
      </c>
      <c r="D97" s="126" t="str">
        <f>IF('(2).Midterm Daily'!AH97="","",'(2).Midterm Daily'!AH97)</f>
        <v/>
      </c>
      <c r="E97" s="127" t="str">
        <f>IF('(3).Midterm Exam'!D97="","",'(3).Midterm Exam'!D97)</f>
        <v/>
      </c>
      <c r="F97" s="128" t="str">
        <f>IF('(3).Midterm Exam'!E97="","",'(3).Midterm Exam'!E97)</f>
        <v/>
      </c>
      <c r="G97" s="128" t="str">
        <f>IF('(3).Midterm Exam'!F97="","",'(3).Midterm Exam'!F97)</f>
        <v/>
      </c>
      <c r="H97" s="128" t="str">
        <f>IF('(3).Midterm Exam'!G97="","",'(3).Midterm Exam'!G97)</f>
        <v/>
      </c>
      <c r="I97" s="128" t="str">
        <f>IF('(3).Midterm Exam'!H97="","",'(3).Midterm Exam'!H97)</f>
        <v/>
      </c>
      <c r="J97" s="128" t="str">
        <f>IF('(3).Midterm Exam'!I97="","",'(3).Midterm Exam'!I97)</f>
        <v/>
      </c>
      <c r="K97" s="128" t="str">
        <f>IF('(3).Midterm Exam'!J97="","",'(3).Midterm Exam'!J97)</f>
        <v/>
      </c>
      <c r="L97" s="128" t="str">
        <f>IF('(3).Midterm Exam'!K97="","",'(3).Midterm Exam'!K97)</f>
        <v/>
      </c>
      <c r="M97" s="128" t="str">
        <f>IF('(3).Midterm Exam'!L97="","",'(3).Midterm Exam'!L97)</f>
        <v/>
      </c>
      <c r="N97" s="129" t="str">
        <f>IF('(3).Midterm Exam'!M97="","",'(3).Midterm Exam'!M97)</f>
        <v/>
      </c>
      <c r="O97" s="130" t="str">
        <f>IF(B97="","",IF(D97="Incomplete","Incomplete",IF('(3).Midterm Exam'!N97="Change","Change",IF('(3).Midterm Exam'!N97="Stop","Stop",IF('(3).Midterm Exam'!N97="Incomplete","Incomplete",IF(COUNTBLANK(D97:N97)&gt;=1,"Incomplete",D97*20%+SUM(E97:N97)*80%))))))</f>
        <v/>
      </c>
    </row>
    <row r="98" spans="1:15" ht="15.95" customHeight="1">
      <c r="A98" s="66">
        <v>20</v>
      </c>
      <c r="B98" s="63" t="str">
        <f>IF('(3).Midterm Exam'!B98="","",'(3).Midterm Exam'!B98)</f>
        <v/>
      </c>
      <c r="C98" s="67" t="str">
        <f>IF('(3).Midterm Exam'!C98="","",'(3).Midterm Exam'!C98)</f>
        <v/>
      </c>
      <c r="D98" s="126" t="str">
        <f>IF('(2).Midterm Daily'!AH98="","",'(2).Midterm Daily'!AH98)</f>
        <v/>
      </c>
      <c r="E98" s="127" t="str">
        <f>IF('(3).Midterm Exam'!D98="","",'(3).Midterm Exam'!D98)</f>
        <v/>
      </c>
      <c r="F98" s="128" t="str">
        <f>IF('(3).Midterm Exam'!E98="","",'(3).Midterm Exam'!E98)</f>
        <v/>
      </c>
      <c r="G98" s="128" t="str">
        <f>IF('(3).Midterm Exam'!F98="","",'(3).Midterm Exam'!F98)</f>
        <v/>
      </c>
      <c r="H98" s="128" t="str">
        <f>IF('(3).Midterm Exam'!G98="","",'(3).Midterm Exam'!G98)</f>
        <v/>
      </c>
      <c r="I98" s="128" t="str">
        <f>IF('(3).Midterm Exam'!H98="","",'(3).Midterm Exam'!H98)</f>
        <v/>
      </c>
      <c r="J98" s="128" t="str">
        <f>IF('(3).Midterm Exam'!I98="","",'(3).Midterm Exam'!I98)</f>
        <v/>
      </c>
      <c r="K98" s="128" t="str">
        <f>IF('(3).Midterm Exam'!J98="","",'(3).Midterm Exam'!J98)</f>
        <v/>
      </c>
      <c r="L98" s="128" t="str">
        <f>IF('(3).Midterm Exam'!K98="","",'(3).Midterm Exam'!K98)</f>
        <v/>
      </c>
      <c r="M98" s="128" t="str">
        <f>IF('(3).Midterm Exam'!L98="","",'(3).Midterm Exam'!L98)</f>
        <v/>
      </c>
      <c r="N98" s="129" t="str">
        <f>IF('(3).Midterm Exam'!M98="","",'(3).Midterm Exam'!M98)</f>
        <v/>
      </c>
      <c r="O98" s="130" t="str">
        <f>IF(B98="","",IF(D98="Incomplete","Incomplete",IF('(3).Midterm Exam'!N98="Change","Change",IF('(3).Midterm Exam'!N98="Stop","Stop",IF('(3).Midterm Exam'!N98="Incomplete","Incomplete",IF(COUNTBLANK(D98:N98)&gt;=1,"Incomplete",D98*20%+SUM(E98:N98)*80%))))))</f>
        <v/>
      </c>
    </row>
    <row r="99" spans="1:15" ht="15.95" customHeight="1">
      <c r="A99" s="66">
        <v>21</v>
      </c>
      <c r="B99" s="63" t="str">
        <f>IF('(3).Midterm Exam'!B99="","",'(3).Midterm Exam'!B99)</f>
        <v/>
      </c>
      <c r="C99" s="67" t="str">
        <f>IF('(3).Midterm Exam'!C99="","",'(3).Midterm Exam'!C99)</f>
        <v/>
      </c>
      <c r="D99" s="126" t="str">
        <f>IF('(2).Midterm Daily'!AH99="","",'(2).Midterm Daily'!AH99)</f>
        <v/>
      </c>
      <c r="E99" s="127" t="str">
        <f>IF('(3).Midterm Exam'!D99="","",'(3).Midterm Exam'!D99)</f>
        <v/>
      </c>
      <c r="F99" s="128" t="str">
        <f>IF('(3).Midterm Exam'!E99="","",'(3).Midterm Exam'!E99)</f>
        <v/>
      </c>
      <c r="G99" s="128" t="str">
        <f>IF('(3).Midterm Exam'!F99="","",'(3).Midterm Exam'!F99)</f>
        <v/>
      </c>
      <c r="H99" s="128" t="str">
        <f>IF('(3).Midterm Exam'!G99="","",'(3).Midterm Exam'!G99)</f>
        <v/>
      </c>
      <c r="I99" s="128" t="str">
        <f>IF('(3).Midterm Exam'!H99="","",'(3).Midterm Exam'!H99)</f>
        <v/>
      </c>
      <c r="J99" s="128" t="str">
        <f>IF('(3).Midterm Exam'!I99="","",'(3).Midterm Exam'!I99)</f>
        <v/>
      </c>
      <c r="K99" s="128" t="str">
        <f>IF('(3).Midterm Exam'!J99="","",'(3).Midterm Exam'!J99)</f>
        <v/>
      </c>
      <c r="L99" s="128" t="str">
        <f>IF('(3).Midterm Exam'!K99="","",'(3).Midterm Exam'!K99)</f>
        <v/>
      </c>
      <c r="M99" s="128" t="str">
        <f>IF('(3).Midterm Exam'!L99="","",'(3).Midterm Exam'!L99)</f>
        <v/>
      </c>
      <c r="N99" s="129" t="str">
        <f>IF('(3).Midterm Exam'!M99="","",'(3).Midterm Exam'!M99)</f>
        <v/>
      </c>
      <c r="O99" s="130" t="str">
        <f>IF(B99="","",IF(D99="Incomplete","Incomplete",IF('(3).Midterm Exam'!N99="Change","Change",IF('(3).Midterm Exam'!N99="Stop","Stop",IF('(3).Midterm Exam'!N99="Incomplete","Incomplete",IF(COUNTBLANK(D99:N99)&gt;=1,"Incomplete",D99*20%+SUM(E99:N99)*80%))))))</f>
        <v/>
      </c>
    </row>
    <row r="100" spans="1:15" ht="15.95" customHeight="1">
      <c r="A100" s="66">
        <v>22</v>
      </c>
      <c r="B100" s="63" t="str">
        <f>IF('(3).Midterm Exam'!B100="","",'(3).Midterm Exam'!B100)</f>
        <v/>
      </c>
      <c r="C100" s="67" t="str">
        <f>IF('(3).Midterm Exam'!C100="","",'(3).Midterm Exam'!C100)</f>
        <v/>
      </c>
      <c r="D100" s="126" t="str">
        <f>IF('(2).Midterm Daily'!AH100="","",'(2).Midterm Daily'!AH100)</f>
        <v/>
      </c>
      <c r="E100" s="127" t="str">
        <f>IF('(3).Midterm Exam'!D100="","",'(3).Midterm Exam'!D100)</f>
        <v/>
      </c>
      <c r="F100" s="128" t="str">
        <f>IF('(3).Midterm Exam'!E100="","",'(3).Midterm Exam'!E100)</f>
        <v/>
      </c>
      <c r="G100" s="128" t="str">
        <f>IF('(3).Midterm Exam'!F100="","",'(3).Midterm Exam'!F100)</f>
        <v/>
      </c>
      <c r="H100" s="128" t="str">
        <f>IF('(3).Midterm Exam'!G100="","",'(3).Midterm Exam'!G100)</f>
        <v/>
      </c>
      <c r="I100" s="128" t="str">
        <f>IF('(3).Midterm Exam'!H100="","",'(3).Midterm Exam'!H100)</f>
        <v/>
      </c>
      <c r="J100" s="128" t="str">
        <f>IF('(3).Midterm Exam'!I100="","",'(3).Midterm Exam'!I100)</f>
        <v/>
      </c>
      <c r="K100" s="128" t="str">
        <f>IF('(3).Midterm Exam'!J100="","",'(3).Midterm Exam'!J100)</f>
        <v/>
      </c>
      <c r="L100" s="128" t="str">
        <f>IF('(3).Midterm Exam'!K100="","",'(3).Midterm Exam'!K100)</f>
        <v/>
      </c>
      <c r="M100" s="128" t="str">
        <f>IF('(3).Midterm Exam'!L100="","",'(3).Midterm Exam'!L100)</f>
        <v/>
      </c>
      <c r="N100" s="129" t="str">
        <f>IF('(3).Midterm Exam'!M100="","",'(3).Midterm Exam'!M100)</f>
        <v/>
      </c>
      <c r="O100" s="130" t="str">
        <f>IF(B100="","",IF(D100="Incomplete","Incomplete",IF('(3).Midterm Exam'!N100="Change","Change",IF('(3).Midterm Exam'!N100="Stop","Stop",IF('(3).Midterm Exam'!N100="Incomplete","Incomplete",IF(COUNTBLANK(D100:N100)&gt;=1,"Incomplete",D100*20%+SUM(E100:N100)*80%))))))</f>
        <v/>
      </c>
    </row>
    <row r="101" spans="1:15" ht="15.95" customHeight="1">
      <c r="A101" s="66">
        <v>23</v>
      </c>
      <c r="B101" s="63" t="str">
        <f>IF('(3).Midterm Exam'!B101="","",'(3).Midterm Exam'!B101)</f>
        <v/>
      </c>
      <c r="C101" s="67" t="str">
        <f>IF('(3).Midterm Exam'!C101="","",'(3).Midterm Exam'!C101)</f>
        <v/>
      </c>
      <c r="D101" s="126" t="str">
        <f>IF('(2).Midterm Daily'!AH101="","",'(2).Midterm Daily'!AH101)</f>
        <v/>
      </c>
      <c r="E101" s="127" t="str">
        <f>IF('(3).Midterm Exam'!D101="","",'(3).Midterm Exam'!D101)</f>
        <v/>
      </c>
      <c r="F101" s="128" t="str">
        <f>IF('(3).Midterm Exam'!E101="","",'(3).Midterm Exam'!E101)</f>
        <v/>
      </c>
      <c r="G101" s="128" t="str">
        <f>IF('(3).Midterm Exam'!F101="","",'(3).Midterm Exam'!F101)</f>
        <v/>
      </c>
      <c r="H101" s="128" t="str">
        <f>IF('(3).Midterm Exam'!G101="","",'(3).Midterm Exam'!G101)</f>
        <v/>
      </c>
      <c r="I101" s="128" t="str">
        <f>IF('(3).Midterm Exam'!H101="","",'(3).Midterm Exam'!H101)</f>
        <v/>
      </c>
      <c r="J101" s="128" t="str">
        <f>IF('(3).Midterm Exam'!I101="","",'(3).Midterm Exam'!I101)</f>
        <v/>
      </c>
      <c r="K101" s="128" t="str">
        <f>IF('(3).Midterm Exam'!J101="","",'(3).Midterm Exam'!J101)</f>
        <v/>
      </c>
      <c r="L101" s="128" t="str">
        <f>IF('(3).Midterm Exam'!K101="","",'(3).Midterm Exam'!K101)</f>
        <v/>
      </c>
      <c r="M101" s="128" t="str">
        <f>IF('(3).Midterm Exam'!L101="","",'(3).Midterm Exam'!L101)</f>
        <v/>
      </c>
      <c r="N101" s="129" t="str">
        <f>IF('(3).Midterm Exam'!M101="","",'(3).Midterm Exam'!M101)</f>
        <v/>
      </c>
      <c r="O101" s="130" t="str">
        <f>IF(B101="","",IF(D101="Incomplete","Incomplete",IF('(3).Midterm Exam'!N101="Change","Change",IF('(3).Midterm Exam'!N101="Stop","Stop",IF('(3).Midterm Exam'!N101="Incomplete","Incomplete",IF(COUNTBLANK(D101:N101)&gt;=1,"Incomplete",D101*20%+SUM(E101:N101)*80%))))))</f>
        <v/>
      </c>
    </row>
    <row r="102" spans="1:15" ht="15.95" customHeight="1">
      <c r="A102" s="66">
        <v>24</v>
      </c>
      <c r="B102" s="63" t="str">
        <f>IF('(3).Midterm Exam'!B102="","",'(3).Midterm Exam'!B102)</f>
        <v/>
      </c>
      <c r="C102" s="67" t="str">
        <f>IF('(3).Midterm Exam'!C102="","",'(3).Midterm Exam'!C102)</f>
        <v/>
      </c>
      <c r="D102" s="126" t="str">
        <f>IF('(2).Midterm Daily'!AH102="","",'(2).Midterm Daily'!AH102)</f>
        <v/>
      </c>
      <c r="E102" s="127" t="str">
        <f>IF('(3).Midterm Exam'!D102="","",'(3).Midterm Exam'!D102)</f>
        <v/>
      </c>
      <c r="F102" s="128" t="str">
        <f>IF('(3).Midterm Exam'!E102="","",'(3).Midterm Exam'!E102)</f>
        <v/>
      </c>
      <c r="G102" s="128" t="str">
        <f>IF('(3).Midterm Exam'!F102="","",'(3).Midterm Exam'!F102)</f>
        <v/>
      </c>
      <c r="H102" s="128" t="str">
        <f>IF('(3).Midterm Exam'!G102="","",'(3).Midterm Exam'!G102)</f>
        <v/>
      </c>
      <c r="I102" s="128" t="str">
        <f>IF('(3).Midterm Exam'!H102="","",'(3).Midterm Exam'!H102)</f>
        <v/>
      </c>
      <c r="J102" s="128" t="str">
        <f>IF('(3).Midterm Exam'!I102="","",'(3).Midterm Exam'!I102)</f>
        <v/>
      </c>
      <c r="K102" s="128" t="str">
        <f>IF('(3).Midterm Exam'!J102="","",'(3).Midterm Exam'!J102)</f>
        <v/>
      </c>
      <c r="L102" s="128" t="str">
        <f>IF('(3).Midterm Exam'!K102="","",'(3).Midterm Exam'!K102)</f>
        <v/>
      </c>
      <c r="M102" s="128" t="str">
        <f>IF('(3).Midterm Exam'!L102="","",'(3).Midterm Exam'!L102)</f>
        <v/>
      </c>
      <c r="N102" s="129" t="str">
        <f>IF('(3).Midterm Exam'!M102="","",'(3).Midterm Exam'!M102)</f>
        <v/>
      </c>
      <c r="O102" s="130" t="str">
        <f>IF(B102="","",IF(D102="Incomplete","Incomplete",IF('(3).Midterm Exam'!N102="Change","Change",IF('(3).Midterm Exam'!N102="Stop","Stop",IF('(3).Midterm Exam'!N102="Incomplete","Incomplete",IF(COUNTBLANK(D102:N102)&gt;=1,"Incomplete",D102*20%+SUM(E102:N102)*80%))))))</f>
        <v/>
      </c>
    </row>
    <row r="103" spans="1:15" ht="15.95" customHeight="1">
      <c r="A103" s="66">
        <v>25</v>
      </c>
      <c r="B103" s="63" t="str">
        <f>IF('(3).Midterm Exam'!B103="","",'(3).Midterm Exam'!B103)</f>
        <v/>
      </c>
      <c r="C103" s="67" t="str">
        <f>IF('(3).Midterm Exam'!C103="","",'(3).Midterm Exam'!C103)</f>
        <v/>
      </c>
      <c r="D103" s="126" t="str">
        <f>IF('(2).Midterm Daily'!AH103="","",'(2).Midterm Daily'!AH103)</f>
        <v/>
      </c>
      <c r="E103" s="127" t="str">
        <f>IF('(3).Midterm Exam'!D103="","",'(3).Midterm Exam'!D103)</f>
        <v/>
      </c>
      <c r="F103" s="128" t="str">
        <f>IF('(3).Midterm Exam'!E103="","",'(3).Midterm Exam'!E103)</f>
        <v/>
      </c>
      <c r="G103" s="128" t="str">
        <f>IF('(3).Midterm Exam'!F103="","",'(3).Midterm Exam'!F103)</f>
        <v/>
      </c>
      <c r="H103" s="128" t="str">
        <f>IF('(3).Midterm Exam'!G103="","",'(3).Midterm Exam'!G103)</f>
        <v/>
      </c>
      <c r="I103" s="128" t="str">
        <f>IF('(3).Midterm Exam'!H103="","",'(3).Midterm Exam'!H103)</f>
        <v/>
      </c>
      <c r="J103" s="128" t="str">
        <f>IF('(3).Midterm Exam'!I103="","",'(3).Midterm Exam'!I103)</f>
        <v/>
      </c>
      <c r="K103" s="128" t="str">
        <f>IF('(3).Midterm Exam'!J103="","",'(3).Midterm Exam'!J103)</f>
        <v/>
      </c>
      <c r="L103" s="128" t="str">
        <f>IF('(3).Midterm Exam'!K103="","",'(3).Midterm Exam'!K103)</f>
        <v/>
      </c>
      <c r="M103" s="128" t="str">
        <f>IF('(3).Midterm Exam'!L103="","",'(3).Midterm Exam'!L103)</f>
        <v/>
      </c>
      <c r="N103" s="129" t="str">
        <f>IF('(3).Midterm Exam'!M103="","",'(3).Midterm Exam'!M103)</f>
        <v/>
      </c>
      <c r="O103" s="130" t="str">
        <f>IF(B103="","",IF(D103="Incomplete","Incomplete",IF('(3).Midterm Exam'!N103="Change","Change",IF('(3).Midterm Exam'!N103="Stop","Stop",IF('(3).Midterm Exam'!N103="Incomplete","Incomplete",IF(COUNTBLANK(D103:N103)&gt;=1,"Incomplete",D103*20%+SUM(E103:N103)*80%))))))</f>
        <v/>
      </c>
    </row>
    <row r="104" spans="1:15" ht="15.95" customHeight="1">
      <c r="A104" s="66">
        <v>26</v>
      </c>
      <c r="B104" s="63" t="str">
        <f>IF('(3).Midterm Exam'!B104="","",'(3).Midterm Exam'!B104)</f>
        <v/>
      </c>
      <c r="C104" s="67" t="str">
        <f>IF('(3).Midterm Exam'!C104="","",'(3).Midterm Exam'!C104)</f>
        <v/>
      </c>
      <c r="D104" s="126" t="str">
        <f>IF('(2).Midterm Daily'!AH104="","",'(2).Midterm Daily'!AH104)</f>
        <v/>
      </c>
      <c r="E104" s="127" t="str">
        <f>IF('(3).Midterm Exam'!D104="","",'(3).Midterm Exam'!D104)</f>
        <v/>
      </c>
      <c r="F104" s="128" t="str">
        <f>IF('(3).Midterm Exam'!E104="","",'(3).Midterm Exam'!E104)</f>
        <v/>
      </c>
      <c r="G104" s="128" t="str">
        <f>IF('(3).Midterm Exam'!F104="","",'(3).Midterm Exam'!F104)</f>
        <v/>
      </c>
      <c r="H104" s="128" t="str">
        <f>IF('(3).Midterm Exam'!G104="","",'(3).Midterm Exam'!G104)</f>
        <v/>
      </c>
      <c r="I104" s="128" t="str">
        <f>IF('(3).Midterm Exam'!H104="","",'(3).Midterm Exam'!H104)</f>
        <v/>
      </c>
      <c r="J104" s="128" t="str">
        <f>IF('(3).Midterm Exam'!I104="","",'(3).Midterm Exam'!I104)</f>
        <v/>
      </c>
      <c r="K104" s="128" t="str">
        <f>IF('(3).Midterm Exam'!J104="","",'(3).Midterm Exam'!J104)</f>
        <v/>
      </c>
      <c r="L104" s="128" t="str">
        <f>IF('(3).Midterm Exam'!K104="","",'(3).Midterm Exam'!K104)</f>
        <v/>
      </c>
      <c r="M104" s="128" t="str">
        <f>IF('(3).Midterm Exam'!L104="","",'(3).Midterm Exam'!L104)</f>
        <v/>
      </c>
      <c r="N104" s="129" t="str">
        <f>IF('(3).Midterm Exam'!M104="","",'(3).Midterm Exam'!M104)</f>
        <v/>
      </c>
      <c r="O104" s="130" t="str">
        <f>IF(B104="","",IF(D104="Incomplete","Incomplete",IF('(3).Midterm Exam'!N104="Change","Change",IF('(3).Midterm Exam'!N104="Stop","Stop",IF('(3).Midterm Exam'!N104="Incomplete","Incomplete",IF(COUNTBLANK(D104:N104)&gt;=1,"Incomplete",D104*20%+SUM(E104:N104)*80%))))))</f>
        <v/>
      </c>
    </row>
    <row r="105" spans="1:15" ht="15.95" customHeight="1">
      <c r="A105" s="66">
        <v>27</v>
      </c>
      <c r="B105" s="63" t="str">
        <f>IF('(3).Midterm Exam'!B105="","",'(3).Midterm Exam'!B105)</f>
        <v/>
      </c>
      <c r="C105" s="67" t="str">
        <f>IF('(3).Midterm Exam'!C105="","",'(3).Midterm Exam'!C105)</f>
        <v/>
      </c>
      <c r="D105" s="126" t="str">
        <f>IF('(2).Midterm Daily'!AH105="","",'(2).Midterm Daily'!AH105)</f>
        <v/>
      </c>
      <c r="E105" s="127" t="str">
        <f>IF('(3).Midterm Exam'!D105="","",'(3).Midterm Exam'!D105)</f>
        <v/>
      </c>
      <c r="F105" s="128" t="str">
        <f>IF('(3).Midterm Exam'!E105="","",'(3).Midterm Exam'!E105)</f>
        <v/>
      </c>
      <c r="G105" s="128" t="str">
        <f>IF('(3).Midterm Exam'!F105="","",'(3).Midterm Exam'!F105)</f>
        <v/>
      </c>
      <c r="H105" s="128" t="str">
        <f>IF('(3).Midterm Exam'!G105="","",'(3).Midterm Exam'!G105)</f>
        <v/>
      </c>
      <c r="I105" s="128" t="str">
        <f>IF('(3).Midterm Exam'!H105="","",'(3).Midterm Exam'!H105)</f>
        <v/>
      </c>
      <c r="J105" s="128" t="str">
        <f>IF('(3).Midterm Exam'!I105="","",'(3).Midterm Exam'!I105)</f>
        <v/>
      </c>
      <c r="K105" s="128" t="str">
        <f>IF('(3).Midterm Exam'!J105="","",'(3).Midterm Exam'!J105)</f>
        <v/>
      </c>
      <c r="L105" s="128" t="str">
        <f>IF('(3).Midterm Exam'!K105="","",'(3).Midterm Exam'!K105)</f>
        <v/>
      </c>
      <c r="M105" s="128" t="str">
        <f>IF('(3).Midterm Exam'!L105="","",'(3).Midterm Exam'!L105)</f>
        <v/>
      </c>
      <c r="N105" s="129" t="str">
        <f>IF('(3).Midterm Exam'!M105="","",'(3).Midterm Exam'!M105)</f>
        <v/>
      </c>
      <c r="O105" s="130" t="str">
        <f>IF(B105="","",IF(D105="Incomplete","Incomplete",IF('(3).Midterm Exam'!N105="Change","Change",IF('(3).Midterm Exam'!N105="Stop","Stop",IF('(3).Midterm Exam'!N105="Incomplete","Incomplete",IF(COUNTBLANK(D105:N105)&gt;=1,"Incomplete",D105*20%+SUM(E105:N105)*80%))))))</f>
        <v/>
      </c>
    </row>
    <row r="106" spans="1:15" ht="15.95" customHeight="1">
      <c r="A106" s="66">
        <v>28</v>
      </c>
      <c r="B106" s="63" t="str">
        <f>IF('(3).Midterm Exam'!B106="","",'(3).Midterm Exam'!B106)</f>
        <v/>
      </c>
      <c r="C106" s="67" t="str">
        <f>IF('(3).Midterm Exam'!C106="","",'(3).Midterm Exam'!C106)</f>
        <v/>
      </c>
      <c r="D106" s="126" t="str">
        <f>IF('(2).Midterm Daily'!AH106="","",'(2).Midterm Daily'!AH106)</f>
        <v/>
      </c>
      <c r="E106" s="127" t="str">
        <f>IF('(3).Midterm Exam'!D106="","",'(3).Midterm Exam'!D106)</f>
        <v/>
      </c>
      <c r="F106" s="128" t="str">
        <f>IF('(3).Midterm Exam'!E106="","",'(3).Midterm Exam'!E106)</f>
        <v/>
      </c>
      <c r="G106" s="128" t="str">
        <f>IF('(3).Midterm Exam'!F106="","",'(3).Midterm Exam'!F106)</f>
        <v/>
      </c>
      <c r="H106" s="128" t="str">
        <f>IF('(3).Midterm Exam'!G106="","",'(3).Midterm Exam'!G106)</f>
        <v/>
      </c>
      <c r="I106" s="128" t="str">
        <f>IF('(3).Midterm Exam'!H106="","",'(3).Midterm Exam'!H106)</f>
        <v/>
      </c>
      <c r="J106" s="128" t="str">
        <f>IF('(3).Midterm Exam'!I106="","",'(3).Midterm Exam'!I106)</f>
        <v/>
      </c>
      <c r="K106" s="128" t="str">
        <f>IF('(3).Midterm Exam'!J106="","",'(3).Midterm Exam'!J106)</f>
        <v/>
      </c>
      <c r="L106" s="128" t="str">
        <f>IF('(3).Midterm Exam'!K106="","",'(3).Midterm Exam'!K106)</f>
        <v/>
      </c>
      <c r="M106" s="128" t="str">
        <f>IF('(3).Midterm Exam'!L106="","",'(3).Midterm Exam'!L106)</f>
        <v/>
      </c>
      <c r="N106" s="129" t="str">
        <f>IF('(3).Midterm Exam'!M106="","",'(3).Midterm Exam'!M106)</f>
        <v/>
      </c>
      <c r="O106" s="130" t="str">
        <f>IF(B106="","",IF(D106="Incomplete","Incomplete",IF('(3).Midterm Exam'!N106="Change","Change",IF('(3).Midterm Exam'!N106="Stop","Stop",IF('(3).Midterm Exam'!N106="Incomplete","Incomplete",IF(COUNTBLANK(D106:N106)&gt;=1,"Incomplete",D106*20%+SUM(E106:N106)*80%))))))</f>
        <v/>
      </c>
    </row>
    <row r="107" spans="1:15" ht="15.95" customHeight="1">
      <c r="A107" s="66">
        <v>29</v>
      </c>
      <c r="B107" s="63" t="str">
        <f>IF('(3).Midterm Exam'!B107="","",'(3).Midterm Exam'!B107)</f>
        <v/>
      </c>
      <c r="C107" s="67" t="str">
        <f>IF('(3).Midterm Exam'!C107="","",'(3).Midterm Exam'!C107)</f>
        <v/>
      </c>
      <c r="D107" s="126" t="str">
        <f>IF('(2).Midterm Daily'!AH107="","",'(2).Midterm Daily'!AH107)</f>
        <v/>
      </c>
      <c r="E107" s="127" t="str">
        <f>IF('(3).Midterm Exam'!D107="","",'(3).Midterm Exam'!D107)</f>
        <v/>
      </c>
      <c r="F107" s="128" t="str">
        <f>IF('(3).Midterm Exam'!E107="","",'(3).Midterm Exam'!E107)</f>
        <v/>
      </c>
      <c r="G107" s="128" t="str">
        <f>IF('(3).Midterm Exam'!F107="","",'(3).Midterm Exam'!F107)</f>
        <v/>
      </c>
      <c r="H107" s="128" t="str">
        <f>IF('(3).Midterm Exam'!G107="","",'(3).Midterm Exam'!G107)</f>
        <v/>
      </c>
      <c r="I107" s="128" t="str">
        <f>IF('(3).Midterm Exam'!H107="","",'(3).Midterm Exam'!H107)</f>
        <v/>
      </c>
      <c r="J107" s="128" t="str">
        <f>IF('(3).Midterm Exam'!I107="","",'(3).Midterm Exam'!I107)</f>
        <v/>
      </c>
      <c r="K107" s="128" t="str">
        <f>IF('(3).Midterm Exam'!J107="","",'(3).Midterm Exam'!J107)</f>
        <v/>
      </c>
      <c r="L107" s="128" t="str">
        <f>IF('(3).Midterm Exam'!K107="","",'(3).Midterm Exam'!K107)</f>
        <v/>
      </c>
      <c r="M107" s="128" t="str">
        <f>IF('(3).Midterm Exam'!L107="","",'(3).Midterm Exam'!L107)</f>
        <v/>
      </c>
      <c r="N107" s="129" t="str">
        <f>IF('(3).Midterm Exam'!M107="","",'(3).Midterm Exam'!M107)</f>
        <v/>
      </c>
      <c r="O107" s="130" t="str">
        <f>IF(B107="","",IF(D107="Incomplete","Incomplete",IF('(3).Midterm Exam'!N107="Change","Change",IF('(3).Midterm Exam'!N107="Stop","Stop",IF('(3).Midterm Exam'!N107="Incomplete","Incomplete",IF(COUNTBLANK(D107:N107)&gt;=1,"Incomplete",D107*20%+SUM(E107:N107)*80%))))))</f>
        <v/>
      </c>
    </row>
    <row r="108" spans="1:15" ht="15.95" customHeight="1">
      <c r="A108" s="66">
        <v>30</v>
      </c>
      <c r="B108" s="63" t="str">
        <f>IF('(3).Midterm Exam'!B108="","",'(3).Midterm Exam'!B108)</f>
        <v/>
      </c>
      <c r="C108" s="67" t="str">
        <f>IF('(3).Midterm Exam'!C108="","",'(3).Midterm Exam'!C108)</f>
        <v/>
      </c>
      <c r="D108" s="126" t="str">
        <f>IF('(2).Midterm Daily'!AH108="","",'(2).Midterm Daily'!AH108)</f>
        <v/>
      </c>
      <c r="E108" s="127" t="str">
        <f>IF('(3).Midterm Exam'!D108="","",'(3).Midterm Exam'!D108)</f>
        <v/>
      </c>
      <c r="F108" s="128" t="str">
        <f>IF('(3).Midterm Exam'!E108="","",'(3).Midterm Exam'!E108)</f>
        <v/>
      </c>
      <c r="G108" s="128" t="str">
        <f>IF('(3).Midterm Exam'!F108="","",'(3).Midterm Exam'!F108)</f>
        <v/>
      </c>
      <c r="H108" s="128" t="str">
        <f>IF('(3).Midterm Exam'!G108="","",'(3).Midterm Exam'!G108)</f>
        <v/>
      </c>
      <c r="I108" s="128" t="str">
        <f>IF('(3).Midterm Exam'!H108="","",'(3).Midterm Exam'!H108)</f>
        <v/>
      </c>
      <c r="J108" s="128" t="str">
        <f>IF('(3).Midterm Exam'!I108="","",'(3).Midterm Exam'!I108)</f>
        <v/>
      </c>
      <c r="K108" s="128" t="str">
        <f>IF('(3).Midterm Exam'!J108="","",'(3).Midterm Exam'!J108)</f>
        <v/>
      </c>
      <c r="L108" s="128" t="str">
        <f>IF('(3).Midterm Exam'!K108="","",'(3).Midterm Exam'!K108)</f>
        <v/>
      </c>
      <c r="M108" s="128" t="str">
        <f>IF('(3).Midterm Exam'!L108="","",'(3).Midterm Exam'!L108)</f>
        <v/>
      </c>
      <c r="N108" s="129" t="str">
        <f>IF('(3).Midterm Exam'!M108="","",'(3).Midterm Exam'!M108)</f>
        <v/>
      </c>
      <c r="O108" s="130" t="str">
        <f>IF(B108="","",IF(D108="Incomplete","Incomplete",IF('(3).Midterm Exam'!N108="Change","Change",IF('(3).Midterm Exam'!N108="Stop","Stop",IF('(3).Midterm Exam'!N108="Incomplete","Incomplete",IF(COUNTBLANK(D108:N108)&gt;=1,"Incomplete",D108*20%+SUM(E108:N108)*80%))))))</f>
        <v/>
      </c>
    </row>
    <row r="109" spans="1:15" ht="15.95" customHeight="1">
      <c r="A109" s="18" t="s">
        <v>0</v>
      </c>
      <c r="B109" s="19">
        <f>'(3).Midterm Exam'!B109</f>
        <v>0</v>
      </c>
      <c r="C109" s="60"/>
      <c r="D109" s="225" t="s">
        <v>94</v>
      </c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</row>
    <row r="110" spans="1:15" ht="15.95" customHeight="1">
      <c r="A110" s="18" t="s">
        <v>1</v>
      </c>
      <c r="B110" s="19">
        <f>'(3).Midterm Exam'!B110</f>
        <v>0</v>
      </c>
      <c r="C110" s="60"/>
      <c r="D110" s="225" t="str">
        <f>'(3).Midterm Exam'!D111</f>
        <v>FEBRUARY - JULY 2026</v>
      </c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</row>
    <row r="111" spans="1:15" ht="15.95" customHeight="1">
      <c r="A111" s="18" t="s">
        <v>2</v>
      </c>
      <c r="B111" s="19">
        <f>'(3).Midterm Exam'!B111</f>
        <v>0</v>
      </c>
      <c r="C111" s="60"/>
      <c r="D111" s="226" t="s">
        <v>30</v>
      </c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</row>
    <row r="112" spans="1:15" ht="15.95" customHeight="1">
      <c r="A112" s="18" t="s">
        <v>3</v>
      </c>
      <c r="B112" s="19">
        <f>'(3).Midterm Exam'!B112</f>
        <v>0</v>
      </c>
      <c r="C112" s="60"/>
      <c r="D112" s="117" t="s">
        <v>14</v>
      </c>
      <c r="E112" s="227" t="s">
        <v>93</v>
      </c>
      <c r="F112" s="228"/>
      <c r="G112" s="228"/>
      <c r="H112" s="228"/>
      <c r="I112" s="228"/>
      <c r="J112" s="228"/>
      <c r="K112" s="228"/>
      <c r="L112" s="228"/>
      <c r="M112" s="228"/>
      <c r="N112" s="229"/>
      <c r="O112" s="118" t="s">
        <v>16</v>
      </c>
    </row>
    <row r="113" spans="1:15" ht="15.95" customHeight="1">
      <c r="A113" s="18" t="s">
        <v>4</v>
      </c>
      <c r="B113" s="19">
        <f>'(3).Midterm Exam'!B113</f>
        <v>0</v>
      </c>
      <c r="C113" s="60"/>
      <c r="D113" s="119" t="s">
        <v>15</v>
      </c>
      <c r="E113" s="112" t="str">
        <f>IF(OR($B110="K5",$B110="K6",$B110="K7",$B110="K8",$B110="K9",$B110="K10"),"Listening","Up-Low C")</f>
        <v>Up-Low C</v>
      </c>
      <c r="F113" s="112" t="str">
        <f>IF(OR($B110="K5",$B110="K6",$B110="K7",$B110="K8",$B110="K9",$B110="K10"),"Speaking","Alphabet N")</f>
        <v>Alphabet N</v>
      </c>
      <c r="G113" s="112" t="str">
        <f>IF(OR($B110="K5",$B110="K6",$B110="K7",$B110="K8",$B110="K9",$B110="K10"),"Reading","Alphabet S")</f>
        <v>Alphabet S</v>
      </c>
      <c r="H113" s="112" t="str">
        <f>IF(OR($B110="K5",$B110="K6",$B110="K7",$B110="K8",$B110="K9",$B110="K10"),"Writing","Vocabulary")</f>
        <v>Vocabulary</v>
      </c>
      <c r="I113" s="112" t="str">
        <f>IF(OR($B110="K5",$B110="K6",$B110="K7",$B110="K8",$B110="K9",$B110="K10"),"Grammar","Sprouts")</f>
        <v>Sprouts</v>
      </c>
      <c r="J113" s="112" t="str">
        <f>IF(OR($B110="K5",$B110="K6",$B110="K7",$B110="K8",$B110="K9",$B110="K10"),"Vocabulary","Phonics")</f>
        <v>Phonics</v>
      </c>
      <c r="K113" s="112" t="str">
        <f>IF(OR($B110="K5",$B110="K6",$B110="K7",$B110="K8",$B110="K9",$B110="K10"),"Roots","Math")</f>
        <v>Math</v>
      </c>
      <c r="L113" s="112" t="str">
        <f>IF(OR($B110="K5",$B110="K6",$B110="K7",$B110="K8",$B110="K9",$B110="K10"),"Phonics","Shape")</f>
        <v>Shape</v>
      </c>
      <c r="M113" s="112" t="str">
        <f>IF(OR($B110="K5",$B110="K6",$B110="K7",$B110="K8",$B110="K9",$B110="K10"),"Math","Science")</f>
        <v>Science</v>
      </c>
      <c r="N113" s="112" t="str">
        <f>IF(OR($B110="K5",$B110="K6",$B110="K7",$B110="K8",$B110="K9",$B110="K10"),"Science","Tracing")</f>
        <v>Tracing</v>
      </c>
      <c r="O113" s="120" t="s">
        <v>17</v>
      </c>
    </row>
    <row r="114" spans="1:15" ht="15.95" customHeight="1" thickBot="1">
      <c r="A114" s="82" t="s">
        <v>5</v>
      </c>
      <c r="B114" s="83" t="s">
        <v>6</v>
      </c>
      <c r="C114" s="84" t="s">
        <v>7</v>
      </c>
      <c r="D114" s="113" t="s">
        <v>92</v>
      </c>
      <c r="E114" s="113" t="s">
        <v>9</v>
      </c>
      <c r="F114" s="113" t="s">
        <v>9</v>
      </c>
      <c r="G114" s="113" t="s">
        <v>9</v>
      </c>
      <c r="H114" s="113" t="s">
        <v>9</v>
      </c>
      <c r="I114" s="113" t="s">
        <v>9</v>
      </c>
      <c r="J114" s="113" t="s">
        <v>9</v>
      </c>
      <c r="K114" s="113" t="s">
        <v>9</v>
      </c>
      <c r="L114" s="113" t="s">
        <v>9</v>
      </c>
      <c r="M114" s="113" t="s">
        <v>9</v>
      </c>
      <c r="N114" s="113" t="s">
        <v>9</v>
      </c>
      <c r="O114" s="113" t="s">
        <v>92</v>
      </c>
    </row>
    <row r="115" spans="1:15" ht="15.95" customHeight="1">
      <c r="A115" s="78">
        <v>1</v>
      </c>
      <c r="B115" s="68" t="str">
        <f>IF('(3).Midterm Exam'!B115="","",'(3).Midterm Exam'!B115)</f>
        <v/>
      </c>
      <c r="C115" s="79" t="str">
        <f>IF('(3).Midterm Exam'!C115="","",'(3).Midterm Exam'!C115)</f>
        <v/>
      </c>
      <c r="D115" s="121" t="str">
        <f>IF('(2).Midterm Daily'!AH115="","",'(2).Midterm Daily'!AH115)</f>
        <v/>
      </c>
      <c r="E115" s="122" t="str">
        <f>IF('(3).Midterm Exam'!D115="","",'(3).Midterm Exam'!D115)</f>
        <v/>
      </c>
      <c r="F115" s="123" t="str">
        <f>IF('(3).Midterm Exam'!E115="","",'(3).Midterm Exam'!E115)</f>
        <v/>
      </c>
      <c r="G115" s="123" t="str">
        <f>IF('(3).Midterm Exam'!F115="","",'(3).Midterm Exam'!F115)</f>
        <v/>
      </c>
      <c r="H115" s="123" t="str">
        <f>IF('(3).Midterm Exam'!G115="","",'(3).Midterm Exam'!G115)</f>
        <v/>
      </c>
      <c r="I115" s="123" t="str">
        <f>IF('(3).Midterm Exam'!H115="","",'(3).Midterm Exam'!H115)</f>
        <v/>
      </c>
      <c r="J115" s="123" t="str">
        <f>IF('(3).Midterm Exam'!I115="","",'(3).Midterm Exam'!I115)</f>
        <v/>
      </c>
      <c r="K115" s="123" t="str">
        <f>IF('(3).Midterm Exam'!J115="","",'(3).Midterm Exam'!J115)</f>
        <v/>
      </c>
      <c r="L115" s="123" t="str">
        <f>IF('(3).Midterm Exam'!K115="","",'(3).Midterm Exam'!K115)</f>
        <v/>
      </c>
      <c r="M115" s="123" t="str">
        <f>IF('(3).Midterm Exam'!L115="","",'(3).Midterm Exam'!L115)</f>
        <v/>
      </c>
      <c r="N115" s="124" t="str">
        <f>IF('(3).Midterm Exam'!M115="","",'(3).Midterm Exam'!M115)</f>
        <v/>
      </c>
      <c r="O115" s="125" t="str">
        <f>IF(B115="","",IF(D115="Incomplete","Incomplete",IF('(3).Midterm Exam'!N115="Change","Change",IF('(3).Midterm Exam'!N115="Stop","Stop",IF('(3).Midterm Exam'!N115="Incomplete","Incomplete",IF(COUNTBLANK(D115:N115)&gt;=1,"Incomplete",D115*20%+SUM(E115:N115)*80%))))))</f>
        <v/>
      </c>
    </row>
    <row r="116" spans="1:15" ht="15.95" customHeight="1">
      <c r="A116" s="66">
        <v>2</v>
      </c>
      <c r="B116" s="63" t="str">
        <f>IF('(3).Midterm Exam'!B116="","",'(3).Midterm Exam'!B116)</f>
        <v/>
      </c>
      <c r="C116" s="67" t="str">
        <f>IF('(3).Midterm Exam'!C116="","",'(3).Midterm Exam'!C116)</f>
        <v/>
      </c>
      <c r="D116" s="126" t="str">
        <f>IF('(2).Midterm Daily'!AH116="","",'(2).Midterm Daily'!AH116)</f>
        <v/>
      </c>
      <c r="E116" s="127" t="str">
        <f>IF('(3).Midterm Exam'!D116="","",'(3).Midterm Exam'!D116)</f>
        <v/>
      </c>
      <c r="F116" s="128" t="str">
        <f>IF('(3).Midterm Exam'!E116="","",'(3).Midterm Exam'!E116)</f>
        <v/>
      </c>
      <c r="G116" s="128" t="str">
        <f>IF('(3).Midterm Exam'!F116="","",'(3).Midterm Exam'!F116)</f>
        <v/>
      </c>
      <c r="H116" s="128" t="str">
        <f>IF('(3).Midterm Exam'!G116="","",'(3).Midterm Exam'!G116)</f>
        <v/>
      </c>
      <c r="I116" s="128" t="str">
        <f>IF('(3).Midterm Exam'!H116="","",'(3).Midterm Exam'!H116)</f>
        <v/>
      </c>
      <c r="J116" s="128" t="str">
        <f>IF('(3).Midterm Exam'!I116="","",'(3).Midterm Exam'!I116)</f>
        <v/>
      </c>
      <c r="K116" s="128" t="str">
        <f>IF('(3).Midterm Exam'!J116="","",'(3).Midterm Exam'!J116)</f>
        <v/>
      </c>
      <c r="L116" s="128" t="str">
        <f>IF('(3).Midterm Exam'!K116="","",'(3).Midterm Exam'!K116)</f>
        <v/>
      </c>
      <c r="M116" s="128" t="str">
        <f>IF('(3).Midterm Exam'!L116="","",'(3).Midterm Exam'!L116)</f>
        <v/>
      </c>
      <c r="N116" s="129" t="str">
        <f>IF('(3).Midterm Exam'!M116="","",'(3).Midterm Exam'!M116)</f>
        <v/>
      </c>
      <c r="O116" s="130" t="str">
        <f>IF(B116="","",IF(D116="Incomplete","Incomplete",IF('(3).Midterm Exam'!N116="Change","Change",IF('(3).Midterm Exam'!N116="Stop","Stop",IF('(3).Midterm Exam'!N116="Incomplete","Incomplete",IF(COUNTBLANK(D116:N116)&gt;=1,"Incomplete",D116*20%+SUM(E116:N116)*80%))))))</f>
        <v/>
      </c>
    </row>
    <row r="117" spans="1:15" ht="15.95" customHeight="1">
      <c r="A117" s="66">
        <v>3</v>
      </c>
      <c r="B117" s="63" t="str">
        <f>IF('(3).Midterm Exam'!B117="","",'(3).Midterm Exam'!B117)</f>
        <v/>
      </c>
      <c r="C117" s="67" t="str">
        <f>IF('(3).Midterm Exam'!C117="","",'(3).Midterm Exam'!C117)</f>
        <v/>
      </c>
      <c r="D117" s="126" t="str">
        <f>IF('(2).Midterm Daily'!AH117="","",'(2).Midterm Daily'!AH117)</f>
        <v/>
      </c>
      <c r="E117" s="127" t="str">
        <f>IF('(3).Midterm Exam'!D117="","",'(3).Midterm Exam'!D117)</f>
        <v/>
      </c>
      <c r="F117" s="128" t="str">
        <f>IF('(3).Midterm Exam'!E117="","",'(3).Midterm Exam'!E117)</f>
        <v/>
      </c>
      <c r="G117" s="128" t="str">
        <f>IF('(3).Midterm Exam'!F117="","",'(3).Midterm Exam'!F117)</f>
        <v/>
      </c>
      <c r="H117" s="128" t="str">
        <f>IF('(3).Midterm Exam'!G117="","",'(3).Midterm Exam'!G117)</f>
        <v/>
      </c>
      <c r="I117" s="128" t="str">
        <f>IF('(3).Midterm Exam'!H117="","",'(3).Midterm Exam'!H117)</f>
        <v/>
      </c>
      <c r="J117" s="128" t="str">
        <f>IF('(3).Midterm Exam'!I117="","",'(3).Midterm Exam'!I117)</f>
        <v/>
      </c>
      <c r="K117" s="128" t="str">
        <f>IF('(3).Midterm Exam'!J117="","",'(3).Midterm Exam'!J117)</f>
        <v/>
      </c>
      <c r="L117" s="128" t="str">
        <f>IF('(3).Midterm Exam'!K117="","",'(3).Midterm Exam'!K117)</f>
        <v/>
      </c>
      <c r="M117" s="128" t="str">
        <f>IF('(3).Midterm Exam'!L117="","",'(3).Midterm Exam'!L117)</f>
        <v/>
      </c>
      <c r="N117" s="129" t="str">
        <f>IF('(3).Midterm Exam'!M117="","",'(3).Midterm Exam'!M117)</f>
        <v/>
      </c>
      <c r="O117" s="130" t="str">
        <f>IF(B117="","",IF(D117="Incomplete","Incomplete",IF('(3).Midterm Exam'!N117="Change","Change",IF('(3).Midterm Exam'!N117="Stop","Stop",IF('(3).Midterm Exam'!N117="Incomplete","Incomplete",IF(COUNTBLANK(D117:N117)&gt;=1,"Incomplete",D117*20%+SUM(E117:N117)*80%))))))</f>
        <v/>
      </c>
    </row>
    <row r="118" spans="1:15" ht="15.95" customHeight="1">
      <c r="A118" s="66">
        <v>4</v>
      </c>
      <c r="B118" s="63" t="str">
        <f>IF('(3).Midterm Exam'!B118="","",'(3).Midterm Exam'!B118)</f>
        <v/>
      </c>
      <c r="C118" s="67" t="str">
        <f>IF('(3).Midterm Exam'!C118="","",'(3).Midterm Exam'!C118)</f>
        <v/>
      </c>
      <c r="D118" s="126" t="str">
        <f>IF('(2).Midterm Daily'!AH118="","",'(2).Midterm Daily'!AH118)</f>
        <v/>
      </c>
      <c r="E118" s="127" t="str">
        <f>IF('(3).Midterm Exam'!D118="","",'(3).Midterm Exam'!D118)</f>
        <v/>
      </c>
      <c r="F118" s="128" t="str">
        <f>IF('(3).Midterm Exam'!E118="","",'(3).Midterm Exam'!E118)</f>
        <v/>
      </c>
      <c r="G118" s="128" t="str">
        <f>IF('(3).Midterm Exam'!F118="","",'(3).Midterm Exam'!F118)</f>
        <v/>
      </c>
      <c r="H118" s="128" t="str">
        <f>IF('(3).Midterm Exam'!G118="","",'(3).Midterm Exam'!G118)</f>
        <v/>
      </c>
      <c r="I118" s="128" t="str">
        <f>IF('(3).Midterm Exam'!H118="","",'(3).Midterm Exam'!H118)</f>
        <v/>
      </c>
      <c r="J118" s="128" t="str">
        <f>IF('(3).Midterm Exam'!I118="","",'(3).Midterm Exam'!I118)</f>
        <v/>
      </c>
      <c r="K118" s="128" t="str">
        <f>IF('(3).Midterm Exam'!J118="","",'(3).Midterm Exam'!J118)</f>
        <v/>
      </c>
      <c r="L118" s="128" t="str">
        <f>IF('(3).Midterm Exam'!K118="","",'(3).Midterm Exam'!K118)</f>
        <v/>
      </c>
      <c r="M118" s="128" t="str">
        <f>IF('(3).Midterm Exam'!L118="","",'(3).Midterm Exam'!L118)</f>
        <v/>
      </c>
      <c r="N118" s="129" t="str">
        <f>IF('(3).Midterm Exam'!M118="","",'(3).Midterm Exam'!M118)</f>
        <v/>
      </c>
      <c r="O118" s="130" t="str">
        <f>IF(B118="","",IF(D118="Incomplete","Incomplete",IF('(3).Midterm Exam'!N118="Change","Change",IF('(3).Midterm Exam'!N118="Stop","Stop",IF('(3).Midterm Exam'!N118="Incomplete","Incomplete",IF(COUNTBLANK(D118:N118)&gt;=1,"Incomplete",D118*20%+SUM(E118:N118)*80%))))))</f>
        <v/>
      </c>
    </row>
    <row r="119" spans="1:15" ht="15.95" customHeight="1">
      <c r="A119" s="66">
        <v>5</v>
      </c>
      <c r="B119" s="63" t="str">
        <f>IF('(3).Midterm Exam'!B119="","",'(3).Midterm Exam'!B119)</f>
        <v/>
      </c>
      <c r="C119" s="67" t="str">
        <f>IF('(3).Midterm Exam'!C119="","",'(3).Midterm Exam'!C119)</f>
        <v/>
      </c>
      <c r="D119" s="126" t="str">
        <f>IF('(2).Midterm Daily'!AH119="","",'(2).Midterm Daily'!AH119)</f>
        <v/>
      </c>
      <c r="E119" s="127" t="str">
        <f>IF('(3).Midterm Exam'!D119="","",'(3).Midterm Exam'!D119)</f>
        <v/>
      </c>
      <c r="F119" s="128" t="str">
        <f>IF('(3).Midterm Exam'!E119="","",'(3).Midterm Exam'!E119)</f>
        <v/>
      </c>
      <c r="G119" s="128" t="str">
        <f>IF('(3).Midterm Exam'!F119="","",'(3).Midterm Exam'!F119)</f>
        <v/>
      </c>
      <c r="H119" s="128" t="str">
        <f>IF('(3).Midterm Exam'!G119="","",'(3).Midterm Exam'!G119)</f>
        <v/>
      </c>
      <c r="I119" s="128" t="str">
        <f>IF('(3).Midterm Exam'!H119="","",'(3).Midterm Exam'!H119)</f>
        <v/>
      </c>
      <c r="J119" s="128" t="str">
        <f>IF('(3).Midterm Exam'!I119="","",'(3).Midterm Exam'!I119)</f>
        <v/>
      </c>
      <c r="K119" s="128" t="str">
        <f>IF('(3).Midterm Exam'!J119="","",'(3).Midterm Exam'!J119)</f>
        <v/>
      </c>
      <c r="L119" s="128" t="str">
        <f>IF('(3).Midterm Exam'!K119="","",'(3).Midterm Exam'!K119)</f>
        <v/>
      </c>
      <c r="M119" s="128" t="str">
        <f>IF('(3).Midterm Exam'!L119="","",'(3).Midterm Exam'!L119)</f>
        <v/>
      </c>
      <c r="N119" s="129" t="str">
        <f>IF('(3).Midterm Exam'!M119="","",'(3).Midterm Exam'!M119)</f>
        <v/>
      </c>
      <c r="O119" s="130" t="str">
        <f>IF(B119="","",IF(D119="Incomplete","Incomplete",IF('(3).Midterm Exam'!N119="Change","Change",IF('(3).Midterm Exam'!N119="Stop","Stop",IF('(3).Midterm Exam'!N119="Incomplete","Incomplete",IF(COUNTBLANK(D119:N119)&gt;=1,"Incomplete",D119*20%+SUM(E119:N119)*80%))))))</f>
        <v/>
      </c>
    </row>
    <row r="120" spans="1:15" ht="15.95" customHeight="1">
      <c r="A120" s="66">
        <v>6</v>
      </c>
      <c r="B120" s="63" t="str">
        <f>IF('(3).Midterm Exam'!B120="","",'(3).Midterm Exam'!B120)</f>
        <v/>
      </c>
      <c r="C120" s="67" t="str">
        <f>IF('(3).Midterm Exam'!C120="","",'(3).Midterm Exam'!C120)</f>
        <v/>
      </c>
      <c r="D120" s="126" t="str">
        <f>IF('(2).Midterm Daily'!AH120="","",'(2).Midterm Daily'!AH120)</f>
        <v/>
      </c>
      <c r="E120" s="127" t="str">
        <f>IF('(3).Midterm Exam'!D120="","",'(3).Midterm Exam'!D120)</f>
        <v/>
      </c>
      <c r="F120" s="128" t="str">
        <f>IF('(3).Midterm Exam'!E120="","",'(3).Midterm Exam'!E120)</f>
        <v/>
      </c>
      <c r="G120" s="128" t="str">
        <f>IF('(3).Midterm Exam'!F120="","",'(3).Midterm Exam'!F120)</f>
        <v/>
      </c>
      <c r="H120" s="128" t="str">
        <f>IF('(3).Midterm Exam'!G120="","",'(3).Midterm Exam'!G120)</f>
        <v/>
      </c>
      <c r="I120" s="128" t="str">
        <f>IF('(3).Midterm Exam'!H120="","",'(3).Midterm Exam'!H120)</f>
        <v/>
      </c>
      <c r="J120" s="128" t="str">
        <f>IF('(3).Midterm Exam'!I120="","",'(3).Midterm Exam'!I120)</f>
        <v/>
      </c>
      <c r="K120" s="128" t="str">
        <f>IF('(3).Midterm Exam'!J120="","",'(3).Midterm Exam'!J120)</f>
        <v/>
      </c>
      <c r="L120" s="128" t="str">
        <f>IF('(3).Midterm Exam'!K120="","",'(3).Midterm Exam'!K120)</f>
        <v/>
      </c>
      <c r="M120" s="128" t="str">
        <f>IF('(3).Midterm Exam'!L120="","",'(3).Midterm Exam'!L120)</f>
        <v/>
      </c>
      <c r="N120" s="129" t="str">
        <f>IF('(3).Midterm Exam'!M120="","",'(3).Midterm Exam'!M120)</f>
        <v/>
      </c>
      <c r="O120" s="130" t="str">
        <f>IF(B120="","",IF(D120="Incomplete","Incomplete",IF('(3).Midterm Exam'!N120="Change","Change",IF('(3).Midterm Exam'!N120="Stop","Stop",IF('(3).Midterm Exam'!N120="Incomplete","Incomplete",IF(COUNTBLANK(D120:N120)&gt;=1,"Incomplete",D120*20%+SUM(E120:N120)*80%))))))</f>
        <v/>
      </c>
    </row>
    <row r="121" spans="1:15" ht="15.95" customHeight="1">
      <c r="A121" s="66">
        <v>7</v>
      </c>
      <c r="B121" s="63" t="str">
        <f>IF('(3).Midterm Exam'!B121="","",'(3).Midterm Exam'!B121)</f>
        <v/>
      </c>
      <c r="C121" s="67" t="str">
        <f>IF('(3).Midterm Exam'!C121="","",'(3).Midterm Exam'!C121)</f>
        <v/>
      </c>
      <c r="D121" s="126" t="str">
        <f>IF('(2).Midterm Daily'!AH121="","",'(2).Midterm Daily'!AH121)</f>
        <v/>
      </c>
      <c r="E121" s="127" t="str">
        <f>IF('(3).Midterm Exam'!D121="","",'(3).Midterm Exam'!D121)</f>
        <v/>
      </c>
      <c r="F121" s="128" t="str">
        <f>IF('(3).Midterm Exam'!E121="","",'(3).Midterm Exam'!E121)</f>
        <v/>
      </c>
      <c r="G121" s="128" t="str">
        <f>IF('(3).Midterm Exam'!F121="","",'(3).Midterm Exam'!F121)</f>
        <v/>
      </c>
      <c r="H121" s="128" t="str">
        <f>IF('(3).Midterm Exam'!G121="","",'(3).Midterm Exam'!G121)</f>
        <v/>
      </c>
      <c r="I121" s="128" t="str">
        <f>IF('(3).Midterm Exam'!H121="","",'(3).Midterm Exam'!H121)</f>
        <v/>
      </c>
      <c r="J121" s="128" t="str">
        <f>IF('(3).Midterm Exam'!I121="","",'(3).Midterm Exam'!I121)</f>
        <v/>
      </c>
      <c r="K121" s="128" t="str">
        <f>IF('(3).Midterm Exam'!J121="","",'(3).Midterm Exam'!J121)</f>
        <v/>
      </c>
      <c r="L121" s="128" t="str">
        <f>IF('(3).Midterm Exam'!K121="","",'(3).Midterm Exam'!K121)</f>
        <v/>
      </c>
      <c r="M121" s="128" t="str">
        <f>IF('(3).Midterm Exam'!L121="","",'(3).Midterm Exam'!L121)</f>
        <v/>
      </c>
      <c r="N121" s="129" t="str">
        <f>IF('(3).Midterm Exam'!M121="","",'(3).Midterm Exam'!M121)</f>
        <v/>
      </c>
      <c r="O121" s="130" t="str">
        <f>IF(B121="","",IF(D121="Incomplete","Incomplete",IF('(3).Midterm Exam'!N121="Change","Change",IF('(3).Midterm Exam'!N121="Stop","Stop",IF('(3).Midterm Exam'!N121="Incomplete","Incomplete",IF(COUNTBLANK(D121:N121)&gt;=1,"Incomplete",D121*20%+SUM(E121:N121)*80%))))))</f>
        <v/>
      </c>
    </row>
    <row r="122" spans="1:15" ht="15.95" customHeight="1">
      <c r="A122" s="66">
        <v>8</v>
      </c>
      <c r="B122" s="63" t="str">
        <f>IF('(3).Midterm Exam'!B122="","",'(3).Midterm Exam'!B122)</f>
        <v/>
      </c>
      <c r="C122" s="67" t="str">
        <f>IF('(3).Midterm Exam'!C122="","",'(3).Midterm Exam'!C122)</f>
        <v/>
      </c>
      <c r="D122" s="126" t="str">
        <f>IF('(2).Midterm Daily'!AH122="","",'(2).Midterm Daily'!AH122)</f>
        <v/>
      </c>
      <c r="E122" s="127" t="str">
        <f>IF('(3).Midterm Exam'!D122="","",'(3).Midterm Exam'!D122)</f>
        <v/>
      </c>
      <c r="F122" s="128" t="str">
        <f>IF('(3).Midterm Exam'!E122="","",'(3).Midterm Exam'!E122)</f>
        <v/>
      </c>
      <c r="G122" s="128" t="str">
        <f>IF('(3).Midterm Exam'!F122="","",'(3).Midterm Exam'!F122)</f>
        <v/>
      </c>
      <c r="H122" s="128" t="str">
        <f>IF('(3).Midterm Exam'!G122="","",'(3).Midterm Exam'!G122)</f>
        <v/>
      </c>
      <c r="I122" s="128" t="str">
        <f>IF('(3).Midterm Exam'!H122="","",'(3).Midterm Exam'!H122)</f>
        <v/>
      </c>
      <c r="J122" s="128" t="str">
        <f>IF('(3).Midterm Exam'!I122="","",'(3).Midterm Exam'!I122)</f>
        <v/>
      </c>
      <c r="K122" s="128" t="str">
        <f>IF('(3).Midterm Exam'!J122="","",'(3).Midterm Exam'!J122)</f>
        <v/>
      </c>
      <c r="L122" s="128" t="str">
        <f>IF('(3).Midterm Exam'!K122="","",'(3).Midterm Exam'!K122)</f>
        <v/>
      </c>
      <c r="M122" s="128" t="str">
        <f>IF('(3).Midterm Exam'!L122="","",'(3).Midterm Exam'!L122)</f>
        <v/>
      </c>
      <c r="N122" s="129" t="str">
        <f>IF('(3).Midterm Exam'!M122="","",'(3).Midterm Exam'!M122)</f>
        <v/>
      </c>
      <c r="O122" s="130" t="str">
        <f>IF(B122="","",IF(D122="Incomplete","Incomplete",IF('(3).Midterm Exam'!N122="Change","Change",IF('(3).Midterm Exam'!N122="Stop","Stop",IF('(3).Midterm Exam'!N122="Incomplete","Incomplete",IF(COUNTBLANK(D122:N122)&gt;=1,"Incomplete",D122*20%+SUM(E122:N122)*80%))))))</f>
        <v/>
      </c>
    </row>
    <row r="123" spans="1:15" ht="15.95" customHeight="1">
      <c r="A123" s="66">
        <v>9</v>
      </c>
      <c r="B123" s="63" t="str">
        <f>IF('(3).Midterm Exam'!B123="","",'(3).Midterm Exam'!B123)</f>
        <v/>
      </c>
      <c r="C123" s="67" t="str">
        <f>IF('(3).Midterm Exam'!C123="","",'(3).Midterm Exam'!C123)</f>
        <v/>
      </c>
      <c r="D123" s="126" t="str">
        <f>IF('(2).Midterm Daily'!AH123="","",'(2).Midterm Daily'!AH123)</f>
        <v/>
      </c>
      <c r="E123" s="127" t="str">
        <f>IF('(3).Midterm Exam'!D123="","",'(3).Midterm Exam'!D123)</f>
        <v/>
      </c>
      <c r="F123" s="128" t="str">
        <f>IF('(3).Midterm Exam'!E123="","",'(3).Midterm Exam'!E123)</f>
        <v/>
      </c>
      <c r="G123" s="128" t="str">
        <f>IF('(3).Midterm Exam'!F123="","",'(3).Midterm Exam'!F123)</f>
        <v/>
      </c>
      <c r="H123" s="128" t="str">
        <f>IF('(3).Midterm Exam'!G123="","",'(3).Midterm Exam'!G123)</f>
        <v/>
      </c>
      <c r="I123" s="128" t="str">
        <f>IF('(3).Midterm Exam'!H123="","",'(3).Midterm Exam'!H123)</f>
        <v/>
      </c>
      <c r="J123" s="128" t="str">
        <f>IF('(3).Midterm Exam'!I123="","",'(3).Midterm Exam'!I123)</f>
        <v/>
      </c>
      <c r="K123" s="128" t="str">
        <f>IF('(3).Midterm Exam'!J123="","",'(3).Midterm Exam'!J123)</f>
        <v/>
      </c>
      <c r="L123" s="128" t="str">
        <f>IF('(3).Midterm Exam'!K123="","",'(3).Midterm Exam'!K123)</f>
        <v/>
      </c>
      <c r="M123" s="128" t="str">
        <f>IF('(3).Midterm Exam'!L123="","",'(3).Midterm Exam'!L123)</f>
        <v/>
      </c>
      <c r="N123" s="129" t="str">
        <f>IF('(3).Midterm Exam'!M123="","",'(3).Midterm Exam'!M123)</f>
        <v/>
      </c>
      <c r="O123" s="130" t="str">
        <f>IF(B123="","",IF(D123="Incomplete","Incomplete",IF('(3).Midterm Exam'!N123="Change","Change",IF('(3).Midterm Exam'!N123="Stop","Stop",IF('(3).Midterm Exam'!N123="Incomplete","Incomplete",IF(COUNTBLANK(D123:N123)&gt;=1,"Incomplete",D123*20%+SUM(E123:N123)*80%))))))</f>
        <v/>
      </c>
    </row>
    <row r="124" spans="1:15" ht="15.95" customHeight="1">
      <c r="A124" s="66">
        <v>10</v>
      </c>
      <c r="B124" s="63" t="str">
        <f>IF('(3).Midterm Exam'!B124="","",'(3).Midterm Exam'!B124)</f>
        <v/>
      </c>
      <c r="C124" s="67" t="str">
        <f>IF('(3).Midterm Exam'!C124="","",'(3).Midterm Exam'!C124)</f>
        <v/>
      </c>
      <c r="D124" s="126" t="str">
        <f>IF('(2).Midterm Daily'!AH124="","",'(2).Midterm Daily'!AH124)</f>
        <v/>
      </c>
      <c r="E124" s="127" t="str">
        <f>IF('(3).Midterm Exam'!D124="","",'(3).Midterm Exam'!D124)</f>
        <v/>
      </c>
      <c r="F124" s="128" t="str">
        <f>IF('(3).Midterm Exam'!E124="","",'(3).Midterm Exam'!E124)</f>
        <v/>
      </c>
      <c r="G124" s="128" t="str">
        <f>IF('(3).Midterm Exam'!F124="","",'(3).Midterm Exam'!F124)</f>
        <v/>
      </c>
      <c r="H124" s="128" t="str">
        <f>IF('(3).Midterm Exam'!G124="","",'(3).Midterm Exam'!G124)</f>
        <v/>
      </c>
      <c r="I124" s="128" t="str">
        <f>IF('(3).Midterm Exam'!H124="","",'(3).Midterm Exam'!H124)</f>
        <v/>
      </c>
      <c r="J124" s="128" t="str">
        <f>IF('(3).Midterm Exam'!I124="","",'(3).Midterm Exam'!I124)</f>
        <v/>
      </c>
      <c r="K124" s="128" t="str">
        <f>IF('(3).Midterm Exam'!J124="","",'(3).Midterm Exam'!J124)</f>
        <v/>
      </c>
      <c r="L124" s="128" t="str">
        <f>IF('(3).Midterm Exam'!K124="","",'(3).Midterm Exam'!K124)</f>
        <v/>
      </c>
      <c r="M124" s="128" t="str">
        <f>IF('(3).Midterm Exam'!L124="","",'(3).Midterm Exam'!L124)</f>
        <v/>
      </c>
      <c r="N124" s="129" t="str">
        <f>IF('(3).Midterm Exam'!M124="","",'(3).Midterm Exam'!M124)</f>
        <v/>
      </c>
      <c r="O124" s="130" t="str">
        <f>IF(B124="","",IF(D124="Incomplete","Incomplete",IF('(3).Midterm Exam'!N124="Change","Change",IF('(3).Midterm Exam'!N124="Stop","Stop",IF('(3).Midterm Exam'!N124="Incomplete","Incomplete",IF(COUNTBLANK(D124:N124)&gt;=1,"Incomplete",D124*20%+SUM(E124:N124)*80%))))))</f>
        <v/>
      </c>
    </row>
    <row r="125" spans="1:15" ht="15.95" customHeight="1">
      <c r="A125" s="66">
        <v>11</v>
      </c>
      <c r="B125" s="63" t="str">
        <f>IF('(3).Midterm Exam'!B125="","",'(3).Midterm Exam'!B125)</f>
        <v/>
      </c>
      <c r="C125" s="67" t="str">
        <f>IF('(3).Midterm Exam'!C125="","",'(3).Midterm Exam'!C125)</f>
        <v/>
      </c>
      <c r="D125" s="126" t="str">
        <f>IF('(2).Midterm Daily'!AH125="","",'(2).Midterm Daily'!AH125)</f>
        <v/>
      </c>
      <c r="E125" s="127" t="str">
        <f>IF('(3).Midterm Exam'!D125="","",'(3).Midterm Exam'!D125)</f>
        <v/>
      </c>
      <c r="F125" s="128" t="str">
        <f>IF('(3).Midterm Exam'!E125="","",'(3).Midterm Exam'!E125)</f>
        <v/>
      </c>
      <c r="G125" s="128" t="str">
        <f>IF('(3).Midterm Exam'!F125="","",'(3).Midterm Exam'!F125)</f>
        <v/>
      </c>
      <c r="H125" s="128" t="str">
        <f>IF('(3).Midterm Exam'!G125="","",'(3).Midterm Exam'!G125)</f>
        <v/>
      </c>
      <c r="I125" s="128" t="str">
        <f>IF('(3).Midterm Exam'!H125="","",'(3).Midterm Exam'!H125)</f>
        <v/>
      </c>
      <c r="J125" s="128" t="str">
        <f>IF('(3).Midterm Exam'!I125="","",'(3).Midterm Exam'!I125)</f>
        <v/>
      </c>
      <c r="K125" s="128" t="str">
        <f>IF('(3).Midterm Exam'!J125="","",'(3).Midterm Exam'!J125)</f>
        <v/>
      </c>
      <c r="L125" s="128" t="str">
        <f>IF('(3).Midterm Exam'!K125="","",'(3).Midterm Exam'!K125)</f>
        <v/>
      </c>
      <c r="M125" s="128" t="str">
        <f>IF('(3).Midterm Exam'!L125="","",'(3).Midterm Exam'!L125)</f>
        <v/>
      </c>
      <c r="N125" s="129" t="str">
        <f>IF('(3).Midterm Exam'!M125="","",'(3).Midterm Exam'!M125)</f>
        <v/>
      </c>
      <c r="O125" s="130" t="str">
        <f>IF(B125="","",IF(D125="Incomplete","Incomplete",IF('(3).Midterm Exam'!N125="Change","Change",IF('(3).Midterm Exam'!N125="Stop","Stop",IF('(3).Midterm Exam'!N125="Incomplete","Incomplete",IF(COUNTBLANK(D125:N125)&gt;=1,"Incomplete",D125*20%+SUM(E125:N125)*80%))))))</f>
        <v/>
      </c>
    </row>
    <row r="126" spans="1:15" ht="15.95" customHeight="1">
      <c r="A126" s="66">
        <v>12</v>
      </c>
      <c r="B126" s="63" t="str">
        <f>IF('(3).Midterm Exam'!B126="","",'(3).Midterm Exam'!B126)</f>
        <v/>
      </c>
      <c r="C126" s="67" t="str">
        <f>IF('(3).Midterm Exam'!C126="","",'(3).Midterm Exam'!C126)</f>
        <v/>
      </c>
      <c r="D126" s="126" t="str">
        <f>IF('(2).Midterm Daily'!AH126="","",'(2).Midterm Daily'!AH126)</f>
        <v/>
      </c>
      <c r="E126" s="127" t="str">
        <f>IF('(3).Midterm Exam'!D126="","",'(3).Midterm Exam'!D126)</f>
        <v/>
      </c>
      <c r="F126" s="128" t="str">
        <f>IF('(3).Midterm Exam'!E126="","",'(3).Midterm Exam'!E126)</f>
        <v/>
      </c>
      <c r="G126" s="128" t="str">
        <f>IF('(3).Midterm Exam'!F126="","",'(3).Midterm Exam'!F126)</f>
        <v/>
      </c>
      <c r="H126" s="128" t="str">
        <f>IF('(3).Midterm Exam'!G126="","",'(3).Midterm Exam'!G126)</f>
        <v/>
      </c>
      <c r="I126" s="128" t="str">
        <f>IF('(3).Midterm Exam'!H126="","",'(3).Midterm Exam'!H126)</f>
        <v/>
      </c>
      <c r="J126" s="128" t="str">
        <f>IF('(3).Midterm Exam'!I126="","",'(3).Midterm Exam'!I126)</f>
        <v/>
      </c>
      <c r="K126" s="128" t="str">
        <f>IF('(3).Midterm Exam'!J126="","",'(3).Midterm Exam'!J126)</f>
        <v/>
      </c>
      <c r="L126" s="128" t="str">
        <f>IF('(3).Midterm Exam'!K126="","",'(3).Midterm Exam'!K126)</f>
        <v/>
      </c>
      <c r="M126" s="128" t="str">
        <f>IF('(3).Midterm Exam'!L126="","",'(3).Midterm Exam'!L126)</f>
        <v/>
      </c>
      <c r="N126" s="129" t="str">
        <f>IF('(3).Midterm Exam'!M126="","",'(3).Midterm Exam'!M126)</f>
        <v/>
      </c>
      <c r="O126" s="130" t="str">
        <f>IF(B126="","",IF(D126="Incomplete","Incomplete",IF('(3).Midterm Exam'!N126="Change","Change",IF('(3).Midterm Exam'!N126="Stop","Stop",IF('(3).Midterm Exam'!N126="Incomplete","Incomplete",IF(COUNTBLANK(D126:N126)&gt;=1,"Incomplete",D126*20%+SUM(E126:N126)*80%))))))</f>
        <v/>
      </c>
    </row>
    <row r="127" spans="1:15" ht="15.95" customHeight="1">
      <c r="A127" s="66">
        <v>13</v>
      </c>
      <c r="B127" s="63" t="str">
        <f>IF('(3).Midterm Exam'!B127="","",'(3).Midterm Exam'!B127)</f>
        <v/>
      </c>
      <c r="C127" s="67" t="str">
        <f>IF('(3).Midterm Exam'!C127="","",'(3).Midterm Exam'!C127)</f>
        <v/>
      </c>
      <c r="D127" s="126" t="str">
        <f>IF('(2).Midterm Daily'!AH127="","",'(2).Midterm Daily'!AH127)</f>
        <v/>
      </c>
      <c r="E127" s="127" t="str">
        <f>IF('(3).Midterm Exam'!D127="","",'(3).Midterm Exam'!D127)</f>
        <v/>
      </c>
      <c r="F127" s="128" t="str">
        <f>IF('(3).Midterm Exam'!E127="","",'(3).Midterm Exam'!E127)</f>
        <v/>
      </c>
      <c r="G127" s="128" t="str">
        <f>IF('(3).Midterm Exam'!F127="","",'(3).Midterm Exam'!F127)</f>
        <v/>
      </c>
      <c r="H127" s="128" t="str">
        <f>IF('(3).Midterm Exam'!G127="","",'(3).Midterm Exam'!G127)</f>
        <v/>
      </c>
      <c r="I127" s="128" t="str">
        <f>IF('(3).Midterm Exam'!H127="","",'(3).Midterm Exam'!H127)</f>
        <v/>
      </c>
      <c r="J127" s="128" t="str">
        <f>IF('(3).Midterm Exam'!I127="","",'(3).Midterm Exam'!I127)</f>
        <v/>
      </c>
      <c r="K127" s="128" t="str">
        <f>IF('(3).Midterm Exam'!J127="","",'(3).Midterm Exam'!J127)</f>
        <v/>
      </c>
      <c r="L127" s="128" t="str">
        <f>IF('(3).Midterm Exam'!K127="","",'(3).Midterm Exam'!K127)</f>
        <v/>
      </c>
      <c r="M127" s="128" t="str">
        <f>IF('(3).Midterm Exam'!L127="","",'(3).Midterm Exam'!L127)</f>
        <v/>
      </c>
      <c r="N127" s="129" t="str">
        <f>IF('(3).Midterm Exam'!M127="","",'(3).Midterm Exam'!M127)</f>
        <v/>
      </c>
      <c r="O127" s="130" t="str">
        <f>IF(B127="","",IF(D127="Incomplete","Incomplete",IF('(3).Midterm Exam'!N127="Change","Change",IF('(3).Midterm Exam'!N127="Stop","Stop",IF('(3).Midterm Exam'!N127="Incomplete","Incomplete",IF(COUNTBLANK(D127:N127)&gt;=1,"Incomplete",D127*20%+SUM(E127:N127)*80%))))))</f>
        <v/>
      </c>
    </row>
    <row r="128" spans="1:15" ht="15.95" customHeight="1">
      <c r="A128" s="66">
        <v>14</v>
      </c>
      <c r="B128" s="63" t="str">
        <f>IF('(3).Midterm Exam'!B128="","",'(3).Midterm Exam'!B128)</f>
        <v/>
      </c>
      <c r="C128" s="67" t="str">
        <f>IF('(3).Midterm Exam'!C128="","",'(3).Midterm Exam'!C128)</f>
        <v/>
      </c>
      <c r="D128" s="126" t="str">
        <f>IF('(2).Midterm Daily'!AH128="","",'(2).Midterm Daily'!AH128)</f>
        <v/>
      </c>
      <c r="E128" s="127" t="str">
        <f>IF('(3).Midterm Exam'!D128="","",'(3).Midterm Exam'!D128)</f>
        <v/>
      </c>
      <c r="F128" s="128" t="str">
        <f>IF('(3).Midterm Exam'!E128="","",'(3).Midterm Exam'!E128)</f>
        <v/>
      </c>
      <c r="G128" s="128" t="str">
        <f>IF('(3).Midterm Exam'!F128="","",'(3).Midterm Exam'!F128)</f>
        <v/>
      </c>
      <c r="H128" s="128" t="str">
        <f>IF('(3).Midterm Exam'!G128="","",'(3).Midterm Exam'!G128)</f>
        <v/>
      </c>
      <c r="I128" s="128" t="str">
        <f>IF('(3).Midterm Exam'!H128="","",'(3).Midterm Exam'!H128)</f>
        <v/>
      </c>
      <c r="J128" s="128" t="str">
        <f>IF('(3).Midterm Exam'!I128="","",'(3).Midterm Exam'!I128)</f>
        <v/>
      </c>
      <c r="K128" s="128" t="str">
        <f>IF('(3).Midterm Exam'!J128="","",'(3).Midterm Exam'!J128)</f>
        <v/>
      </c>
      <c r="L128" s="128" t="str">
        <f>IF('(3).Midterm Exam'!K128="","",'(3).Midterm Exam'!K128)</f>
        <v/>
      </c>
      <c r="M128" s="128" t="str">
        <f>IF('(3).Midterm Exam'!L128="","",'(3).Midterm Exam'!L128)</f>
        <v/>
      </c>
      <c r="N128" s="129" t="str">
        <f>IF('(3).Midterm Exam'!M128="","",'(3).Midterm Exam'!M128)</f>
        <v/>
      </c>
      <c r="O128" s="130" t="str">
        <f>IF(B128="","",IF(D128="Incomplete","Incomplete",IF('(3).Midterm Exam'!N128="Change","Change",IF('(3).Midterm Exam'!N128="Stop","Stop",IF('(3).Midterm Exam'!N128="Incomplete","Incomplete",IF(COUNTBLANK(D128:N128)&gt;=1,"Incomplete",D128*20%+SUM(E128:N128)*80%))))))</f>
        <v/>
      </c>
    </row>
    <row r="129" spans="1:15" ht="15.95" customHeight="1">
      <c r="A129" s="66">
        <v>15</v>
      </c>
      <c r="B129" s="63" t="str">
        <f>IF('(3).Midterm Exam'!B129="","",'(3).Midterm Exam'!B129)</f>
        <v/>
      </c>
      <c r="C129" s="67" t="str">
        <f>IF('(3).Midterm Exam'!C129="","",'(3).Midterm Exam'!C129)</f>
        <v/>
      </c>
      <c r="D129" s="126" t="str">
        <f>IF('(2).Midterm Daily'!AH129="","",'(2).Midterm Daily'!AH129)</f>
        <v/>
      </c>
      <c r="E129" s="127" t="str">
        <f>IF('(3).Midterm Exam'!D129="","",'(3).Midterm Exam'!D129)</f>
        <v/>
      </c>
      <c r="F129" s="128" t="str">
        <f>IF('(3).Midterm Exam'!E129="","",'(3).Midterm Exam'!E129)</f>
        <v/>
      </c>
      <c r="G129" s="128" t="str">
        <f>IF('(3).Midterm Exam'!F129="","",'(3).Midterm Exam'!F129)</f>
        <v/>
      </c>
      <c r="H129" s="128" t="str">
        <f>IF('(3).Midterm Exam'!G129="","",'(3).Midterm Exam'!G129)</f>
        <v/>
      </c>
      <c r="I129" s="128" t="str">
        <f>IF('(3).Midterm Exam'!H129="","",'(3).Midterm Exam'!H129)</f>
        <v/>
      </c>
      <c r="J129" s="128" t="str">
        <f>IF('(3).Midterm Exam'!I129="","",'(3).Midterm Exam'!I129)</f>
        <v/>
      </c>
      <c r="K129" s="128" t="str">
        <f>IF('(3).Midterm Exam'!J129="","",'(3).Midterm Exam'!J129)</f>
        <v/>
      </c>
      <c r="L129" s="128" t="str">
        <f>IF('(3).Midterm Exam'!K129="","",'(3).Midterm Exam'!K129)</f>
        <v/>
      </c>
      <c r="M129" s="128" t="str">
        <f>IF('(3).Midterm Exam'!L129="","",'(3).Midterm Exam'!L129)</f>
        <v/>
      </c>
      <c r="N129" s="129" t="str">
        <f>IF('(3).Midterm Exam'!M129="","",'(3).Midterm Exam'!M129)</f>
        <v/>
      </c>
      <c r="O129" s="130" t="str">
        <f>IF(B129="","",IF(D129="Incomplete","Incomplete",IF('(3).Midterm Exam'!N129="Change","Change",IF('(3).Midterm Exam'!N129="Stop","Stop",IF('(3).Midterm Exam'!N129="Incomplete","Incomplete",IF(COUNTBLANK(D129:N129)&gt;=1,"Incomplete",D129*20%+SUM(E129:N129)*80%))))))</f>
        <v/>
      </c>
    </row>
    <row r="130" spans="1:15" ht="15.95" customHeight="1">
      <c r="A130" s="66">
        <v>16</v>
      </c>
      <c r="B130" s="63" t="str">
        <f>IF('(3).Midterm Exam'!B130="","",'(3).Midterm Exam'!B130)</f>
        <v/>
      </c>
      <c r="C130" s="67" t="str">
        <f>IF('(3).Midterm Exam'!C130="","",'(3).Midterm Exam'!C130)</f>
        <v/>
      </c>
      <c r="D130" s="126" t="str">
        <f>IF('(2).Midterm Daily'!AH130="","",'(2).Midterm Daily'!AH130)</f>
        <v/>
      </c>
      <c r="E130" s="127" t="str">
        <f>IF('(3).Midterm Exam'!D130="","",'(3).Midterm Exam'!D130)</f>
        <v/>
      </c>
      <c r="F130" s="128" t="str">
        <f>IF('(3).Midterm Exam'!E130="","",'(3).Midterm Exam'!E130)</f>
        <v/>
      </c>
      <c r="G130" s="128" t="str">
        <f>IF('(3).Midterm Exam'!F130="","",'(3).Midterm Exam'!F130)</f>
        <v/>
      </c>
      <c r="H130" s="128" t="str">
        <f>IF('(3).Midterm Exam'!G130="","",'(3).Midterm Exam'!G130)</f>
        <v/>
      </c>
      <c r="I130" s="128" t="str">
        <f>IF('(3).Midterm Exam'!H130="","",'(3).Midterm Exam'!H130)</f>
        <v/>
      </c>
      <c r="J130" s="128" t="str">
        <f>IF('(3).Midterm Exam'!I130="","",'(3).Midterm Exam'!I130)</f>
        <v/>
      </c>
      <c r="K130" s="128" t="str">
        <f>IF('(3).Midterm Exam'!J130="","",'(3).Midterm Exam'!J130)</f>
        <v/>
      </c>
      <c r="L130" s="128" t="str">
        <f>IF('(3).Midterm Exam'!K130="","",'(3).Midterm Exam'!K130)</f>
        <v/>
      </c>
      <c r="M130" s="128" t="str">
        <f>IF('(3).Midterm Exam'!L130="","",'(3).Midterm Exam'!L130)</f>
        <v/>
      </c>
      <c r="N130" s="129" t="str">
        <f>IF('(3).Midterm Exam'!M130="","",'(3).Midterm Exam'!M130)</f>
        <v/>
      </c>
      <c r="O130" s="130" t="str">
        <f>IF(B130="","",IF(D130="Incomplete","Incomplete",IF('(3).Midterm Exam'!N130="Change","Change",IF('(3).Midterm Exam'!N130="Stop","Stop",IF('(3).Midterm Exam'!N130="Incomplete","Incomplete",IF(COUNTBLANK(D130:N130)&gt;=1,"Incomplete",D130*20%+SUM(E130:N130)*80%))))))</f>
        <v/>
      </c>
    </row>
    <row r="131" spans="1:15" ht="15.95" customHeight="1">
      <c r="A131" s="66">
        <v>17</v>
      </c>
      <c r="B131" s="63" t="str">
        <f>IF('(3).Midterm Exam'!B131="","",'(3).Midterm Exam'!B131)</f>
        <v/>
      </c>
      <c r="C131" s="67" t="str">
        <f>IF('(3).Midterm Exam'!C131="","",'(3).Midterm Exam'!C131)</f>
        <v/>
      </c>
      <c r="D131" s="126" t="str">
        <f>IF('(2).Midterm Daily'!AH131="","",'(2).Midterm Daily'!AH131)</f>
        <v/>
      </c>
      <c r="E131" s="127" t="str">
        <f>IF('(3).Midterm Exam'!D131="","",'(3).Midterm Exam'!D131)</f>
        <v/>
      </c>
      <c r="F131" s="128" t="str">
        <f>IF('(3).Midterm Exam'!E131="","",'(3).Midterm Exam'!E131)</f>
        <v/>
      </c>
      <c r="G131" s="128" t="str">
        <f>IF('(3).Midterm Exam'!F131="","",'(3).Midterm Exam'!F131)</f>
        <v/>
      </c>
      <c r="H131" s="128" t="str">
        <f>IF('(3).Midterm Exam'!G131="","",'(3).Midterm Exam'!G131)</f>
        <v/>
      </c>
      <c r="I131" s="128" t="str">
        <f>IF('(3).Midterm Exam'!H131="","",'(3).Midterm Exam'!H131)</f>
        <v/>
      </c>
      <c r="J131" s="128" t="str">
        <f>IF('(3).Midterm Exam'!I131="","",'(3).Midterm Exam'!I131)</f>
        <v/>
      </c>
      <c r="K131" s="128" t="str">
        <f>IF('(3).Midterm Exam'!J131="","",'(3).Midterm Exam'!J131)</f>
        <v/>
      </c>
      <c r="L131" s="128" t="str">
        <f>IF('(3).Midterm Exam'!K131="","",'(3).Midterm Exam'!K131)</f>
        <v/>
      </c>
      <c r="M131" s="128" t="str">
        <f>IF('(3).Midterm Exam'!L131="","",'(3).Midterm Exam'!L131)</f>
        <v/>
      </c>
      <c r="N131" s="129" t="str">
        <f>IF('(3).Midterm Exam'!M131="","",'(3).Midterm Exam'!M131)</f>
        <v/>
      </c>
      <c r="O131" s="130" t="str">
        <f>IF(B131="","",IF(D131="Incomplete","Incomplete",IF('(3).Midterm Exam'!N131="Change","Change",IF('(3).Midterm Exam'!N131="Stop","Stop",IF('(3).Midterm Exam'!N131="Incomplete","Incomplete",IF(COUNTBLANK(D131:N131)&gt;=1,"Incomplete",D131*20%+SUM(E131:N131)*80%))))))</f>
        <v/>
      </c>
    </row>
    <row r="132" spans="1:15" ht="15.95" customHeight="1">
      <c r="A132" s="66">
        <v>18</v>
      </c>
      <c r="B132" s="63" t="str">
        <f>IF('(3).Midterm Exam'!B132="","",'(3).Midterm Exam'!B132)</f>
        <v/>
      </c>
      <c r="C132" s="67" t="str">
        <f>IF('(3).Midterm Exam'!C132="","",'(3).Midterm Exam'!C132)</f>
        <v/>
      </c>
      <c r="D132" s="126" t="str">
        <f>IF('(2).Midterm Daily'!AH132="","",'(2).Midterm Daily'!AH132)</f>
        <v/>
      </c>
      <c r="E132" s="127" t="str">
        <f>IF('(3).Midterm Exam'!D132="","",'(3).Midterm Exam'!D132)</f>
        <v/>
      </c>
      <c r="F132" s="128" t="str">
        <f>IF('(3).Midterm Exam'!E132="","",'(3).Midterm Exam'!E132)</f>
        <v/>
      </c>
      <c r="G132" s="128" t="str">
        <f>IF('(3).Midterm Exam'!F132="","",'(3).Midterm Exam'!F132)</f>
        <v/>
      </c>
      <c r="H132" s="128" t="str">
        <f>IF('(3).Midterm Exam'!G132="","",'(3).Midterm Exam'!G132)</f>
        <v/>
      </c>
      <c r="I132" s="128" t="str">
        <f>IF('(3).Midterm Exam'!H132="","",'(3).Midterm Exam'!H132)</f>
        <v/>
      </c>
      <c r="J132" s="128" t="str">
        <f>IF('(3).Midterm Exam'!I132="","",'(3).Midterm Exam'!I132)</f>
        <v/>
      </c>
      <c r="K132" s="128" t="str">
        <f>IF('(3).Midterm Exam'!J132="","",'(3).Midterm Exam'!J132)</f>
        <v/>
      </c>
      <c r="L132" s="128" t="str">
        <f>IF('(3).Midterm Exam'!K132="","",'(3).Midterm Exam'!K132)</f>
        <v/>
      </c>
      <c r="M132" s="128" t="str">
        <f>IF('(3).Midterm Exam'!L132="","",'(3).Midterm Exam'!L132)</f>
        <v/>
      </c>
      <c r="N132" s="129" t="str">
        <f>IF('(3).Midterm Exam'!M132="","",'(3).Midterm Exam'!M132)</f>
        <v/>
      </c>
      <c r="O132" s="130" t="str">
        <f>IF(B132="","",IF(D132="Incomplete","Incomplete",IF('(3).Midterm Exam'!N132="Change","Change",IF('(3).Midterm Exam'!N132="Stop","Stop",IF('(3).Midterm Exam'!N132="Incomplete","Incomplete",IF(COUNTBLANK(D132:N132)&gt;=1,"Incomplete",D132*20%+SUM(E132:N132)*80%))))))</f>
        <v/>
      </c>
    </row>
    <row r="133" spans="1:15" ht="15.95" customHeight="1">
      <c r="A133" s="66">
        <v>19</v>
      </c>
      <c r="B133" s="63" t="str">
        <f>IF('(3).Midterm Exam'!B133="","",'(3).Midterm Exam'!B133)</f>
        <v/>
      </c>
      <c r="C133" s="67" t="str">
        <f>IF('(3).Midterm Exam'!C133="","",'(3).Midterm Exam'!C133)</f>
        <v/>
      </c>
      <c r="D133" s="126" t="str">
        <f>IF('(2).Midterm Daily'!AH133="","",'(2).Midterm Daily'!AH133)</f>
        <v/>
      </c>
      <c r="E133" s="127" t="str">
        <f>IF('(3).Midterm Exam'!D133="","",'(3).Midterm Exam'!D133)</f>
        <v/>
      </c>
      <c r="F133" s="128" t="str">
        <f>IF('(3).Midterm Exam'!E133="","",'(3).Midterm Exam'!E133)</f>
        <v/>
      </c>
      <c r="G133" s="128" t="str">
        <f>IF('(3).Midterm Exam'!F133="","",'(3).Midterm Exam'!F133)</f>
        <v/>
      </c>
      <c r="H133" s="128" t="str">
        <f>IF('(3).Midterm Exam'!G133="","",'(3).Midterm Exam'!G133)</f>
        <v/>
      </c>
      <c r="I133" s="128" t="str">
        <f>IF('(3).Midterm Exam'!H133="","",'(3).Midterm Exam'!H133)</f>
        <v/>
      </c>
      <c r="J133" s="128" t="str">
        <f>IF('(3).Midterm Exam'!I133="","",'(3).Midterm Exam'!I133)</f>
        <v/>
      </c>
      <c r="K133" s="128" t="str">
        <f>IF('(3).Midterm Exam'!J133="","",'(3).Midterm Exam'!J133)</f>
        <v/>
      </c>
      <c r="L133" s="128" t="str">
        <f>IF('(3).Midterm Exam'!K133="","",'(3).Midterm Exam'!K133)</f>
        <v/>
      </c>
      <c r="M133" s="128" t="str">
        <f>IF('(3).Midterm Exam'!L133="","",'(3).Midterm Exam'!L133)</f>
        <v/>
      </c>
      <c r="N133" s="129" t="str">
        <f>IF('(3).Midterm Exam'!M133="","",'(3).Midterm Exam'!M133)</f>
        <v/>
      </c>
      <c r="O133" s="130" t="str">
        <f>IF(B133="","",IF(D133="Incomplete","Incomplete",IF('(3).Midterm Exam'!N133="Change","Change",IF('(3).Midterm Exam'!N133="Stop","Stop",IF('(3).Midterm Exam'!N133="Incomplete","Incomplete",IF(COUNTBLANK(D133:N133)&gt;=1,"Incomplete",D133*20%+SUM(E133:N133)*80%))))))</f>
        <v/>
      </c>
    </row>
    <row r="134" spans="1:15" ht="15.95" customHeight="1">
      <c r="A134" s="66">
        <v>20</v>
      </c>
      <c r="B134" s="63" t="str">
        <f>IF('(3).Midterm Exam'!B134="","",'(3).Midterm Exam'!B134)</f>
        <v/>
      </c>
      <c r="C134" s="67" t="str">
        <f>IF('(3).Midterm Exam'!C134="","",'(3).Midterm Exam'!C134)</f>
        <v/>
      </c>
      <c r="D134" s="126" t="str">
        <f>IF('(2).Midterm Daily'!AH134="","",'(2).Midterm Daily'!AH134)</f>
        <v/>
      </c>
      <c r="E134" s="127" t="str">
        <f>IF('(3).Midterm Exam'!D134="","",'(3).Midterm Exam'!D134)</f>
        <v/>
      </c>
      <c r="F134" s="128" t="str">
        <f>IF('(3).Midterm Exam'!E134="","",'(3).Midterm Exam'!E134)</f>
        <v/>
      </c>
      <c r="G134" s="128" t="str">
        <f>IF('(3).Midterm Exam'!F134="","",'(3).Midterm Exam'!F134)</f>
        <v/>
      </c>
      <c r="H134" s="128" t="str">
        <f>IF('(3).Midterm Exam'!G134="","",'(3).Midterm Exam'!G134)</f>
        <v/>
      </c>
      <c r="I134" s="128" t="str">
        <f>IF('(3).Midterm Exam'!H134="","",'(3).Midterm Exam'!H134)</f>
        <v/>
      </c>
      <c r="J134" s="128" t="str">
        <f>IF('(3).Midterm Exam'!I134="","",'(3).Midterm Exam'!I134)</f>
        <v/>
      </c>
      <c r="K134" s="128" t="str">
        <f>IF('(3).Midterm Exam'!J134="","",'(3).Midterm Exam'!J134)</f>
        <v/>
      </c>
      <c r="L134" s="128" t="str">
        <f>IF('(3).Midterm Exam'!K134="","",'(3).Midterm Exam'!K134)</f>
        <v/>
      </c>
      <c r="M134" s="128" t="str">
        <f>IF('(3).Midterm Exam'!L134="","",'(3).Midterm Exam'!L134)</f>
        <v/>
      </c>
      <c r="N134" s="129" t="str">
        <f>IF('(3).Midterm Exam'!M134="","",'(3).Midterm Exam'!M134)</f>
        <v/>
      </c>
      <c r="O134" s="130" t="str">
        <f>IF(B134="","",IF(D134="Incomplete","Incomplete",IF('(3).Midterm Exam'!N134="Change","Change",IF('(3).Midterm Exam'!N134="Stop","Stop",IF('(3).Midterm Exam'!N134="Incomplete","Incomplete",IF(COUNTBLANK(D134:N134)&gt;=1,"Incomplete",D134*20%+SUM(E134:N134)*80%))))))</f>
        <v/>
      </c>
    </row>
    <row r="135" spans="1:15" ht="15.95" customHeight="1">
      <c r="A135" s="66">
        <v>21</v>
      </c>
      <c r="B135" s="63" t="str">
        <f>IF('(3).Midterm Exam'!B135="","",'(3).Midterm Exam'!B135)</f>
        <v/>
      </c>
      <c r="C135" s="67" t="str">
        <f>IF('(3).Midterm Exam'!C135="","",'(3).Midterm Exam'!C135)</f>
        <v/>
      </c>
      <c r="D135" s="126" t="str">
        <f>IF('(2).Midterm Daily'!AH135="","",'(2).Midterm Daily'!AH135)</f>
        <v/>
      </c>
      <c r="E135" s="127" t="str">
        <f>IF('(3).Midterm Exam'!D135="","",'(3).Midterm Exam'!D135)</f>
        <v/>
      </c>
      <c r="F135" s="128" t="str">
        <f>IF('(3).Midterm Exam'!E135="","",'(3).Midterm Exam'!E135)</f>
        <v/>
      </c>
      <c r="G135" s="128" t="str">
        <f>IF('(3).Midterm Exam'!F135="","",'(3).Midterm Exam'!F135)</f>
        <v/>
      </c>
      <c r="H135" s="128" t="str">
        <f>IF('(3).Midterm Exam'!G135="","",'(3).Midterm Exam'!G135)</f>
        <v/>
      </c>
      <c r="I135" s="128" t="str">
        <f>IF('(3).Midterm Exam'!H135="","",'(3).Midterm Exam'!H135)</f>
        <v/>
      </c>
      <c r="J135" s="128" t="str">
        <f>IF('(3).Midterm Exam'!I135="","",'(3).Midterm Exam'!I135)</f>
        <v/>
      </c>
      <c r="K135" s="128" t="str">
        <f>IF('(3).Midterm Exam'!J135="","",'(3).Midterm Exam'!J135)</f>
        <v/>
      </c>
      <c r="L135" s="128" t="str">
        <f>IF('(3).Midterm Exam'!K135="","",'(3).Midterm Exam'!K135)</f>
        <v/>
      </c>
      <c r="M135" s="128" t="str">
        <f>IF('(3).Midterm Exam'!L135="","",'(3).Midterm Exam'!L135)</f>
        <v/>
      </c>
      <c r="N135" s="129" t="str">
        <f>IF('(3).Midterm Exam'!M135="","",'(3).Midterm Exam'!M135)</f>
        <v/>
      </c>
      <c r="O135" s="130" t="str">
        <f>IF(B135="","",IF(D135="Incomplete","Incomplete",IF('(3).Midterm Exam'!N135="Change","Change",IF('(3).Midterm Exam'!N135="Stop","Stop",IF('(3).Midterm Exam'!N135="Incomplete","Incomplete",IF(COUNTBLANK(D135:N135)&gt;=1,"Incomplete",D135*20%+SUM(E135:N135)*80%))))))</f>
        <v/>
      </c>
    </row>
    <row r="136" spans="1:15" ht="15.95" customHeight="1">
      <c r="A136" s="66">
        <v>22</v>
      </c>
      <c r="B136" s="63" t="str">
        <f>IF('(3).Midterm Exam'!B136="","",'(3).Midterm Exam'!B136)</f>
        <v/>
      </c>
      <c r="C136" s="67" t="str">
        <f>IF('(3).Midterm Exam'!C136="","",'(3).Midterm Exam'!C136)</f>
        <v/>
      </c>
      <c r="D136" s="126" t="str">
        <f>IF('(2).Midterm Daily'!AH136="","",'(2).Midterm Daily'!AH136)</f>
        <v/>
      </c>
      <c r="E136" s="127" t="str">
        <f>IF('(3).Midterm Exam'!D136="","",'(3).Midterm Exam'!D136)</f>
        <v/>
      </c>
      <c r="F136" s="128" t="str">
        <f>IF('(3).Midterm Exam'!E136="","",'(3).Midterm Exam'!E136)</f>
        <v/>
      </c>
      <c r="G136" s="128" t="str">
        <f>IF('(3).Midterm Exam'!F136="","",'(3).Midterm Exam'!F136)</f>
        <v/>
      </c>
      <c r="H136" s="128" t="str">
        <f>IF('(3).Midterm Exam'!G136="","",'(3).Midterm Exam'!G136)</f>
        <v/>
      </c>
      <c r="I136" s="128" t="str">
        <f>IF('(3).Midterm Exam'!H136="","",'(3).Midterm Exam'!H136)</f>
        <v/>
      </c>
      <c r="J136" s="128" t="str">
        <f>IF('(3).Midterm Exam'!I136="","",'(3).Midterm Exam'!I136)</f>
        <v/>
      </c>
      <c r="K136" s="128" t="str">
        <f>IF('(3).Midterm Exam'!J136="","",'(3).Midterm Exam'!J136)</f>
        <v/>
      </c>
      <c r="L136" s="128" t="str">
        <f>IF('(3).Midterm Exam'!K136="","",'(3).Midterm Exam'!K136)</f>
        <v/>
      </c>
      <c r="M136" s="128" t="str">
        <f>IF('(3).Midterm Exam'!L136="","",'(3).Midterm Exam'!L136)</f>
        <v/>
      </c>
      <c r="N136" s="129" t="str">
        <f>IF('(3).Midterm Exam'!M136="","",'(3).Midterm Exam'!M136)</f>
        <v/>
      </c>
      <c r="O136" s="130" t="str">
        <f>IF(B136="","",IF(D136="Incomplete","Incomplete",IF('(3).Midterm Exam'!N136="Change","Change",IF('(3).Midterm Exam'!N136="Stop","Stop",IF('(3).Midterm Exam'!N136="Incomplete","Incomplete",IF(COUNTBLANK(D136:N136)&gt;=1,"Incomplete",D136*20%+SUM(E136:N136)*80%))))))</f>
        <v/>
      </c>
    </row>
    <row r="137" spans="1:15" ht="15.95" customHeight="1">
      <c r="A137" s="66">
        <v>23</v>
      </c>
      <c r="B137" s="63" t="str">
        <f>IF('(3).Midterm Exam'!B137="","",'(3).Midterm Exam'!B137)</f>
        <v/>
      </c>
      <c r="C137" s="67" t="str">
        <f>IF('(3).Midterm Exam'!C137="","",'(3).Midterm Exam'!C137)</f>
        <v/>
      </c>
      <c r="D137" s="126" t="str">
        <f>IF('(2).Midterm Daily'!AH137="","",'(2).Midterm Daily'!AH137)</f>
        <v/>
      </c>
      <c r="E137" s="127" t="str">
        <f>IF('(3).Midterm Exam'!D137="","",'(3).Midterm Exam'!D137)</f>
        <v/>
      </c>
      <c r="F137" s="128" t="str">
        <f>IF('(3).Midterm Exam'!E137="","",'(3).Midterm Exam'!E137)</f>
        <v/>
      </c>
      <c r="G137" s="128" t="str">
        <f>IF('(3).Midterm Exam'!F137="","",'(3).Midterm Exam'!F137)</f>
        <v/>
      </c>
      <c r="H137" s="128" t="str">
        <f>IF('(3).Midterm Exam'!G137="","",'(3).Midterm Exam'!G137)</f>
        <v/>
      </c>
      <c r="I137" s="128" t="str">
        <f>IF('(3).Midterm Exam'!H137="","",'(3).Midterm Exam'!H137)</f>
        <v/>
      </c>
      <c r="J137" s="128" t="str">
        <f>IF('(3).Midterm Exam'!I137="","",'(3).Midterm Exam'!I137)</f>
        <v/>
      </c>
      <c r="K137" s="128" t="str">
        <f>IF('(3).Midterm Exam'!J137="","",'(3).Midterm Exam'!J137)</f>
        <v/>
      </c>
      <c r="L137" s="128" t="str">
        <f>IF('(3).Midterm Exam'!K137="","",'(3).Midterm Exam'!K137)</f>
        <v/>
      </c>
      <c r="M137" s="128" t="str">
        <f>IF('(3).Midterm Exam'!L137="","",'(3).Midterm Exam'!L137)</f>
        <v/>
      </c>
      <c r="N137" s="129" t="str">
        <f>IF('(3).Midterm Exam'!M137="","",'(3).Midterm Exam'!M137)</f>
        <v/>
      </c>
      <c r="O137" s="130" t="str">
        <f>IF(B137="","",IF(D137="Incomplete","Incomplete",IF('(3).Midterm Exam'!N137="Change","Change",IF('(3).Midterm Exam'!N137="Stop","Stop",IF('(3).Midterm Exam'!N137="Incomplete","Incomplete",IF(COUNTBLANK(D137:N137)&gt;=1,"Incomplete",D137*20%+SUM(E137:N137)*80%))))))</f>
        <v/>
      </c>
    </row>
    <row r="138" spans="1:15" ht="15.95" customHeight="1">
      <c r="A138" s="66">
        <v>24</v>
      </c>
      <c r="B138" s="63" t="str">
        <f>IF('(3).Midterm Exam'!B138="","",'(3).Midterm Exam'!B138)</f>
        <v/>
      </c>
      <c r="C138" s="67" t="str">
        <f>IF('(3).Midterm Exam'!C138="","",'(3).Midterm Exam'!C138)</f>
        <v/>
      </c>
      <c r="D138" s="126" t="str">
        <f>IF('(2).Midterm Daily'!AH138="","",'(2).Midterm Daily'!AH138)</f>
        <v/>
      </c>
      <c r="E138" s="127" t="str">
        <f>IF('(3).Midterm Exam'!D138="","",'(3).Midterm Exam'!D138)</f>
        <v/>
      </c>
      <c r="F138" s="128" t="str">
        <f>IF('(3).Midterm Exam'!E138="","",'(3).Midterm Exam'!E138)</f>
        <v/>
      </c>
      <c r="G138" s="128" t="str">
        <f>IF('(3).Midterm Exam'!F138="","",'(3).Midterm Exam'!F138)</f>
        <v/>
      </c>
      <c r="H138" s="128" t="str">
        <f>IF('(3).Midterm Exam'!G138="","",'(3).Midterm Exam'!G138)</f>
        <v/>
      </c>
      <c r="I138" s="128" t="str">
        <f>IF('(3).Midterm Exam'!H138="","",'(3).Midterm Exam'!H138)</f>
        <v/>
      </c>
      <c r="J138" s="128" t="str">
        <f>IF('(3).Midterm Exam'!I138="","",'(3).Midterm Exam'!I138)</f>
        <v/>
      </c>
      <c r="K138" s="128" t="str">
        <f>IF('(3).Midterm Exam'!J138="","",'(3).Midterm Exam'!J138)</f>
        <v/>
      </c>
      <c r="L138" s="128" t="str">
        <f>IF('(3).Midterm Exam'!K138="","",'(3).Midterm Exam'!K138)</f>
        <v/>
      </c>
      <c r="M138" s="128" t="str">
        <f>IF('(3).Midterm Exam'!L138="","",'(3).Midterm Exam'!L138)</f>
        <v/>
      </c>
      <c r="N138" s="129" t="str">
        <f>IF('(3).Midterm Exam'!M138="","",'(3).Midterm Exam'!M138)</f>
        <v/>
      </c>
      <c r="O138" s="130" t="str">
        <f>IF(B138="","",IF(D138="Incomplete","Incomplete",IF('(3).Midterm Exam'!N138="Change","Change",IF('(3).Midterm Exam'!N138="Stop","Stop",IF('(3).Midterm Exam'!N138="Incomplete","Incomplete",IF(COUNTBLANK(D138:N138)&gt;=1,"Incomplete",D138*20%+SUM(E138:N138)*80%))))))</f>
        <v/>
      </c>
    </row>
    <row r="139" spans="1:15" ht="15.95" customHeight="1">
      <c r="A139" s="66">
        <v>25</v>
      </c>
      <c r="B139" s="63" t="str">
        <f>IF('(3).Midterm Exam'!B139="","",'(3).Midterm Exam'!B139)</f>
        <v/>
      </c>
      <c r="C139" s="67" t="str">
        <f>IF('(3).Midterm Exam'!C139="","",'(3).Midterm Exam'!C139)</f>
        <v/>
      </c>
      <c r="D139" s="126" t="str">
        <f>IF('(2).Midterm Daily'!AH139="","",'(2).Midterm Daily'!AH139)</f>
        <v/>
      </c>
      <c r="E139" s="127" t="str">
        <f>IF('(3).Midterm Exam'!D139="","",'(3).Midterm Exam'!D139)</f>
        <v/>
      </c>
      <c r="F139" s="128" t="str">
        <f>IF('(3).Midterm Exam'!E139="","",'(3).Midterm Exam'!E139)</f>
        <v/>
      </c>
      <c r="G139" s="128" t="str">
        <f>IF('(3).Midterm Exam'!F139="","",'(3).Midterm Exam'!F139)</f>
        <v/>
      </c>
      <c r="H139" s="128" t="str">
        <f>IF('(3).Midterm Exam'!G139="","",'(3).Midterm Exam'!G139)</f>
        <v/>
      </c>
      <c r="I139" s="128" t="str">
        <f>IF('(3).Midterm Exam'!H139="","",'(3).Midterm Exam'!H139)</f>
        <v/>
      </c>
      <c r="J139" s="128" t="str">
        <f>IF('(3).Midterm Exam'!I139="","",'(3).Midterm Exam'!I139)</f>
        <v/>
      </c>
      <c r="K139" s="128" t="str">
        <f>IF('(3).Midterm Exam'!J139="","",'(3).Midterm Exam'!J139)</f>
        <v/>
      </c>
      <c r="L139" s="128" t="str">
        <f>IF('(3).Midterm Exam'!K139="","",'(3).Midterm Exam'!K139)</f>
        <v/>
      </c>
      <c r="M139" s="128" t="str">
        <f>IF('(3).Midterm Exam'!L139="","",'(3).Midterm Exam'!L139)</f>
        <v/>
      </c>
      <c r="N139" s="129" t="str">
        <f>IF('(3).Midterm Exam'!M139="","",'(3).Midterm Exam'!M139)</f>
        <v/>
      </c>
      <c r="O139" s="130" t="str">
        <f>IF(B139="","",IF(D139="Incomplete","Incomplete",IF('(3).Midterm Exam'!N139="Change","Change",IF('(3).Midterm Exam'!N139="Stop","Stop",IF('(3).Midterm Exam'!N139="Incomplete","Incomplete",IF(COUNTBLANK(D139:N139)&gt;=1,"Incomplete",D139*20%+SUM(E139:N139)*80%))))))</f>
        <v/>
      </c>
    </row>
    <row r="140" spans="1:15" ht="15.95" customHeight="1">
      <c r="A140" s="66">
        <v>26</v>
      </c>
      <c r="B140" s="63" t="str">
        <f>IF('(3).Midterm Exam'!B140="","",'(3).Midterm Exam'!B140)</f>
        <v/>
      </c>
      <c r="C140" s="67" t="str">
        <f>IF('(3).Midterm Exam'!C140="","",'(3).Midterm Exam'!C140)</f>
        <v/>
      </c>
      <c r="D140" s="126" t="str">
        <f>IF('(2).Midterm Daily'!AH140="","",'(2).Midterm Daily'!AH140)</f>
        <v/>
      </c>
      <c r="E140" s="127" t="str">
        <f>IF('(3).Midterm Exam'!D140="","",'(3).Midterm Exam'!D140)</f>
        <v/>
      </c>
      <c r="F140" s="128" t="str">
        <f>IF('(3).Midterm Exam'!E140="","",'(3).Midterm Exam'!E140)</f>
        <v/>
      </c>
      <c r="G140" s="128" t="str">
        <f>IF('(3).Midterm Exam'!F140="","",'(3).Midterm Exam'!F140)</f>
        <v/>
      </c>
      <c r="H140" s="128" t="str">
        <f>IF('(3).Midterm Exam'!G140="","",'(3).Midterm Exam'!G140)</f>
        <v/>
      </c>
      <c r="I140" s="128" t="str">
        <f>IF('(3).Midterm Exam'!H140="","",'(3).Midterm Exam'!H140)</f>
        <v/>
      </c>
      <c r="J140" s="128" t="str">
        <f>IF('(3).Midterm Exam'!I140="","",'(3).Midterm Exam'!I140)</f>
        <v/>
      </c>
      <c r="K140" s="128" t="str">
        <f>IF('(3).Midterm Exam'!J140="","",'(3).Midterm Exam'!J140)</f>
        <v/>
      </c>
      <c r="L140" s="128" t="str">
        <f>IF('(3).Midterm Exam'!K140="","",'(3).Midterm Exam'!K140)</f>
        <v/>
      </c>
      <c r="M140" s="128" t="str">
        <f>IF('(3).Midterm Exam'!L140="","",'(3).Midterm Exam'!L140)</f>
        <v/>
      </c>
      <c r="N140" s="129" t="str">
        <f>IF('(3).Midterm Exam'!M140="","",'(3).Midterm Exam'!M140)</f>
        <v/>
      </c>
      <c r="O140" s="130" t="str">
        <f>IF(B140="","",IF(D140="Incomplete","Incomplete",IF('(3).Midterm Exam'!N140="Change","Change",IF('(3).Midterm Exam'!N140="Stop","Stop",IF('(3).Midterm Exam'!N140="Incomplete","Incomplete",IF(COUNTBLANK(D140:N140)&gt;=1,"Incomplete",D140*20%+SUM(E140:N140)*80%))))))</f>
        <v/>
      </c>
    </row>
    <row r="141" spans="1:15" ht="15.95" customHeight="1">
      <c r="A141" s="66">
        <v>27</v>
      </c>
      <c r="B141" s="63" t="str">
        <f>IF('(3).Midterm Exam'!B141="","",'(3).Midterm Exam'!B141)</f>
        <v/>
      </c>
      <c r="C141" s="67" t="str">
        <f>IF('(3).Midterm Exam'!C141="","",'(3).Midterm Exam'!C141)</f>
        <v/>
      </c>
      <c r="D141" s="126" t="str">
        <f>IF('(2).Midterm Daily'!AH141="","",'(2).Midterm Daily'!AH141)</f>
        <v/>
      </c>
      <c r="E141" s="127" t="str">
        <f>IF('(3).Midterm Exam'!D141="","",'(3).Midterm Exam'!D141)</f>
        <v/>
      </c>
      <c r="F141" s="128" t="str">
        <f>IF('(3).Midterm Exam'!E141="","",'(3).Midterm Exam'!E141)</f>
        <v/>
      </c>
      <c r="G141" s="128" t="str">
        <f>IF('(3).Midterm Exam'!F141="","",'(3).Midterm Exam'!F141)</f>
        <v/>
      </c>
      <c r="H141" s="128" t="str">
        <f>IF('(3).Midterm Exam'!G141="","",'(3).Midterm Exam'!G141)</f>
        <v/>
      </c>
      <c r="I141" s="128" t="str">
        <f>IF('(3).Midterm Exam'!H141="","",'(3).Midterm Exam'!H141)</f>
        <v/>
      </c>
      <c r="J141" s="128" t="str">
        <f>IF('(3).Midterm Exam'!I141="","",'(3).Midterm Exam'!I141)</f>
        <v/>
      </c>
      <c r="K141" s="128" t="str">
        <f>IF('(3).Midterm Exam'!J141="","",'(3).Midterm Exam'!J141)</f>
        <v/>
      </c>
      <c r="L141" s="128" t="str">
        <f>IF('(3).Midterm Exam'!K141="","",'(3).Midterm Exam'!K141)</f>
        <v/>
      </c>
      <c r="M141" s="128" t="str">
        <f>IF('(3).Midterm Exam'!L141="","",'(3).Midterm Exam'!L141)</f>
        <v/>
      </c>
      <c r="N141" s="129" t="str">
        <f>IF('(3).Midterm Exam'!M141="","",'(3).Midterm Exam'!M141)</f>
        <v/>
      </c>
      <c r="O141" s="130" t="str">
        <f>IF(B141="","",IF(D141="Incomplete","Incomplete",IF('(3).Midterm Exam'!N141="Change","Change",IF('(3).Midterm Exam'!N141="Stop","Stop",IF('(3).Midterm Exam'!N141="Incomplete","Incomplete",IF(COUNTBLANK(D141:N141)&gt;=1,"Incomplete",D141*20%+SUM(E141:N141)*80%))))))</f>
        <v/>
      </c>
    </row>
    <row r="142" spans="1:15" ht="15.95" customHeight="1">
      <c r="A142" s="66">
        <v>28</v>
      </c>
      <c r="B142" s="63" t="str">
        <f>IF('(3).Midterm Exam'!B142="","",'(3).Midterm Exam'!B142)</f>
        <v/>
      </c>
      <c r="C142" s="67" t="str">
        <f>IF('(3).Midterm Exam'!C142="","",'(3).Midterm Exam'!C142)</f>
        <v/>
      </c>
      <c r="D142" s="126" t="str">
        <f>IF('(2).Midterm Daily'!AH142="","",'(2).Midterm Daily'!AH142)</f>
        <v/>
      </c>
      <c r="E142" s="127" t="str">
        <f>IF('(3).Midterm Exam'!D142="","",'(3).Midterm Exam'!D142)</f>
        <v/>
      </c>
      <c r="F142" s="128" t="str">
        <f>IF('(3).Midterm Exam'!E142="","",'(3).Midterm Exam'!E142)</f>
        <v/>
      </c>
      <c r="G142" s="128" t="str">
        <f>IF('(3).Midterm Exam'!F142="","",'(3).Midterm Exam'!F142)</f>
        <v/>
      </c>
      <c r="H142" s="128" t="str">
        <f>IF('(3).Midterm Exam'!G142="","",'(3).Midterm Exam'!G142)</f>
        <v/>
      </c>
      <c r="I142" s="128" t="str">
        <f>IF('(3).Midterm Exam'!H142="","",'(3).Midterm Exam'!H142)</f>
        <v/>
      </c>
      <c r="J142" s="128" t="str">
        <f>IF('(3).Midterm Exam'!I142="","",'(3).Midterm Exam'!I142)</f>
        <v/>
      </c>
      <c r="K142" s="128" t="str">
        <f>IF('(3).Midterm Exam'!J142="","",'(3).Midterm Exam'!J142)</f>
        <v/>
      </c>
      <c r="L142" s="128" t="str">
        <f>IF('(3).Midterm Exam'!K142="","",'(3).Midterm Exam'!K142)</f>
        <v/>
      </c>
      <c r="M142" s="128" t="str">
        <f>IF('(3).Midterm Exam'!L142="","",'(3).Midterm Exam'!L142)</f>
        <v/>
      </c>
      <c r="N142" s="129" t="str">
        <f>IF('(3).Midterm Exam'!M142="","",'(3).Midterm Exam'!M142)</f>
        <v/>
      </c>
      <c r="O142" s="130" t="str">
        <f>IF(B142="","",IF(D142="Incomplete","Incomplete",IF('(3).Midterm Exam'!N142="Change","Change",IF('(3).Midterm Exam'!N142="Stop","Stop",IF('(3).Midterm Exam'!N142="Incomplete","Incomplete",IF(COUNTBLANK(D142:N142)&gt;=1,"Incomplete",D142*20%+SUM(E142:N142)*80%))))))</f>
        <v/>
      </c>
    </row>
    <row r="143" spans="1:15" ht="15.95" customHeight="1">
      <c r="A143" s="66">
        <v>29</v>
      </c>
      <c r="B143" s="63" t="str">
        <f>IF('(3).Midterm Exam'!B143="","",'(3).Midterm Exam'!B143)</f>
        <v/>
      </c>
      <c r="C143" s="67" t="str">
        <f>IF('(3).Midterm Exam'!C143="","",'(3).Midterm Exam'!C143)</f>
        <v/>
      </c>
      <c r="D143" s="126" t="str">
        <f>IF('(2).Midterm Daily'!AH143="","",'(2).Midterm Daily'!AH143)</f>
        <v/>
      </c>
      <c r="E143" s="127" t="str">
        <f>IF('(3).Midterm Exam'!D143="","",'(3).Midterm Exam'!D143)</f>
        <v/>
      </c>
      <c r="F143" s="128" t="str">
        <f>IF('(3).Midterm Exam'!E143="","",'(3).Midterm Exam'!E143)</f>
        <v/>
      </c>
      <c r="G143" s="128" t="str">
        <f>IF('(3).Midterm Exam'!F143="","",'(3).Midterm Exam'!F143)</f>
        <v/>
      </c>
      <c r="H143" s="128" t="str">
        <f>IF('(3).Midterm Exam'!G143="","",'(3).Midterm Exam'!G143)</f>
        <v/>
      </c>
      <c r="I143" s="128" t="str">
        <f>IF('(3).Midterm Exam'!H143="","",'(3).Midterm Exam'!H143)</f>
        <v/>
      </c>
      <c r="J143" s="128" t="str">
        <f>IF('(3).Midterm Exam'!I143="","",'(3).Midterm Exam'!I143)</f>
        <v/>
      </c>
      <c r="K143" s="128" t="str">
        <f>IF('(3).Midterm Exam'!J143="","",'(3).Midterm Exam'!J143)</f>
        <v/>
      </c>
      <c r="L143" s="128" t="str">
        <f>IF('(3).Midterm Exam'!K143="","",'(3).Midterm Exam'!K143)</f>
        <v/>
      </c>
      <c r="M143" s="128" t="str">
        <f>IF('(3).Midterm Exam'!L143="","",'(3).Midterm Exam'!L143)</f>
        <v/>
      </c>
      <c r="N143" s="129" t="str">
        <f>IF('(3).Midterm Exam'!M143="","",'(3).Midterm Exam'!M143)</f>
        <v/>
      </c>
      <c r="O143" s="130" t="str">
        <f>IF(B143="","",IF(D143="Incomplete","Incomplete",IF('(3).Midterm Exam'!N143="Change","Change",IF('(3).Midterm Exam'!N143="Stop","Stop",IF('(3).Midterm Exam'!N143="Incomplete","Incomplete",IF(COUNTBLANK(D143:N143)&gt;=1,"Incomplete",D143*20%+SUM(E143:N143)*80%))))))</f>
        <v/>
      </c>
    </row>
    <row r="144" spans="1:15" ht="15.95" customHeight="1">
      <c r="A144" s="66">
        <v>30</v>
      </c>
      <c r="B144" s="63" t="str">
        <f>IF('(3).Midterm Exam'!B144="","",'(3).Midterm Exam'!B144)</f>
        <v/>
      </c>
      <c r="C144" s="67" t="str">
        <f>IF('(3).Midterm Exam'!C144="","",'(3).Midterm Exam'!C144)</f>
        <v/>
      </c>
      <c r="D144" s="126" t="str">
        <f>IF('(2).Midterm Daily'!AH144="","",'(2).Midterm Daily'!AH144)</f>
        <v/>
      </c>
      <c r="E144" s="127" t="str">
        <f>IF('(3).Midterm Exam'!D144="","",'(3).Midterm Exam'!D144)</f>
        <v/>
      </c>
      <c r="F144" s="128" t="str">
        <f>IF('(3).Midterm Exam'!E144="","",'(3).Midterm Exam'!E144)</f>
        <v/>
      </c>
      <c r="G144" s="128" t="str">
        <f>IF('(3).Midterm Exam'!F144="","",'(3).Midterm Exam'!F144)</f>
        <v/>
      </c>
      <c r="H144" s="128" t="str">
        <f>IF('(3).Midterm Exam'!G144="","",'(3).Midterm Exam'!G144)</f>
        <v/>
      </c>
      <c r="I144" s="128" t="str">
        <f>IF('(3).Midterm Exam'!H144="","",'(3).Midterm Exam'!H144)</f>
        <v/>
      </c>
      <c r="J144" s="128" t="str">
        <f>IF('(3).Midterm Exam'!I144="","",'(3).Midterm Exam'!I144)</f>
        <v/>
      </c>
      <c r="K144" s="128" t="str">
        <f>IF('(3).Midterm Exam'!J144="","",'(3).Midterm Exam'!J144)</f>
        <v/>
      </c>
      <c r="L144" s="128" t="str">
        <f>IF('(3).Midterm Exam'!K144="","",'(3).Midterm Exam'!K144)</f>
        <v/>
      </c>
      <c r="M144" s="128" t="str">
        <f>IF('(3).Midterm Exam'!L144="","",'(3).Midterm Exam'!L144)</f>
        <v/>
      </c>
      <c r="N144" s="129" t="str">
        <f>IF('(3).Midterm Exam'!M144="","",'(3).Midterm Exam'!M144)</f>
        <v/>
      </c>
      <c r="O144" s="130" t="str">
        <f>IF(B144="","",IF(D144="Incomplete","Incomplete",IF('(3).Midterm Exam'!N144="Change","Change",IF('(3).Midterm Exam'!N144="Stop","Stop",IF('(3).Midterm Exam'!N144="Incomplete","Incomplete",IF(COUNTBLANK(D144:N144)&gt;=1,"Incomplete",D144*20%+SUM(E144:N144)*80%))))))</f>
        <v/>
      </c>
    </row>
    <row r="145" spans="1:15" ht="15.95" customHeight="1">
      <c r="A145" s="18" t="s">
        <v>0</v>
      </c>
      <c r="B145" s="19">
        <f>'(3).Midterm Exam'!B145</f>
        <v>0</v>
      </c>
      <c r="C145" s="60"/>
      <c r="D145" s="225" t="s">
        <v>94</v>
      </c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</row>
    <row r="146" spans="1:15" ht="15.95" customHeight="1">
      <c r="A146" s="18" t="s">
        <v>1</v>
      </c>
      <c r="B146" s="19">
        <f>'(3).Midterm Exam'!B146</f>
        <v>0</v>
      </c>
      <c r="C146" s="60"/>
      <c r="D146" s="225" t="str">
        <f>'(3).Midterm Exam'!D147</f>
        <v>FEBRUARY - JULY 2026</v>
      </c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</row>
    <row r="147" spans="1:15" ht="15.95" customHeight="1">
      <c r="A147" s="18" t="s">
        <v>2</v>
      </c>
      <c r="B147" s="19">
        <f>'(3).Midterm Exam'!B147</f>
        <v>0</v>
      </c>
      <c r="C147" s="60"/>
      <c r="D147" s="226" t="s">
        <v>30</v>
      </c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</row>
    <row r="148" spans="1:15" ht="15.95" customHeight="1">
      <c r="A148" s="18" t="s">
        <v>3</v>
      </c>
      <c r="B148" s="19">
        <f>'(3).Midterm Exam'!B148</f>
        <v>0</v>
      </c>
      <c r="C148" s="60"/>
      <c r="D148" s="117" t="s">
        <v>14</v>
      </c>
      <c r="E148" s="227" t="s">
        <v>93</v>
      </c>
      <c r="F148" s="228"/>
      <c r="G148" s="228"/>
      <c r="H148" s="228"/>
      <c r="I148" s="228"/>
      <c r="J148" s="228"/>
      <c r="K148" s="228"/>
      <c r="L148" s="228"/>
      <c r="M148" s="228"/>
      <c r="N148" s="229"/>
      <c r="O148" s="118" t="s">
        <v>16</v>
      </c>
    </row>
    <row r="149" spans="1:15" ht="15.95" customHeight="1">
      <c r="A149" s="18" t="s">
        <v>4</v>
      </c>
      <c r="B149" s="19">
        <f>'(3).Midterm Exam'!B149</f>
        <v>0</v>
      </c>
      <c r="C149" s="60"/>
      <c r="D149" s="119" t="s">
        <v>15</v>
      </c>
      <c r="E149" s="112" t="str">
        <f>IF(OR($B146="K5",$B146="K6",$B146="K7",$B146="K8",$B146="K9",$B146="K10"),"Listening","Up-Low C")</f>
        <v>Up-Low C</v>
      </c>
      <c r="F149" s="112" t="str">
        <f>IF(OR($B146="K5",$B146="K6",$B146="K7",$B146="K8",$B146="K9",$B146="K10"),"Speaking","Alphabet N")</f>
        <v>Alphabet N</v>
      </c>
      <c r="G149" s="112" t="str">
        <f>IF(OR($B146="K5",$B146="K6",$B146="K7",$B146="K8",$B146="K9",$B146="K10"),"Reading","Alphabet S")</f>
        <v>Alphabet S</v>
      </c>
      <c r="H149" s="112" t="str">
        <f>IF(OR($B146="K5",$B146="K6",$B146="K7",$B146="K8",$B146="K9",$B146="K10"),"Writing","Vocabulary")</f>
        <v>Vocabulary</v>
      </c>
      <c r="I149" s="112" t="str">
        <f>IF(OR($B146="K5",$B146="K6",$B146="K7",$B146="K8",$B146="K9",$B146="K10"),"Grammar","Sprouts")</f>
        <v>Sprouts</v>
      </c>
      <c r="J149" s="112" t="str">
        <f>IF(OR($B146="K5",$B146="K6",$B146="K7",$B146="K8",$B146="K9",$B146="K10"),"Vocabulary","Phonics")</f>
        <v>Phonics</v>
      </c>
      <c r="K149" s="112" t="str">
        <f>IF(OR($B146="K5",$B146="K6",$B146="K7",$B146="K8",$B146="K9",$B146="K10"),"Roots","Math")</f>
        <v>Math</v>
      </c>
      <c r="L149" s="112" t="str">
        <f>IF(OR($B146="K5",$B146="K6",$B146="K7",$B146="K8",$B146="K9",$B146="K10"),"Phonics","Shape")</f>
        <v>Shape</v>
      </c>
      <c r="M149" s="112" t="str">
        <f>IF(OR($B146="K5",$B146="K6",$B146="K7",$B146="K8",$B146="K9",$B146="K10"),"Math","Science")</f>
        <v>Science</v>
      </c>
      <c r="N149" s="112" t="str">
        <f>IF(OR($B146="K5",$B146="K6",$B146="K7",$B146="K8",$B146="K9",$B146="K10"),"Science","Tracing")</f>
        <v>Tracing</v>
      </c>
      <c r="O149" s="120" t="s">
        <v>17</v>
      </c>
    </row>
    <row r="150" spans="1:15" ht="15.95" customHeight="1" thickBot="1">
      <c r="A150" s="82" t="s">
        <v>5</v>
      </c>
      <c r="B150" s="83" t="s">
        <v>6</v>
      </c>
      <c r="C150" s="84" t="s">
        <v>7</v>
      </c>
      <c r="D150" s="113" t="s">
        <v>92</v>
      </c>
      <c r="E150" s="113" t="s">
        <v>9</v>
      </c>
      <c r="F150" s="113" t="s">
        <v>9</v>
      </c>
      <c r="G150" s="113" t="s">
        <v>9</v>
      </c>
      <c r="H150" s="113" t="s">
        <v>9</v>
      </c>
      <c r="I150" s="113" t="s">
        <v>9</v>
      </c>
      <c r="J150" s="113" t="s">
        <v>9</v>
      </c>
      <c r="K150" s="113" t="s">
        <v>9</v>
      </c>
      <c r="L150" s="113" t="s">
        <v>9</v>
      </c>
      <c r="M150" s="113" t="s">
        <v>9</v>
      </c>
      <c r="N150" s="113" t="s">
        <v>9</v>
      </c>
      <c r="O150" s="113" t="s">
        <v>92</v>
      </c>
    </row>
    <row r="151" spans="1:15" ht="15.95" customHeight="1">
      <c r="A151" s="78">
        <v>1</v>
      </c>
      <c r="B151" s="68" t="str">
        <f>IF('(3).Midterm Exam'!B151="","",'(3).Midterm Exam'!B151)</f>
        <v/>
      </c>
      <c r="C151" s="79" t="str">
        <f>IF('(3).Midterm Exam'!C151="","",'(3).Midterm Exam'!C151)</f>
        <v/>
      </c>
      <c r="D151" s="121" t="str">
        <f>IF('(2).Midterm Daily'!AH151="","",'(2).Midterm Daily'!AH151)</f>
        <v/>
      </c>
      <c r="E151" s="122" t="str">
        <f>IF('(3).Midterm Exam'!D151="","",'(3).Midterm Exam'!D151)</f>
        <v/>
      </c>
      <c r="F151" s="123" t="str">
        <f>IF('(3).Midterm Exam'!E151="","",'(3).Midterm Exam'!E151)</f>
        <v/>
      </c>
      <c r="G151" s="123" t="str">
        <f>IF('(3).Midterm Exam'!F151="","",'(3).Midterm Exam'!F151)</f>
        <v/>
      </c>
      <c r="H151" s="123" t="str">
        <f>IF('(3).Midterm Exam'!G151="","",'(3).Midterm Exam'!G151)</f>
        <v/>
      </c>
      <c r="I151" s="123" t="str">
        <f>IF('(3).Midterm Exam'!H151="","",'(3).Midterm Exam'!H151)</f>
        <v/>
      </c>
      <c r="J151" s="123" t="str">
        <f>IF('(3).Midterm Exam'!I151="","",'(3).Midterm Exam'!I151)</f>
        <v/>
      </c>
      <c r="K151" s="123" t="str">
        <f>IF('(3).Midterm Exam'!J151="","",'(3).Midterm Exam'!J151)</f>
        <v/>
      </c>
      <c r="L151" s="123" t="str">
        <f>IF('(3).Midterm Exam'!K151="","",'(3).Midterm Exam'!K151)</f>
        <v/>
      </c>
      <c r="M151" s="123" t="str">
        <f>IF('(3).Midterm Exam'!L151="","",'(3).Midterm Exam'!L151)</f>
        <v/>
      </c>
      <c r="N151" s="124" t="str">
        <f>IF('(3).Midterm Exam'!M151="","",'(3).Midterm Exam'!M151)</f>
        <v/>
      </c>
      <c r="O151" s="125" t="str">
        <f>IF(B151="","",IF(D151="Incomplete","Incomplete",IF('(3).Midterm Exam'!N151="Change","Change",IF('(3).Midterm Exam'!N151="Stop","Stop",IF('(3).Midterm Exam'!N151="Incomplete","Incomplete",IF(COUNTBLANK(D151:N151)&gt;=1,"Incomplete",D151*20%+SUM(E151:N151)*80%))))))</f>
        <v/>
      </c>
    </row>
    <row r="152" spans="1:15" ht="15.95" customHeight="1">
      <c r="A152" s="66">
        <v>2</v>
      </c>
      <c r="B152" s="63" t="str">
        <f>IF('(3).Midterm Exam'!B152="","",'(3).Midterm Exam'!B152)</f>
        <v/>
      </c>
      <c r="C152" s="67" t="str">
        <f>IF('(3).Midterm Exam'!C152="","",'(3).Midterm Exam'!C152)</f>
        <v/>
      </c>
      <c r="D152" s="126" t="str">
        <f>IF('(2).Midterm Daily'!AH152="","",'(2).Midterm Daily'!AH152)</f>
        <v/>
      </c>
      <c r="E152" s="127" t="str">
        <f>IF('(3).Midterm Exam'!D152="","",'(3).Midterm Exam'!D152)</f>
        <v/>
      </c>
      <c r="F152" s="128" t="str">
        <f>IF('(3).Midterm Exam'!E152="","",'(3).Midterm Exam'!E152)</f>
        <v/>
      </c>
      <c r="G152" s="128" t="str">
        <f>IF('(3).Midterm Exam'!F152="","",'(3).Midterm Exam'!F152)</f>
        <v/>
      </c>
      <c r="H152" s="128" t="str">
        <f>IF('(3).Midterm Exam'!G152="","",'(3).Midterm Exam'!G152)</f>
        <v/>
      </c>
      <c r="I152" s="128" t="str">
        <f>IF('(3).Midterm Exam'!H152="","",'(3).Midterm Exam'!H152)</f>
        <v/>
      </c>
      <c r="J152" s="128" t="str">
        <f>IF('(3).Midterm Exam'!I152="","",'(3).Midterm Exam'!I152)</f>
        <v/>
      </c>
      <c r="K152" s="128" t="str">
        <f>IF('(3).Midterm Exam'!J152="","",'(3).Midterm Exam'!J152)</f>
        <v/>
      </c>
      <c r="L152" s="128" t="str">
        <f>IF('(3).Midterm Exam'!K152="","",'(3).Midterm Exam'!K152)</f>
        <v/>
      </c>
      <c r="M152" s="128" t="str">
        <f>IF('(3).Midterm Exam'!L152="","",'(3).Midterm Exam'!L152)</f>
        <v/>
      </c>
      <c r="N152" s="129" t="str">
        <f>IF('(3).Midterm Exam'!M152="","",'(3).Midterm Exam'!M152)</f>
        <v/>
      </c>
      <c r="O152" s="130" t="str">
        <f>IF(B152="","",IF(D152="Incomplete","Incomplete",IF('(3).Midterm Exam'!N152="Change","Change",IF('(3).Midterm Exam'!N152="Stop","Stop",IF('(3).Midterm Exam'!N152="Incomplete","Incomplete",IF(COUNTBLANK(D152:N152)&gt;=1,"Incomplete",D152*20%+SUM(E152:N152)*80%))))))</f>
        <v/>
      </c>
    </row>
    <row r="153" spans="1:15" ht="15.95" customHeight="1">
      <c r="A153" s="66">
        <v>3</v>
      </c>
      <c r="B153" s="63" t="str">
        <f>IF('(3).Midterm Exam'!B153="","",'(3).Midterm Exam'!B153)</f>
        <v/>
      </c>
      <c r="C153" s="67" t="str">
        <f>IF('(3).Midterm Exam'!C153="","",'(3).Midterm Exam'!C153)</f>
        <v/>
      </c>
      <c r="D153" s="126" t="str">
        <f>IF('(2).Midterm Daily'!AH153="","",'(2).Midterm Daily'!AH153)</f>
        <v/>
      </c>
      <c r="E153" s="127" t="str">
        <f>IF('(3).Midterm Exam'!D153="","",'(3).Midterm Exam'!D153)</f>
        <v/>
      </c>
      <c r="F153" s="128" t="str">
        <f>IF('(3).Midterm Exam'!E153="","",'(3).Midterm Exam'!E153)</f>
        <v/>
      </c>
      <c r="G153" s="128" t="str">
        <f>IF('(3).Midterm Exam'!F153="","",'(3).Midterm Exam'!F153)</f>
        <v/>
      </c>
      <c r="H153" s="128" t="str">
        <f>IF('(3).Midterm Exam'!G153="","",'(3).Midterm Exam'!G153)</f>
        <v/>
      </c>
      <c r="I153" s="128" t="str">
        <f>IF('(3).Midterm Exam'!H153="","",'(3).Midterm Exam'!H153)</f>
        <v/>
      </c>
      <c r="J153" s="128" t="str">
        <f>IF('(3).Midterm Exam'!I153="","",'(3).Midterm Exam'!I153)</f>
        <v/>
      </c>
      <c r="K153" s="128" t="str">
        <f>IF('(3).Midterm Exam'!J153="","",'(3).Midterm Exam'!J153)</f>
        <v/>
      </c>
      <c r="L153" s="128" t="str">
        <f>IF('(3).Midterm Exam'!K153="","",'(3).Midterm Exam'!K153)</f>
        <v/>
      </c>
      <c r="M153" s="128" t="str">
        <f>IF('(3).Midterm Exam'!L153="","",'(3).Midterm Exam'!L153)</f>
        <v/>
      </c>
      <c r="N153" s="129" t="str">
        <f>IF('(3).Midterm Exam'!M153="","",'(3).Midterm Exam'!M153)</f>
        <v/>
      </c>
      <c r="O153" s="130" t="str">
        <f>IF(B153="","",IF(D153="Incomplete","Incomplete",IF('(3).Midterm Exam'!N153="Change","Change",IF('(3).Midterm Exam'!N153="Stop","Stop",IF('(3).Midterm Exam'!N153="Incomplete","Incomplete",IF(COUNTBLANK(D153:N153)&gt;=1,"Incomplete",D153*20%+SUM(E153:N153)*80%))))))</f>
        <v/>
      </c>
    </row>
    <row r="154" spans="1:15" ht="15.95" customHeight="1">
      <c r="A154" s="66">
        <v>4</v>
      </c>
      <c r="B154" s="63" t="str">
        <f>IF('(3).Midterm Exam'!B154="","",'(3).Midterm Exam'!B154)</f>
        <v/>
      </c>
      <c r="C154" s="67" t="str">
        <f>IF('(3).Midterm Exam'!C154="","",'(3).Midterm Exam'!C154)</f>
        <v/>
      </c>
      <c r="D154" s="126" t="str">
        <f>IF('(2).Midterm Daily'!AH154="","",'(2).Midterm Daily'!AH154)</f>
        <v/>
      </c>
      <c r="E154" s="127" t="str">
        <f>IF('(3).Midterm Exam'!D154="","",'(3).Midterm Exam'!D154)</f>
        <v/>
      </c>
      <c r="F154" s="128" t="str">
        <f>IF('(3).Midterm Exam'!E154="","",'(3).Midterm Exam'!E154)</f>
        <v/>
      </c>
      <c r="G154" s="128" t="str">
        <f>IF('(3).Midterm Exam'!F154="","",'(3).Midterm Exam'!F154)</f>
        <v/>
      </c>
      <c r="H154" s="128" t="str">
        <f>IF('(3).Midterm Exam'!G154="","",'(3).Midterm Exam'!G154)</f>
        <v/>
      </c>
      <c r="I154" s="128" t="str">
        <f>IF('(3).Midterm Exam'!H154="","",'(3).Midterm Exam'!H154)</f>
        <v/>
      </c>
      <c r="J154" s="128" t="str">
        <f>IF('(3).Midterm Exam'!I154="","",'(3).Midterm Exam'!I154)</f>
        <v/>
      </c>
      <c r="K154" s="128" t="str">
        <f>IF('(3).Midterm Exam'!J154="","",'(3).Midterm Exam'!J154)</f>
        <v/>
      </c>
      <c r="L154" s="128" t="str">
        <f>IF('(3).Midterm Exam'!K154="","",'(3).Midterm Exam'!K154)</f>
        <v/>
      </c>
      <c r="M154" s="128" t="str">
        <f>IF('(3).Midterm Exam'!L154="","",'(3).Midterm Exam'!L154)</f>
        <v/>
      </c>
      <c r="N154" s="129" t="str">
        <f>IF('(3).Midterm Exam'!M154="","",'(3).Midterm Exam'!M154)</f>
        <v/>
      </c>
      <c r="O154" s="130" t="str">
        <f>IF(B154="","",IF(D154="Incomplete","Incomplete",IF('(3).Midterm Exam'!N154="Change","Change",IF('(3).Midterm Exam'!N154="Stop","Stop",IF('(3).Midterm Exam'!N154="Incomplete","Incomplete",IF(COUNTBLANK(D154:N154)&gt;=1,"Incomplete",D154*20%+SUM(E154:N154)*80%))))))</f>
        <v/>
      </c>
    </row>
    <row r="155" spans="1:15" ht="15.95" customHeight="1">
      <c r="A155" s="66">
        <v>5</v>
      </c>
      <c r="B155" s="63" t="str">
        <f>IF('(3).Midterm Exam'!B155="","",'(3).Midterm Exam'!B155)</f>
        <v/>
      </c>
      <c r="C155" s="67" t="str">
        <f>IF('(3).Midterm Exam'!C155="","",'(3).Midterm Exam'!C155)</f>
        <v/>
      </c>
      <c r="D155" s="126" t="str">
        <f>IF('(2).Midterm Daily'!AH155="","",'(2).Midterm Daily'!AH155)</f>
        <v/>
      </c>
      <c r="E155" s="127" t="str">
        <f>IF('(3).Midterm Exam'!D155="","",'(3).Midterm Exam'!D155)</f>
        <v/>
      </c>
      <c r="F155" s="128" t="str">
        <f>IF('(3).Midterm Exam'!E155="","",'(3).Midterm Exam'!E155)</f>
        <v/>
      </c>
      <c r="G155" s="128" t="str">
        <f>IF('(3).Midterm Exam'!F155="","",'(3).Midterm Exam'!F155)</f>
        <v/>
      </c>
      <c r="H155" s="128" t="str">
        <f>IF('(3).Midterm Exam'!G155="","",'(3).Midterm Exam'!G155)</f>
        <v/>
      </c>
      <c r="I155" s="128" t="str">
        <f>IF('(3).Midterm Exam'!H155="","",'(3).Midterm Exam'!H155)</f>
        <v/>
      </c>
      <c r="J155" s="128" t="str">
        <f>IF('(3).Midterm Exam'!I155="","",'(3).Midterm Exam'!I155)</f>
        <v/>
      </c>
      <c r="K155" s="128" t="str">
        <f>IF('(3).Midterm Exam'!J155="","",'(3).Midterm Exam'!J155)</f>
        <v/>
      </c>
      <c r="L155" s="128" t="str">
        <f>IF('(3).Midterm Exam'!K155="","",'(3).Midterm Exam'!K155)</f>
        <v/>
      </c>
      <c r="M155" s="128" t="str">
        <f>IF('(3).Midterm Exam'!L155="","",'(3).Midterm Exam'!L155)</f>
        <v/>
      </c>
      <c r="N155" s="129" t="str">
        <f>IF('(3).Midterm Exam'!M155="","",'(3).Midterm Exam'!M155)</f>
        <v/>
      </c>
      <c r="O155" s="130" t="str">
        <f>IF(B155="","",IF(D155="Incomplete","Incomplete",IF('(3).Midterm Exam'!N155="Change","Change",IF('(3).Midterm Exam'!N155="Stop","Stop",IF('(3).Midterm Exam'!N155="Incomplete","Incomplete",IF(COUNTBLANK(D155:N155)&gt;=1,"Incomplete",D155*20%+SUM(E155:N155)*80%))))))</f>
        <v/>
      </c>
    </row>
    <row r="156" spans="1:15" ht="15.95" customHeight="1">
      <c r="A156" s="66">
        <v>6</v>
      </c>
      <c r="B156" s="63" t="str">
        <f>IF('(3).Midterm Exam'!B156="","",'(3).Midterm Exam'!B156)</f>
        <v/>
      </c>
      <c r="C156" s="67" t="str">
        <f>IF('(3).Midterm Exam'!C156="","",'(3).Midterm Exam'!C156)</f>
        <v/>
      </c>
      <c r="D156" s="126" t="str">
        <f>IF('(2).Midterm Daily'!AH156="","",'(2).Midterm Daily'!AH156)</f>
        <v/>
      </c>
      <c r="E156" s="127" t="str">
        <f>IF('(3).Midterm Exam'!D156="","",'(3).Midterm Exam'!D156)</f>
        <v/>
      </c>
      <c r="F156" s="128" t="str">
        <f>IF('(3).Midterm Exam'!E156="","",'(3).Midterm Exam'!E156)</f>
        <v/>
      </c>
      <c r="G156" s="128" t="str">
        <f>IF('(3).Midterm Exam'!F156="","",'(3).Midterm Exam'!F156)</f>
        <v/>
      </c>
      <c r="H156" s="128" t="str">
        <f>IF('(3).Midterm Exam'!G156="","",'(3).Midterm Exam'!G156)</f>
        <v/>
      </c>
      <c r="I156" s="128" t="str">
        <f>IF('(3).Midterm Exam'!H156="","",'(3).Midterm Exam'!H156)</f>
        <v/>
      </c>
      <c r="J156" s="128" t="str">
        <f>IF('(3).Midterm Exam'!I156="","",'(3).Midterm Exam'!I156)</f>
        <v/>
      </c>
      <c r="K156" s="128" t="str">
        <f>IF('(3).Midterm Exam'!J156="","",'(3).Midterm Exam'!J156)</f>
        <v/>
      </c>
      <c r="L156" s="128" t="str">
        <f>IF('(3).Midterm Exam'!K156="","",'(3).Midterm Exam'!K156)</f>
        <v/>
      </c>
      <c r="M156" s="128" t="str">
        <f>IF('(3).Midterm Exam'!L156="","",'(3).Midterm Exam'!L156)</f>
        <v/>
      </c>
      <c r="N156" s="129" t="str">
        <f>IF('(3).Midterm Exam'!M156="","",'(3).Midterm Exam'!M156)</f>
        <v/>
      </c>
      <c r="O156" s="130" t="str">
        <f>IF(B156="","",IF(D156="Incomplete","Incomplete",IF('(3).Midterm Exam'!N156="Change","Change",IF('(3).Midterm Exam'!N156="Stop","Stop",IF('(3).Midterm Exam'!N156="Incomplete","Incomplete",IF(COUNTBLANK(D156:N156)&gt;=1,"Incomplete",D156*20%+SUM(E156:N156)*80%))))))</f>
        <v/>
      </c>
    </row>
    <row r="157" spans="1:15" ht="15.95" customHeight="1">
      <c r="A157" s="66">
        <v>7</v>
      </c>
      <c r="B157" s="63" t="str">
        <f>IF('(3).Midterm Exam'!B157="","",'(3).Midterm Exam'!B157)</f>
        <v/>
      </c>
      <c r="C157" s="67" t="str">
        <f>IF('(3).Midterm Exam'!C157="","",'(3).Midterm Exam'!C157)</f>
        <v/>
      </c>
      <c r="D157" s="126" t="str">
        <f>IF('(2).Midterm Daily'!AH157="","",'(2).Midterm Daily'!AH157)</f>
        <v/>
      </c>
      <c r="E157" s="127" t="str">
        <f>IF('(3).Midterm Exam'!D157="","",'(3).Midterm Exam'!D157)</f>
        <v/>
      </c>
      <c r="F157" s="128" t="str">
        <f>IF('(3).Midterm Exam'!E157="","",'(3).Midterm Exam'!E157)</f>
        <v/>
      </c>
      <c r="G157" s="128" t="str">
        <f>IF('(3).Midterm Exam'!F157="","",'(3).Midterm Exam'!F157)</f>
        <v/>
      </c>
      <c r="H157" s="128" t="str">
        <f>IF('(3).Midterm Exam'!G157="","",'(3).Midterm Exam'!G157)</f>
        <v/>
      </c>
      <c r="I157" s="128" t="str">
        <f>IF('(3).Midterm Exam'!H157="","",'(3).Midterm Exam'!H157)</f>
        <v/>
      </c>
      <c r="J157" s="128" t="str">
        <f>IF('(3).Midterm Exam'!I157="","",'(3).Midterm Exam'!I157)</f>
        <v/>
      </c>
      <c r="K157" s="128" t="str">
        <f>IF('(3).Midterm Exam'!J157="","",'(3).Midterm Exam'!J157)</f>
        <v/>
      </c>
      <c r="L157" s="128" t="str">
        <f>IF('(3).Midterm Exam'!K157="","",'(3).Midterm Exam'!K157)</f>
        <v/>
      </c>
      <c r="M157" s="128" t="str">
        <f>IF('(3).Midterm Exam'!L157="","",'(3).Midterm Exam'!L157)</f>
        <v/>
      </c>
      <c r="N157" s="129" t="str">
        <f>IF('(3).Midterm Exam'!M157="","",'(3).Midterm Exam'!M157)</f>
        <v/>
      </c>
      <c r="O157" s="130" t="str">
        <f>IF(B157="","",IF(D157="Incomplete","Incomplete",IF('(3).Midterm Exam'!N157="Change","Change",IF('(3).Midterm Exam'!N157="Stop","Stop",IF('(3).Midterm Exam'!N157="Incomplete","Incomplete",IF(COUNTBLANK(D157:N157)&gt;=1,"Incomplete",D157*20%+SUM(E157:N157)*80%))))))</f>
        <v/>
      </c>
    </row>
    <row r="158" spans="1:15" ht="15.95" customHeight="1">
      <c r="A158" s="66">
        <v>8</v>
      </c>
      <c r="B158" s="63" t="str">
        <f>IF('(3).Midterm Exam'!B158="","",'(3).Midterm Exam'!B158)</f>
        <v/>
      </c>
      <c r="C158" s="67" t="str">
        <f>IF('(3).Midterm Exam'!C158="","",'(3).Midterm Exam'!C158)</f>
        <v/>
      </c>
      <c r="D158" s="126" t="str">
        <f>IF('(2).Midterm Daily'!AH158="","",'(2).Midterm Daily'!AH158)</f>
        <v/>
      </c>
      <c r="E158" s="127" t="str">
        <f>IF('(3).Midterm Exam'!D158="","",'(3).Midterm Exam'!D158)</f>
        <v/>
      </c>
      <c r="F158" s="128" t="str">
        <f>IF('(3).Midterm Exam'!E158="","",'(3).Midterm Exam'!E158)</f>
        <v/>
      </c>
      <c r="G158" s="128" t="str">
        <f>IF('(3).Midterm Exam'!F158="","",'(3).Midterm Exam'!F158)</f>
        <v/>
      </c>
      <c r="H158" s="128" t="str">
        <f>IF('(3).Midterm Exam'!G158="","",'(3).Midterm Exam'!G158)</f>
        <v/>
      </c>
      <c r="I158" s="128" t="str">
        <f>IF('(3).Midterm Exam'!H158="","",'(3).Midterm Exam'!H158)</f>
        <v/>
      </c>
      <c r="J158" s="128" t="str">
        <f>IF('(3).Midterm Exam'!I158="","",'(3).Midterm Exam'!I158)</f>
        <v/>
      </c>
      <c r="K158" s="128" t="str">
        <f>IF('(3).Midterm Exam'!J158="","",'(3).Midterm Exam'!J158)</f>
        <v/>
      </c>
      <c r="L158" s="128" t="str">
        <f>IF('(3).Midterm Exam'!K158="","",'(3).Midterm Exam'!K158)</f>
        <v/>
      </c>
      <c r="M158" s="128" t="str">
        <f>IF('(3).Midterm Exam'!L158="","",'(3).Midterm Exam'!L158)</f>
        <v/>
      </c>
      <c r="N158" s="129" t="str">
        <f>IF('(3).Midterm Exam'!M158="","",'(3).Midterm Exam'!M158)</f>
        <v/>
      </c>
      <c r="O158" s="130" t="str">
        <f>IF(B158="","",IF(D158="Incomplete","Incomplete",IF('(3).Midterm Exam'!N158="Change","Change",IF('(3).Midterm Exam'!N158="Stop","Stop",IF('(3).Midterm Exam'!N158="Incomplete","Incomplete",IF(COUNTBLANK(D158:N158)&gt;=1,"Incomplete",D158*20%+SUM(E158:N158)*80%))))))</f>
        <v/>
      </c>
    </row>
    <row r="159" spans="1:15" ht="15.95" customHeight="1">
      <c r="A159" s="66">
        <v>9</v>
      </c>
      <c r="B159" s="63" t="str">
        <f>IF('(3).Midterm Exam'!B159="","",'(3).Midterm Exam'!B159)</f>
        <v/>
      </c>
      <c r="C159" s="67" t="str">
        <f>IF('(3).Midterm Exam'!C159="","",'(3).Midterm Exam'!C159)</f>
        <v/>
      </c>
      <c r="D159" s="126" t="str">
        <f>IF('(2).Midterm Daily'!AH159="","",'(2).Midterm Daily'!AH159)</f>
        <v/>
      </c>
      <c r="E159" s="127" t="str">
        <f>IF('(3).Midterm Exam'!D159="","",'(3).Midterm Exam'!D159)</f>
        <v/>
      </c>
      <c r="F159" s="128" t="str">
        <f>IF('(3).Midterm Exam'!E159="","",'(3).Midterm Exam'!E159)</f>
        <v/>
      </c>
      <c r="G159" s="128" t="str">
        <f>IF('(3).Midterm Exam'!F159="","",'(3).Midterm Exam'!F159)</f>
        <v/>
      </c>
      <c r="H159" s="128" t="str">
        <f>IF('(3).Midterm Exam'!G159="","",'(3).Midterm Exam'!G159)</f>
        <v/>
      </c>
      <c r="I159" s="128" t="str">
        <f>IF('(3).Midterm Exam'!H159="","",'(3).Midterm Exam'!H159)</f>
        <v/>
      </c>
      <c r="J159" s="128" t="str">
        <f>IF('(3).Midterm Exam'!I159="","",'(3).Midterm Exam'!I159)</f>
        <v/>
      </c>
      <c r="K159" s="128" t="str">
        <f>IF('(3).Midterm Exam'!J159="","",'(3).Midterm Exam'!J159)</f>
        <v/>
      </c>
      <c r="L159" s="128" t="str">
        <f>IF('(3).Midterm Exam'!K159="","",'(3).Midterm Exam'!K159)</f>
        <v/>
      </c>
      <c r="M159" s="128" t="str">
        <f>IF('(3).Midterm Exam'!L159="","",'(3).Midterm Exam'!L159)</f>
        <v/>
      </c>
      <c r="N159" s="129" t="str">
        <f>IF('(3).Midterm Exam'!M159="","",'(3).Midterm Exam'!M159)</f>
        <v/>
      </c>
      <c r="O159" s="130" t="str">
        <f>IF(B159="","",IF(D159="Incomplete","Incomplete",IF('(3).Midterm Exam'!N159="Change","Change",IF('(3).Midterm Exam'!N159="Stop","Stop",IF('(3).Midterm Exam'!N159="Incomplete","Incomplete",IF(COUNTBLANK(D159:N159)&gt;=1,"Incomplete",D159*20%+SUM(E159:N159)*80%))))))</f>
        <v/>
      </c>
    </row>
    <row r="160" spans="1:15" ht="15.95" customHeight="1">
      <c r="A160" s="66">
        <v>10</v>
      </c>
      <c r="B160" s="63" t="str">
        <f>IF('(3).Midterm Exam'!B160="","",'(3).Midterm Exam'!B160)</f>
        <v/>
      </c>
      <c r="C160" s="67" t="str">
        <f>IF('(3).Midterm Exam'!C160="","",'(3).Midterm Exam'!C160)</f>
        <v/>
      </c>
      <c r="D160" s="126" t="str">
        <f>IF('(2).Midterm Daily'!AH160="","",'(2).Midterm Daily'!AH160)</f>
        <v/>
      </c>
      <c r="E160" s="127" t="str">
        <f>IF('(3).Midterm Exam'!D160="","",'(3).Midterm Exam'!D160)</f>
        <v/>
      </c>
      <c r="F160" s="128" t="str">
        <f>IF('(3).Midterm Exam'!E160="","",'(3).Midterm Exam'!E160)</f>
        <v/>
      </c>
      <c r="G160" s="128" t="str">
        <f>IF('(3).Midterm Exam'!F160="","",'(3).Midterm Exam'!F160)</f>
        <v/>
      </c>
      <c r="H160" s="128" t="str">
        <f>IF('(3).Midterm Exam'!G160="","",'(3).Midterm Exam'!G160)</f>
        <v/>
      </c>
      <c r="I160" s="128" t="str">
        <f>IF('(3).Midterm Exam'!H160="","",'(3).Midterm Exam'!H160)</f>
        <v/>
      </c>
      <c r="J160" s="128" t="str">
        <f>IF('(3).Midterm Exam'!I160="","",'(3).Midterm Exam'!I160)</f>
        <v/>
      </c>
      <c r="K160" s="128" t="str">
        <f>IF('(3).Midterm Exam'!J160="","",'(3).Midterm Exam'!J160)</f>
        <v/>
      </c>
      <c r="L160" s="128" t="str">
        <f>IF('(3).Midterm Exam'!K160="","",'(3).Midterm Exam'!K160)</f>
        <v/>
      </c>
      <c r="M160" s="128" t="str">
        <f>IF('(3).Midterm Exam'!L160="","",'(3).Midterm Exam'!L160)</f>
        <v/>
      </c>
      <c r="N160" s="129" t="str">
        <f>IF('(3).Midterm Exam'!M160="","",'(3).Midterm Exam'!M160)</f>
        <v/>
      </c>
      <c r="O160" s="130" t="str">
        <f>IF(B160="","",IF(D160="Incomplete","Incomplete",IF('(3).Midterm Exam'!N160="Change","Change",IF('(3).Midterm Exam'!N160="Stop","Stop",IF('(3).Midterm Exam'!N160="Incomplete","Incomplete",IF(COUNTBLANK(D160:N160)&gt;=1,"Incomplete",D160*20%+SUM(E160:N160)*80%))))))</f>
        <v/>
      </c>
    </row>
    <row r="161" spans="1:15" ht="15.95" customHeight="1">
      <c r="A161" s="66">
        <v>11</v>
      </c>
      <c r="B161" s="63" t="str">
        <f>IF('(3).Midterm Exam'!B161="","",'(3).Midterm Exam'!B161)</f>
        <v/>
      </c>
      <c r="C161" s="67" t="str">
        <f>IF('(3).Midterm Exam'!C161="","",'(3).Midterm Exam'!C161)</f>
        <v/>
      </c>
      <c r="D161" s="126" t="str">
        <f>IF('(2).Midterm Daily'!AH161="","",'(2).Midterm Daily'!AH161)</f>
        <v/>
      </c>
      <c r="E161" s="127" t="str">
        <f>IF('(3).Midterm Exam'!D161="","",'(3).Midterm Exam'!D161)</f>
        <v/>
      </c>
      <c r="F161" s="128" t="str">
        <f>IF('(3).Midterm Exam'!E161="","",'(3).Midterm Exam'!E161)</f>
        <v/>
      </c>
      <c r="G161" s="128" t="str">
        <f>IF('(3).Midterm Exam'!F161="","",'(3).Midterm Exam'!F161)</f>
        <v/>
      </c>
      <c r="H161" s="128" t="str">
        <f>IF('(3).Midterm Exam'!G161="","",'(3).Midterm Exam'!G161)</f>
        <v/>
      </c>
      <c r="I161" s="128" t="str">
        <f>IF('(3).Midterm Exam'!H161="","",'(3).Midterm Exam'!H161)</f>
        <v/>
      </c>
      <c r="J161" s="128" t="str">
        <f>IF('(3).Midterm Exam'!I161="","",'(3).Midterm Exam'!I161)</f>
        <v/>
      </c>
      <c r="K161" s="128" t="str">
        <f>IF('(3).Midterm Exam'!J161="","",'(3).Midterm Exam'!J161)</f>
        <v/>
      </c>
      <c r="L161" s="128" t="str">
        <f>IF('(3).Midterm Exam'!K161="","",'(3).Midterm Exam'!K161)</f>
        <v/>
      </c>
      <c r="M161" s="128" t="str">
        <f>IF('(3).Midterm Exam'!L161="","",'(3).Midterm Exam'!L161)</f>
        <v/>
      </c>
      <c r="N161" s="129" t="str">
        <f>IF('(3).Midterm Exam'!M161="","",'(3).Midterm Exam'!M161)</f>
        <v/>
      </c>
      <c r="O161" s="130" t="str">
        <f>IF(B161="","",IF(D161="Incomplete","Incomplete",IF('(3).Midterm Exam'!N161="Change","Change",IF('(3).Midterm Exam'!N161="Stop","Stop",IF('(3).Midterm Exam'!N161="Incomplete","Incomplete",IF(COUNTBLANK(D161:N161)&gt;=1,"Incomplete",D161*20%+SUM(E161:N161)*80%))))))</f>
        <v/>
      </c>
    </row>
    <row r="162" spans="1:15" ht="15.95" customHeight="1">
      <c r="A162" s="66">
        <v>12</v>
      </c>
      <c r="B162" s="63" t="str">
        <f>IF('(3).Midterm Exam'!B162="","",'(3).Midterm Exam'!B162)</f>
        <v/>
      </c>
      <c r="C162" s="67" t="str">
        <f>IF('(3).Midterm Exam'!C162="","",'(3).Midterm Exam'!C162)</f>
        <v/>
      </c>
      <c r="D162" s="126" t="str">
        <f>IF('(2).Midterm Daily'!AH162="","",'(2).Midterm Daily'!AH162)</f>
        <v/>
      </c>
      <c r="E162" s="127" t="str">
        <f>IF('(3).Midterm Exam'!D162="","",'(3).Midterm Exam'!D162)</f>
        <v/>
      </c>
      <c r="F162" s="128" t="str">
        <f>IF('(3).Midterm Exam'!E162="","",'(3).Midterm Exam'!E162)</f>
        <v/>
      </c>
      <c r="G162" s="128" t="str">
        <f>IF('(3).Midterm Exam'!F162="","",'(3).Midterm Exam'!F162)</f>
        <v/>
      </c>
      <c r="H162" s="128" t="str">
        <f>IF('(3).Midterm Exam'!G162="","",'(3).Midterm Exam'!G162)</f>
        <v/>
      </c>
      <c r="I162" s="128" t="str">
        <f>IF('(3).Midterm Exam'!H162="","",'(3).Midterm Exam'!H162)</f>
        <v/>
      </c>
      <c r="J162" s="128" t="str">
        <f>IF('(3).Midterm Exam'!I162="","",'(3).Midterm Exam'!I162)</f>
        <v/>
      </c>
      <c r="K162" s="128" t="str">
        <f>IF('(3).Midterm Exam'!J162="","",'(3).Midterm Exam'!J162)</f>
        <v/>
      </c>
      <c r="L162" s="128" t="str">
        <f>IF('(3).Midterm Exam'!K162="","",'(3).Midterm Exam'!K162)</f>
        <v/>
      </c>
      <c r="M162" s="128" t="str">
        <f>IF('(3).Midterm Exam'!L162="","",'(3).Midterm Exam'!L162)</f>
        <v/>
      </c>
      <c r="N162" s="129" t="str">
        <f>IF('(3).Midterm Exam'!M162="","",'(3).Midterm Exam'!M162)</f>
        <v/>
      </c>
      <c r="O162" s="130" t="str">
        <f>IF(B162="","",IF(D162="Incomplete","Incomplete",IF('(3).Midterm Exam'!N162="Change","Change",IF('(3).Midterm Exam'!N162="Stop","Stop",IF('(3).Midterm Exam'!N162="Incomplete","Incomplete",IF(COUNTBLANK(D162:N162)&gt;=1,"Incomplete",D162*20%+SUM(E162:N162)*80%))))))</f>
        <v/>
      </c>
    </row>
    <row r="163" spans="1:15" ht="15.95" customHeight="1">
      <c r="A163" s="66">
        <v>13</v>
      </c>
      <c r="B163" s="63" t="str">
        <f>IF('(3).Midterm Exam'!B163="","",'(3).Midterm Exam'!B163)</f>
        <v/>
      </c>
      <c r="C163" s="67" t="str">
        <f>IF('(3).Midterm Exam'!C163="","",'(3).Midterm Exam'!C163)</f>
        <v/>
      </c>
      <c r="D163" s="126" t="str">
        <f>IF('(2).Midterm Daily'!AH163="","",'(2).Midterm Daily'!AH163)</f>
        <v/>
      </c>
      <c r="E163" s="127" t="str">
        <f>IF('(3).Midterm Exam'!D163="","",'(3).Midterm Exam'!D163)</f>
        <v/>
      </c>
      <c r="F163" s="128" t="str">
        <f>IF('(3).Midterm Exam'!E163="","",'(3).Midterm Exam'!E163)</f>
        <v/>
      </c>
      <c r="G163" s="128" t="str">
        <f>IF('(3).Midterm Exam'!F163="","",'(3).Midterm Exam'!F163)</f>
        <v/>
      </c>
      <c r="H163" s="128" t="str">
        <f>IF('(3).Midterm Exam'!G163="","",'(3).Midterm Exam'!G163)</f>
        <v/>
      </c>
      <c r="I163" s="128" t="str">
        <f>IF('(3).Midterm Exam'!H163="","",'(3).Midterm Exam'!H163)</f>
        <v/>
      </c>
      <c r="J163" s="128" t="str">
        <f>IF('(3).Midterm Exam'!I163="","",'(3).Midterm Exam'!I163)</f>
        <v/>
      </c>
      <c r="K163" s="128" t="str">
        <f>IF('(3).Midterm Exam'!J163="","",'(3).Midterm Exam'!J163)</f>
        <v/>
      </c>
      <c r="L163" s="128" t="str">
        <f>IF('(3).Midterm Exam'!K163="","",'(3).Midterm Exam'!K163)</f>
        <v/>
      </c>
      <c r="M163" s="128" t="str">
        <f>IF('(3).Midterm Exam'!L163="","",'(3).Midterm Exam'!L163)</f>
        <v/>
      </c>
      <c r="N163" s="129" t="str">
        <f>IF('(3).Midterm Exam'!M163="","",'(3).Midterm Exam'!M163)</f>
        <v/>
      </c>
      <c r="O163" s="130" t="str">
        <f>IF(B163="","",IF(D163="Incomplete","Incomplete",IF('(3).Midterm Exam'!N163="Change","Change",IF('(3).Midterm Exam'!N163="Stop","Stop",IF('(3).Midterm Exam'!N163="Incomplete","Incomplete",IF(COUNTBLANK(D163:N163)&gt;=1,"Incomplete",D163*20%+SUM(E163:N163)*80%))))))</f>
        <v/>
      </c>
    </row>
    <row r="164" spans="1:15" ht="15.95" customHeight="1">
      <c r="A164" s="66">
        <v>14</v>
      </c>
      <c r="B164" s="63" t="str">
        <f>IF('(3).Midterm Exam'!B164="","",'(3).Midterm Exam'!B164)</f>
        <v/>
      </c>
      <c r="C164" s="67" t="str">
        <f>IF('(3).Midterm Exam'!C164="","",'(3).Midterm Exam'!C164)</f>
        <v/>
      </c>
      <c r="D164" s="126" t="str">
        <f>IF('(2).Midterm Daily'!AH164="","",'(2).Midterm Daily'!AH164)</f>
        <v/>
      </c>
      <c r="E164" s="127" t="str">
        <f>IF('(3).Midterm Exam'!D164="","",'(3).Midterm Exam'!D164)</f>
        <v/>
      </c>
      <c r="F164" s="128" t="str">
        <f>IF('(3).Midterm Exam'!E164="","",'(3).Midterm Exam'!E164)</f>
        <v/>
      </c>
      <c r="G164" s="128" t="str">
        <f>IF('(3).Midterm Exam'!F164="","",'(3).Midterm Exam'!F164)</f>
        <v/>
      </c>
      <c r="H164" s="128" t="str">
        <f>IF('(3).Midterm Exam'!G164="","",'(3).Midterm Exam'!G164)</f>
        <v/>
      </c>
      <c r="I164" s="128" t="str">
        <f>IF('(3).Midterm Exam'!H164="","",'(3).Midterm Exam'!H164)</f>
        <v/>
      </c>
      <c r="J164" s="128" t="str">
        <f>IF('(3).Midterm Exam'!I164="","",'(3).Midterm Exam'!I164)</f>
        <v/>
      </c>
      <c r="K164" s="128" t="str">
        <f>IF('(3).Midterm Exam'!J164="","",'(3).Midterm Exam'!J164)</f>
        <v/>
      </c>
      <c r="L164" s="128" t="str">
        <f>IF('(3).Midterm Exam'!K164="","",'(3).Midterm Exam'!K164)</f>
        <v/>
      </c>
      <c r="M164" s="128" t="str">
        <f>IF('(3).Midterm Exam'!L164="","",'(3).Midterm Exam'!L164)</f>
        <v/>
      </c>
      <c r="N164" s="129" t="str">
        <f>IF('(3).Midterm Exam'!M164="","",'(3).Midterm Exam'!M164)</f>
        <v/>
      </c>
      <c r="O164" s="130" t="str">
        <f>IF(B164="","",IF(D164="Incomplete","Incomplete",IF('(3).Midterm Exam'!N164="Change","Change",IF('(3).Midterm Exam'!N164="Stop","Stop",IF('(3).Midterm Exam'!N164="Incomplete","Incomplete",IF(COUNTBLANK(D164:N164)&gt;=1,"Incomplete",D164*20%+SUM(E164:N164)*80%))))))</f>
        <v/>
      </c>
    </row>
    <row r="165" spans="1:15" ht="15.95" customHeight="1">
      <c r="A165" s="66">
        <v>15</v>
      </c>
      <c r="B165" s="63" t="str">
        <f>IF('(3).Midterm Exam'!B165="","",'(3).Midterm Exam'!B165)</f>
        <v/>
      </c>
      <c r="C165" s="67" t="str">
        <f>IF('(3).Midterm Exam'!C165="","",'(3).Midterm Exam'!C165)</f>
        <v/>
      </c>
      <c r="D165" s="126" t="str">
        <f>IF('(2).Midterm Daily'!AH165="","",'(2).Midterm Daily'!AH165)</f>
        <v/>
      </c>
      <c r="E165" s="127" t="str">
        <f>IF('(3).Midterm Exam'!D165="","",'(3).Midterm Exam'!D165)</f>
        <v/>
      </c>
      <c r="F165" s="128" t="str">
        <f>IF('(3).Midterm Exam'!E165="","",'(3).Midterm Exam'!E165)</f>
        <v/>
      </c>
      <c r="G165" s="128" t="str">
        <f>IF('(3).Midterm Exam'!F165="","",'(3).Midterm Exam'!F165)</f>
        <v/>
      </c>
      <c r="H165" s="128" t="str">
        <f>IF('(3).Midterm Exam'!G165="","",'(3).Midterm Exam'!G165)</f>
        <v/>
      </c>
      <c r="I165" s="128" t="str">
        <f>IF('(3).Midterm Exam'!H165="","",'(3).Midterm Exam'!H165)</f>
        <v/>
      </c>
      <c r="J165" s="128" t="str">
        <f>IF('(3).Midterm Exam'!I165="","",'(3).Midterm Exam'!I165)</f>
        <v/>
      </c>
      <c r="K165" s="128" t="str">
        <f>IF('(3).Midterm Exam'!J165="","",'(3).Midterm Exam'!J165)</f>
        <v/>
      </c>
      <c r="L165" s="128" t="str">
        <f>IF('(3).Midterm Exam'!K165="","",'(3).Midterm Exam'!K165)</f>
        <v/>
      </c>
      <c r="M165" s="128" t="str">
        <f>IF('(3).Midterm Exam'!L165="","",'(3).Midterm Exam'!L165)</f>
        <v/>
      </c>
      <c r="N165" s="129" t="str">
        <f>IF('(3).Midterm Exam'!M165="","",'(3).Midterm Exam'!M165)</f>
        <v/>
      </c>
      <c r="O165" s="130" t="str">
        <f>IF(B165="","",IF(D165="Incomplete","Incomplete",IF('(3).Midterm Exam'!N165="Change","Change",IF('(3).Midterm Exam'!N165="Stop","Stop",IF('(3).Midterm Exam'!N165="Incomplete","Incomplete",IF(COUNTBLANK(D165:N165)&gt;=1,"Incomplete",D165*20%+SUM(E165:N165)*80%))))))</f>
        <v/>
      </c>
    </row>
    <row r="166" spans="1:15" ht="15.95" customHeight="1">
      <c r="A166" s="66">
        <v>16</v>
      </c>
      <c r="B166" s="63" t="str">
        <f>IF('(3).Midterm Exam'!B166="","",'(3).Midterm Exam'!B166)</f>
        <v/>
      </c>
      <c r="C166" s="67" t="str">
        <f>IF('(3).Midterm Exam'!C166="","",'(3).Midterm Exam'!C166)</f>
        <v/>
      </c>
      <c r="D166" s="126" t="str">
        <f>IF('(2).Midterm Daily'!AH166="","",'(2).Midterm Daily'!AH166)</f>
        <v/>
      </c>
      <c r="E166" s="127" t="str">
        <f>IF('(3).Midterm Exam'!D166="","",'(3).Midterm Exam'!D166)</f>
        <v/>
      </c>
      <c r="F166" s="128" t="str">
        <f>IF('(3).Midterm Exam'!E166="","",'(3).Midterm Exam'!E166)</f>
        <v/>
      </c>
      <c r="G166" s="128" t="str">
        <f>IF('(3).Midterm Exam'!F166="","",'(3).Midterm Exam'!F166)</f>
        <v/>
      </c>
      <c r="H166" s="128" t="str">
        <f>IF('(3).Midterm Exam'!G166="","",'(3).Midterm Exam'!G166)</f>
        <v/>
      </c>
      <c r="I166" s="128" t="str">
        <f>IF('(3).Midterm Exam'!H166="","",'(3).Midterm Exam'!H166)</f>
        <v/>
      </c>
      <c r="J166" s="128" t="str">
        <f>IF('(3).Midterm Exam'!I166="","",'(3).Midterm Exam'!I166)</f>
        <v/>
      </c>
      <c r="K166" s="128" t="str">
        <f>IF('(3).Midterm Exam'!J166="","",'(3).Midterm Exam'!J166)</f>
        <v/>
      </c>
      <c r="L166" s="128" t="str">
        <f>IF('(3).Midterm Exam'!K166="","",'(3).Midterm Exam'!K166)</f>
        <v/>
      </c>
      <c r="M166" s="128" t="str">
        <f>IF('(3).Midterm Exam'!L166="","",'(3).Midterm Exam'!L166)</f>
        <v/>
      </c>
      <c r="N166" s="129" t="str">
        <f>IF('(3).Midterm Exam'!M166="","",'(3).Midterm Exam'!M166)</f>
        <v/>
      </c>
      <c r="O166" s="130" t="str">
        <f>IF(B166="","",IF(D166="Incomplete","Incomplete",IF('(3).Midterm Exam'!N166="Change","Change",IF('(3).Midterm Exam'!N166="Stop","Stop",IF('(3).Midterm Exam'!N166="Incomplete","Incomplete",IF(COUNTBLANK(D166:N166)&gt;=1,"Incomplete",D166*20%+SUM(E166:N166)*80%))))))</f>
        <v/>
      </c>
    </row>
    <row r="167" spans="1:15" ht="15.95" customHeight="1">
      <c r="A167" s="66">
        <v>17</v>
      </c>
      <c r="B167" s="63" t="str">
        <f>IF('(3).Midterm Exam'!B167="","",'(3).Midterm Exam'!B167)</f>
        <v/>
      </c>
      <c r="C167" s="67" t="str">
        <f>IF('(3).Midterm Exam'!C167="","",'(3).Midterm Exam'!C167)</f>
        <v/>
      </c>
      <c r="D167" s="126" t="str">
        <f>IF('(2).Midterm Daily'!AH167="","",'(2).Midterm Daily'!AH167)</f>
        <v/>
      </c>
      <c r="E167" s="127" t="str">
        <f>IF('(3).Midterm Exam'!D167="","",'(3).Midterm Exam'!D167)</f>
        <v/>
      </c>
      <c r="F167" s="128" t="str">
        <f>IF('(3).Midterm Exam'!E167="","",'(3).Midterm Exam'!E167)</f>
        <v/>
      </c>
      <c r="G167" s="128" t="str">
        <f>IF('(3).Midterm Exam'!F167="","",'(3).Midterm Exam'!F167)</f>
        <v/>
      </c>
      <c r="H167" s="128" t="str">
        <f>IF('(3).Midterm Exam'!G167="","",'(3).Midterm Exam'!G167)</f>
        <v/>
      </c>
      <c r="I167" s="128" t="str">
        <f>IF('(3).Midterm Exam'!H167="","",'(3).Midterm Exam'!H167)</f>
        <v/>
      </c>
      <c r="J167" s="128" t="str">
        <f>IF('(3).Midterm Exam'!I167="","",'(3).Midterm Exam'!I167)</f>
        <v/>
      </c>
      <c r="K167" s="128" t="str">
        <f>IF('(3).Midterm Exam'!J167="","",'(3).Midterm Exam'!J167)</f>
        <v/>
      </c>
      <c r="L167" s="128" t="str">
        <f>IF('(3).Midterm Exam'!K167="","",'(3).Midterm Exam'!K167)</f>
        <v/>
      </c>
      <c r="M167" s="128" t="str">
        <f>IF('(3).Midterm Exam'!L167="","",'(3).Midterm Exam'!L167)</f>
        <v/>
      </c>
      <c r="N167" s="129" t="str">
        <f>IF('(3).Midterm Exam'!M167="","",'(3).Midterm Exam'!M167)</f>
        <v/>
      </c>
      <c r="O167" s="130" t="str">
        <f>IF(B167="","",IF(D167="Incomplete","Incomplete",IF('(3).Midterm Exam'!N167="Change","Change",IF('(3).Midterm Exam'!N167="Stop","Stop",IF('(3).Midterm Exam'!N167="Incomplete","Incomplete",IF(COUNTBLANK(D167:N167)&gt;=1,"Incomplete",D167*20%+SUM(E167:N167)*80%))))))</f>
        <v/>
      </c>
    </row>
    <row r="168" spans="1:15" ht="15.95" customHeight="1">
      <c r="A168" s="66">
        <v>18</v>
      </c>
      <c r="B168" s="63" t="str">
        <f>IF('(3).Midterm Exam'!B168="","",'(3).Midterm Exam'!B168)</f>
        <v/>
      </c>
      <c r="C168" s="67" t="str">
        <f>IF('(3).Midterm Exam'!C168="","",'(3).Midterm Exam'!C168)</f>
        <v/>
      </c>
      <c r="D168" s="126" t="str">
        <f>IF('(2).Midterm Daily'!AH168="","",'(2).Midterm Daily'!AH168)</f>
        <v/>
      </c>
      <c r="E168" s="127" t="str">
        <f>IF('(3).Midterm Exam'!D168="","",'(3).Midterm Exam'!D168)</f>
        <v/>
      </c>
      <c r="F168" s="128" t="str">
        <f>IF('(3).Midterm Exam'!E168="","",'(3).Midterm Exam'!E168)</f>
        <v/>
      </c>
      <c r="G168" s="128" t="str">
        <f>IF('(3).Midterm Exam'!F168="","",'(3).Midterm Exam'!F168)</f>
        <v/>
      </c>
      <c r="H168" s="128" t="str">
        <f>IF('(3).Midterm Exam'!G168="","",'(3).Midterm Exam'!G168)</f>
        <v/>
      </c>
      <c r="I168" s="128" t="str">
        <f>IF('(3).Midterm Exam'!H168="","",'(3).Midterm Exam'!H168)</f>
        <v/>
      </c>
      <c r="J168" s="128" t="str">
        <f>IF('(3).Midterm Exam'!I168="","",'(3).Midterm Exam'!I168)</f>
        <v/>
      </c>
      <c r="K168" s="128" t="str">
        <f>IF('(3).Midterm Exam'!J168="","",'(3).Midterm Exam'!J168)</f>
        <v/>
      </c>
      <c r="L168" s="128" t="str">
        <f>IF('(3).Midterm Exam'!K168="","",'(3).Midterm Exam'!K168)</f>
        <v/>
      </c>
      <c r="M168" s="128" t="str">
        <f>IF('(3).Midterm Exam'!L168="","",'(3).Midterm Exam'!L168)</f>
        <v/>
      </c>
      <c r="N168" s="129" t="str">
        <f>IF('(3).Midterm Exam'!M168="","",'(3).Midterm Exam'!M168)</f>
        <v/>
      </c>
      <c r="O168" s="130" t="str">
        <f>IF(B168="","",IF(D168="Incomplete","Incomplete",IF('(3).Midterm Exam'!N168="Change","Change",IF('(3).Midterm Exam'!N168="Stop","Stop",IF('(3).Midterm Exam'!N168="Incomplete","Incomplete",IF(COUNTBLANK(D168:N168)&gt;=1,"Incomplete",D168*20%+SUM(E168:N168)*80%))))))</f>
        <v/>
      </c>
    </row>
    <row r="169" spans="1:15" ht="15.95" customHeight="1">
      <c r="A169" s="66">
        <v>19</v>
      </c>
      <c r="B169" s="63" t="str">
        <f>IF('(3).Midterm Exam'!B169="","",'(3).Midterm Exam'!B169)</f>
        <v/>
      </c>
      <c r="C169" s="67" t="str">
        <f>IF('(3).Midterm Exam'!C169="","",'(3).Midterm Exam'!C169)</f>
        <v/>
      </c>
      <c r="D169" s="126" t="str">
        <f>IF('(2).Midterm Daily'!AH169="","",'(2).Midterm Daily'!AH169)</f>
        <v/>
      </c>
      <c r="E169" s="127" t="str">
        <f>IF('(3).Midterm Exam'!D169="","",'(3).Midterm Exam'!D169)</f>
        <v/>
      </c>
      <c r="F169" s="128" t="str">
        <f>IF('(3).Midterm Exam'!E169="","",'(3).Midterm Exam'!E169)</f>
        <v/>
      </c>
      <c r="G169" s="128" t="str">
        <f>IF('(3).Midterm Exam'!F169="","",'(3).Midterm Exam'!F169)</f>
        <v/>
      </c>
      <c r="H169" s="128" t="str">
        <f>IF('(3).Midterm Exam'!G169="","",'(3).Midterm Exam'!G169)</f>
        <v/>
      </c>
      <c r="I169" s="128" t="str">
        <f>IF('(3).Midterm Exam'!H169="","",'(3).Midterm Exam'!H169)</f>
        <v/>
      </c>
      <c r="J169" s="128" t="str">
        <f>IF('(3).Midterm Exam'!I169="","",'(3).Midterm Exam'!I169)</f>
        <v/>
      </c>
      <c r="K169" s="128" t="str">
        <f>IF('(3).Midterm Exam'!J169="","",'(3).Midterm Exam'!J169)</f>
        <v/>
      </c>
      <c r="L169" s="128" t="str">
        <f>IF('(3).Midterm Exam'!K169="","",'(3).Midterm Exam'!K169)</f>
        <v/>
      </c>
      <c r="M169" s="128" t="str">
        <f>IF('(3).Midterm Exam'!L169="","",'(3).Midterm Exam'!L169)</f>
        <v/>
      </c>
      <c r="N169" s="129" t="str">
        <f>IF('(3).Midterm Exam'!M169="","",'(3).Midterm Exam'!M169)</f>
        <v/>
      </c>
      <c r="O169" s="130" t="str">
        <f>IF(B169="","",IF(D169="Incomplete","Incomplete",IF('(3).Midterm Exam'!N169="Change","Change",IF('(3).Midterm Exam'!N169="Stop","Stop",IF('(3).Midterm Exam'!N169="Incomplete","Incomplete",IF(COUNTBLANK(D169:N169)&gt;=1,"Incomplete",D169*20%+SUM(E169:N169)*80%))))))</f>
        <v/>
      </c>
    </row>
    <row r="170" spans="1:15" ht="15.95" customHeight="1">
      <c r="A170" s="66">
        <v>20</v>
      </c>
      <c r="B170" s="63" t="str">
        <f>IF('(3).Midterm Exam'!B170="","",'(3).Midterm Exam'!B170)</f>
        <v/>
      </c>
      <c r="C170" s="67" t="str">
        <f>IF('(3).Midterm Exam'!C170="","",'(3).Midterm Exam'!C170)</f>
        <v/>
      </c>
      <c r="D170" s="126" t="str">
        <f>IF('(2).Midterm Daily'!AH170="","",'(2).Midterm Daily'!AH170)</f>
        <v/>
      </c>
      <c r="E170" s="127" t="str">
        <f>IF('(3).Midterm Exam'!D170="","",'(3).Midterm Exam'!D170)</f>
        <v/>
      </c>
      <c r="F170" s="128" t="str">
        <f>IF('(3).Midterm Exam'!E170="","",'(3).Midterm Exam'!E170)</f>
        <v/>
      </c>
      <c r="G170" s="128" t="str">
        <f>IF('(3).Midterm Exam'!F170="","",'(3).Midterm Exam'!F170)</f>
        <v/>
      </c>
      <c r="H170" s="128" t="str">
        <f>IF('(3).Midterm Exam'!G170="","",'(3).Midterm Exam'!G170)</f>
        <v/>
      </c>
      <c r="I170" s="128" t="str">
        <f>IF('(3).Midterm Exam'!H170="","",'(3).Midterm Exam'!H170)</f>
        <v/>
      </c>
      <c r="J170" s="128" t="str">
        <f>IF('(3).Midterm Exam'!I170="","",'(3).Midterm Exam'!I170)</f>
        <v/>
      </c>
      <c r="K170" s="128" t="str">
        <f>IF('(3).Midterm Exam'!J170="","",'(3).Midterm Exam'!J170)</f>
        <v/>
      </c>
      <c r="L170" s="128" t="str">
        <f>IF('(3).Midterm Exam'!K170="","",'(3).Midterm Exam'!K170)</f>
        <v/>
      </c>
      <c r="M170" s="128" t="str">
        <f>IF('(3).Midterm Exam'!L170="","",'(3).Midterm Exam'!L170)</f>
        <v/>
      </c>
      <c r="N170" s="129" t="str">
        <f>IF('(3).Midterm Exam'!M170="","",'(3).Midterm Exam'!M170)</f>
        <v/>
      </c>
      <c r="O170" s="130" t="str">
        <f>IF(B170="","",IF(D170="Incomplete","Incomplete",IF('(3).Midterm Exam'!N170="Change","Change",IF('(3).Midterm Exam'!N170="Stop","Stop",IF('(3).Midterm Exam'!N170="Incomplete","Incomplete",IF(COUNTBLANK(D170:N170)&gt;=1,"Incomplete",D170*20%+SUM(E170:N170)*80%))))))</f>
        <v/>
      </c>
    </row>
    <row r="171" spans="1:15" ht="15.95" customHeight="1">
      <c r="A171" s="66">
        <v>21</v>
      </c>
      <c r="B171" s="63" t="str">
        <f>IF('(3).Midterm Exam'!B171="","",'(3).Midterm Exam'!B171)</f>
        <v/>
      </c>
      <c r="C171" s="67" t="str">
        <f>IF('(3).Midterm Exam'!C171="","",'(3).Midterm Exam'!C171)</f>
        <v/>
      </c>
      <c r="D171" s="126" t="str">
        <f>IF('(2).Midterm Daily'!AH171="","",'(2).Midterm Daily'!AH171)</f>
        <v/>
      </c>
      <c r="E171" s="127" t="str">
        <f>IF('(3).Midterm Exam'!D171="","",'(3).Midterm Exam'!D171)</f>
        <v/>
      </c>
      <c r="F171" s="128" t="str">
        <f>IF('(3).Midterm Exam'!E171="","",'(3).Midterm Exam'!E171)</f>
        <v/>
      </c>
      <c r="G171" s="128" t="str">
        <f>IF('(3).Midterm Exam'!F171="","",'(3).Midterm Exam'!F171)</f>
        <v/>
      </c>
      <c r="H171" s="128" t="str">
        <f>IF('(3).Midterm Exam'!G171="","",'(3).Midterm Exam'!G171)</f>
        <v/>
      </c>
      <c r="I171" s="128" t="str">
        <f>IF('(3).Midterm Exam'!H171="","",'(3).Midterm Exam'!H171)</f>
        <v/>
      </c>
      <c r="J171" s="128" t="str">
        <f>IF('(3).Midterm Exam'!I171="","",'(3).Midterm Exam'!I171)</f>
        <v/>
      </c>
      <c r="K171" s="128" t="str">
        <f>IF('(3).Midterm Exam'!J171="","",'(3).Midterm Exam'!J171)</f>
        <v/>
      </c>
      <c r="L171" s="128" t="str">
        <f>IF('(3).Midterm Exam'!K171="","",'(3).Midterm Exam'!K171)</f>
        <v/>
      </c>
      <c r="M171" s="128" t="str">
        <f>IF('(3).Midterm Exam'!L171="","",'(3).Midterm Exam'!L171)</f>
        <v/>
      </c>
      <c r="N171" s="129" t="str">
        <f>IF('(3).Midterm Exam'!M171="","",'(3).Midterm Exam'!M171)</f>
        <v/>
      </c>
      <c r="O171" s="130" t="str">
        <f>IF(B171="","",IF(D171="Incomplete","Incomplete",IF('(3).Midterm Exam'!N171="Change","Change",IF('(3).Midterm Exam'!N171="Stop","Stop",IF('(3).Midterm Exam'!N171="Incomplete","Incomplete",IF(COUNTBLANK(D171:N171)&gt;=1,"Incomplete",D171*20%+SUM(E171:N171)*80%))))))</f>
        <v/>
      </c>
    </row>
    <row r="172" spans="1:15" ht="15.95" customHeight="1">
      <c r="A172" s="66">
        <v>22</v>
      </c>
      <c r="B172" s="63" t="str">
        <f>IF('(3).Midterm Exam'!B172="","",'(3).Midterm Exam'!B172)</f>
        <v/>
      </c>
      <c r="C172" s="67" t="str">
        <f>IF('(3).Midterm Exam'!C172="","",'(3).Midterm Exam'!C172)</f>
        <v/>
      </c>
      <c r="D172" s="126" t="str">
        <f>IF('(2).Midterm Daily'!AH172="","",'(2).Midterm Daily'!AH172)</f>
        <v/>
      </c>
      <c r="E172" s="127" t="str">
        <f>IF('(3).Midterm Exam'!D172="","",'(3).Midterm Exam'!D172)</f>
        <v/>
      </c>
      <c r="F172" s="128" t="str">
        <f>IF('(3).Midterm Exam'!E172="","",'(3).Midterm Exam'!E172)</f>
        <v/>
      </c>
      <c r="G172" s="128" t="str">
        <f>IF('(3).Midterm Exam'!F172="","",'(3).Midterm Exam'!F172)</f>
        <v/>
      </c>
      <c r="H172" s="128" t="str">
        <f>IF('(3).Midterm Exam'!G172="","",'(3).Midterm Exam'!G172)</f>
        <v/>
      </c>
      <c r="I172" s="128" t="str">
        <f>IF('(3).Midterm Exam'!H172="","",'(3).Midterm Exam'!H172)</f>
        <v/>
      </c>
      <c r="J172" s="128" t="str">
        <f>IF('(3).Midterm Exam'!I172="","",'(3).Midterm Exam'!I172)</f>
        <v/>
      </c>
      <c r="K172" s="128" t="str">
        <f>IF('(3).Midterm Exam'!J172="","",'(3).Midterm Exam'!J172)</f>
        <v/>
      </c>
      <c r="L172" s="128" t="str">
        <f>IF('(3).Midterm Exam'!K172="","",'(3).Midterm Exam'!K172)</f>
        <v/>
      </c>
      <c r="M172" s="128" t="str">
        <f>IF('(3).Midterm Exam'!L172="","",'(3).Midterm Exam'!L172)</f>
        <v/>
      </c>
      <c r="N172" s="129" t="str">
        <f>IF('(3).Midterm Exam'!M172="","",'(3).Midterm Exam'!M172)</f>
        <v/>
      </c>
      <c r="O172" s="130" t="str">
        <f>IF(B172="","",IF(D172="Incomplete","Incomplete",IF('(3).Midterm Exam'!N172="Change","Change",IF('(3).Midterm Exam'!N172="Stop","Stop",IF('(3).Midterm Exam'!N172="Incomplete","Incomplete",IF(COUNTBLANK(D172:N172)&gt;=1,"Incomplete",D172*20%+SUM(E172:N172)*80%))))))</f>
        <v/>
      </c>
    </row>
    <row r="173" spans="1:15" ht="15.95" customHeight="1">
      <c r="A173" s="66">
        <v>23</v>
      </c>
      <c r="B173" s="63" t="str">
        <f>IF('(3).Midterm Exam'!B173="","",'(3).Midterm Exam'!B173)</f>
        <v/>
      </c>
      <c r="C173" s="67" t="str">
        <f>IF('(3).Midterm Exam'!C173="","",'(3).Midterm Exam'!C173)</f>
        <v/>
      </c>
      <c r="D173" s="126" t="str">
        <f>IF('(2).Midterm Daily'!AH173="","",'(2).Midterm Daily'!AH173)</f>
        <v/>
      </c>
      <c r="E173" s="127" t="str">
        <f>IF('(3).Midterm Exam'!D173="","",'(3).Midterm Exam'!D173)</f>
        <v/>
      </c>
      <c r="F173" s="128" t="str">
        <f>IF('(3).Midterm Exam'!E173="","",'(3).Midterm Exam'!E173)</f>
        <v/>
      </c>
      <c r="G173" s="128" t="str">
        <f>IF('(3).Midterm Exam'!F173="","",'(3).Midterm Exam'!F173)</f>
        <v/>
      </c>
      <c r="H173" s="128" t="str">
        <f>IF('(3).Midterm Exam'!G173="","",'(3).Midterm Exam'!G173)</f>
        <v/>
      </c>
      <c r="I173" s="128" t="str">
        <f>IF('(3).Midterm Exam'!H173="","",'(3).Midterm Exam'!H173)</f>
        <v/>
      </c>
      <c r="J173" s="128" t="str">
        <f>IF('(3).Midterm Exam'!I173="","",'(3).Midterm Exam'!I173)</f>
        <v/>
      </c>
      <c r="K173" s="128" t="str">
        <f>IF('(3).Midterm Exam'!J173="","",'(3).Midterm Exam'!J173)</f>
        <v/>
      </c>
      <c r="L173" s="128" t="str">
        <f>IF('(3).Midterm Exam'!K173="","",'(3).Midterm Exam'!K173)</f>
        <v/>
      </c>
      <c r="M173" s="128" t="str">
        <f>IF('(3).Midterm Exam'!L173="","",'(3).Midterm Exam'!L173)</f>
        <v/>
      </c>
      <c r="N173" s="129" t="str">
        <f>IF('(3).Midterm Exam'!M173="","",'(3).Midterm Exam'!M173)</f>
        <v/>
      </c>
      <c r="O173" s="130" t="str">
        <f>IF(B173="","",IF(D173="Incomplete","Incomplete",IF('(3).Midterm Exam'!N173="Change","Change",IF('(3).Midterm Exam'!N173="Stop","Stop",IF('(3).Midterm Exam'!N173="Incomplete","Incomplete",IF(COUNTBLANK(D173:N173)&gt;=1,"Incomplete",D173*20%+SUM(E173:N173)*80%))))))</f>
        <v/>
      </c>
    </row>
    <row r="174" spans="1:15" ht="15.95" customHeight="1">
      <c r="A174" s="66">
        <v>24</v>
      </c>
      <c r="B174" s="63" t="str">
        <f>IF('(3).Midterm Exam'!B174="","",'(3).Midterm Exam'!B174)</f>
        <v/>
      </c>
      <c r="C174" s="67" t="str">
        <f>IF('(3).Midterm Exam'!C174="","",'(3).Midterm Exam'!C174)</f>
        <v/>
      </c>
      <c r="D174" s="126" t="str">
        <f>IF('(2).Midterm Daily'!AH174="","",'(2).Midterm Daily'!AH174)</f>
        <v/>
      </c>
      <c r="E174" s="127" t="str">
        <f>IF('(3).Midterm Exam'!D174="","",'(3).Midterm Exam'!D174)</f>
        <v/>
      </c>
      <c r="F174" s="128" t="str">
        <f>IF('(3).Midterm Exam'!E174="","",'(3).Midterm Exam'!E174)</f>
        <v/>
      </c>
      <c r="G174" s="128" t="str">
        <f>IF('(3).Midterm Exam'!F174="","",'(3).Midterm Exam'!F174)</f>
        <v/>
      </c>
      <c r="H174" s="128" t="str">
        <f>IF('(3).Midterm Exam'!G174="","",'(3).Midterm Exam'!G174)</f>
        <v/>
      </c>
      <c r="I174" s="128" t="str">
        <f>IF('(3).Midterm Exam'!H174="","",'(3).Midterm Exam'!H174)</f>
        <v/>
      </c>
      <c r="J174" s="128" t="str">
        <f>IF('(3).Midterm Exam'!I174="","",'(3).Midterm Exam'!I174)</f>
        <v/>
      </c>
      <c r="K174" s="128" t="str">
        <f>IF('(3).Midterm Exam'!J174="","",'(3).Midterm Exam'!J174)</f>
        <v/>
      </c>
      <c r="L174" s="128" t="str">
        <f>IF('(3).Midterm Exam'!K174="","",'(3).Midterm Exam'!K174)</f>
        <v/>
      </c>
      <c r="M174" s="128" t="str">
        <f>IF('(3).Midterm Exam'!L174="","",'(3).Midterm Exam'!L174)</f>
        <v/>
      </c>
      <c r="N174" s="129" t="str">
        <f>IF('(3).Midterm Exam'!M174="","",'(3).Midterm Exam'!M174)</f>
        <v/>
      </c>
      <c r="O174" s="130" t="str">
        <f>IF(B174="","",IF(D174="Incomplete","Incomplete",IF('(3).Midterm Exam'!N174="Change","Change",IF('(3).Midterm Exam'!N174="Stop","Stop",IF('(3).Midterm Exam'!N174="Incomplete","Incomplete",IF(COUNTBLANK(D174:N174)&gt;=1,"Incomplete",D174*20%+SUM(E174:N174)*80%))))))</f>
        <v/>
      </c>
    </row>
    <row r="175" spans="1:15" ht="15.95" customHeight="1">
      <c r="A175" s="66">
        <v>25</v>
      </c>
      <c r="B175" s="63" t="str">
        <f>IF('(3).Midterm Exam'!B175="","",'(3).Midterm Exam'!B175)</f>
        <v/>
      </c>
      <c r="C175" s="67" t="str">
        <f>IF('(3).Midterm Exam'!C175="","",'(3).Midterm Exam'!C175)</f>
        <v/>
      </c>
      <c r="D175" s="126" t="str">
        <f>IF('(2).Midterm Daily'!AH175="","",'(2).Midterm Daily'!AH175)</f>
        <v/>
      </c>
      <c r="E175" s="127" t="str">
        <f>IF('(3).Midterm Exam'!D175="","",'(3).Midterm Exam'!D175)</f>
        <v/>
      </c>
      <c r="F175" s="128" t="str">
        <f>IF('(3).Midterm Exam'!E175="","",'(3).Midterm Exam'!E175)</f>
        <v/>
      </c>
      <c r="G175" s="128" t="str">
        <f>IF('(3).Midterm Exam'!F175="","",'(3).Midterm Exam'!F175)</f>
        <v/>
      </c>
      <c r="H175" s="128" t="str">
        <f>IF('(3).Midterm Exam'!G175="","",'(3).Midterm Exam'!G175)</f>
        <v/>
      </c>
      <c r="I175" s="128" t="str">
        <f>IF('(3).Midterm Exam'!H175="","",'(3).Midterm Exam'!H175)</f>
        <v/>
      </c>
      <c r="J175" s="128" t="str">
        <f>IF('(3).Midterm Exam'!I175="","",'(3).Midterm Exam'!I175)</f>
        <v/>
      </c>
      <c r="K175" s="128" t="str">
        <f>IF('(3).Midterm Exam'!J175="","",'(3).Midterm Exam'!J175)</f>
        <v/>
      </c>
      <c r="L175" s="128" t="str">
        <f>IF('(3).Midterm Exam'!K175="","",'(3).Midterm Exam'!K175)</f>
        <v/>
      </c>
      <c r="M175" s="128" t="str">
        <f>IF('(3).Midterm Exam'!L175="","",'(3).Midterm Exam'!L175)</f>
        <v/>
      </c>
      <c r="N175" s="129" t="str">
        <f>IF('(3).Midterm Exam'!M175="","",'(3).Midterm Exam'!M175)</f>
        <v/>
      </c>
      <c r="O175" s="130" t="str">
        <f>IF(B175="","",IF(D175="Incomplete","Incomplete",IF('(3).Midterm Exam'!N175="Change","Change",IF('(3).Midterm Exam'!N175="Stop","Stop",IF('(3).Midterm Exam'!N175="Incomplete","Incomplete",IF(COUNTBLANK(D175:N175)&gt;=1,"Incomplete",D175*20%+SUM(E175:N175)*80%))))))</f>
        <v/>
      </c>
    </row>
    <row r="176" spans="1:15" ht="15.95" customHeight="1">
      <c r="A176" s="66">
        <v>26</v>
      </c>
      <c r="B176" s="63" t="str">
        <f>IF('(3).Midterm Exam'!B176="","",'(3).Midterm Exam'!B176)</f>
        <v/>
      </c>
      <c r="C176" s="67" t="str">
        <f>IF('(3).Midterm Exam'!C176="","",'(3).Midterm Exam'!C176)</f>
        <v/>
      </c>
      <c r="D176" s="126" t="str">
        <f>IF('(2).Midterm Daily'!AH176="","",'(2).Midterm Daily'!AH176)</f>
        <v/>
      </c>
      <c r="E176" s="127" t="str">
        <f>IF('(3).Midterm Exam'!D176="","",'(3).Midterm Exam'!D176)</f>
        <v/>
      </c>
      <c r="F176" s="128" t="str">
        <f>IF('(3).Midterm Exam'!E176="","",'(3).Midterm Exam'!E176)</f>
        <v/>
      </c>
      <c r="G176" s="128" t="str">
        <f>IF('(3).Midterm Exam'!F176="","",'(3).Midterm Exam'!F176)</f>
        <v/>
      </c>
      <c r="H176" s="128" t="str">
        <f>IF('(3).Midterm Exam'!G176="","",'(3).Midterm Exam'!G176)</f>
        <v/>
      </c>
      <c r="I176" s="128" t="str">
        <f>IF('(3).Midterm Exam'!H176="","",'(3).Midterm Exam'!H176)</f>
        <v/>
      </c>
      <c r="J176" s="128" t="str">
        <f>IF('(3).Midterm Exam'!I176="","",'(3).Midterm Exam'!I176)</f>
        <v/>
      </c>
      <c r="K176" s="128" t="str">
        <f>IF('(3).Midterm Exam'!J176="","",'(3).Midterm Exam'!J176)</f>
        <v/>
      </c>
      <c r="L176" s="128" t="str">
        <f>IF('(3).Midterm Exam'!K176="","",'(3).Midterm Exam'!K176)</f>
        <v/>
      </c>
      <c r="M176" s="128" t="str">
        <f>IF('(3).Midterm Exam'!L176="","",'(3).Midterm Exam'!L176)</f>
        <v/>
      </c>
      <c r="N176" s="129" t="str">
        <f>IF('(3).Midterm Exam'!M176="","",'(3).Midterm Exam'!M176)</f>
        <v/>
      </c>
      <c r="O176" s="130" t="str">
        <f>IF(B176="","",IF(D176="Incomplete","Incomplete",IF('(3).Midterm Exam'!N176="Change","Change",IF('(3).Midterm Exam'!N176="Stop","Stop",IF('(3).Midterm Exam'!N176="Incomplete","Incomplete",IF(COUNTBLANK(D176:N176)&gt;=1,"Incomplete",D176*20%+SUM(E176:N176)*80%))))))</f>
        <v/>
      </c>
    </row>
    <row r="177" spans="1:15" ht="15.95" customHeight="1">
      <c r="A177" s="66">
        <v>27</v>
      </c>
      <c r="B177" s="63" t="str">
        <f>IF('(3).Midterm Exam'!B177="","",'(3).Midterm Exam'!B177)</f>
        <v/>
      </c>
      <c r="C177" s="67" t="str">
        <f>IF('(3).Midterm Exam'!C177="","",'(3).Midterm Exam'!C177)</f>
        <v/>
      </c>
      <c r="D177" s="126" t="str">
        <f>IF('(2).Midterm Daily'!AH177="","",'(2).Midterm Daily'!AH177)</f>
        <v/>
      </c>
      <c r="E177" s="127" t="str">
        <f>IF('(3).Midterm Exam'!D177="","",'(3).Midterm Exam'!D177)</f>
        <v/>
      </c>
      <c r="F177" s="128" t="str">
        <f>IF('(3).Midterm Exam'!E177="","",'(3).Midterm Exam'!E177)</f>
        <v/>
      </c>
      <c r="G177" s="128" t="str">
        <f>IF('(3).Midterm Exam'!F177="","",'(3).Midterm Exam'!F177)</f>
        <v/>
      </c>
      <c r="H177" s="128" t="str">
        <f>IF('(3).Midterm Exam'!G177="","",'(3).Midterm Exam'!G177)</f>
        <v/>
      </c>
      <c r="I177" s="128" t="str">
        <f>IF('(3).Midterm Exam'!H177="","",'(3).Midterm Exam'!H177)</f>
        <v/>
      </c>
      <c r="J177" s="128" t="str">
        <f>IF('(3).Midterm Exam'!I177="","",'(3).Midterm Exam'!I177)</f>
        <v/>
      </c>
      <c r="K177" s="128" t="str">
        <f>IF('(3).Midterm Exam'!J177="","",'(3).Midterm Exam'!J177)</f>
        <v/>
      </c>
      <c r="L177" s="128" t="str">
        <f>IF('(3).Midterm Exam'!K177="","",'(3).Midterm Exam'!K177)</f>
        <v/>
      </c>
      <c r="M177" s="128" t="str">
        <f>IF('(3).Midterm Exam'!L177="","",'(3).Midterm Exam'!L177)</f>
        <v/>
      </c>
      <c r="N177" s="129" t="str">
        <f>IF('(3).Midterm Exam'!M177="","",'(3).Midterm Exam'!M177)</f>
        <v/>
      </c>
      <c r="O177" s="130" t="str">
        <f>IF(B177="","",IF(D177="Incomplete","Incomplete",IF('(3).Midterm Exam'!N177="Change","Change",IF('(3).Midterm Exam'!N177="Stop","Stop",IF('(3).Midterm Exam'!N177="Incomplete","Incomplete",IF(COUNTBLANK(D177:N177)&gt;=1,"Incomplete",D177*20%+SUM(E177:N177)*80%))))))</f>
        <v/>
      </c>
    </row>
    <row r="178" spans="1:15" ht="15.95" customHeight="1">
      <c r="A178" s="66">
        <v>28</v>
      </c>
      <c r="B178" s="63" t="str">
        <f>IF('(3).Midterm Exam'!B178="","",'(3).Midterm Exam'!B178)</f>
        <v/>
      </c>
      <c r="C178" s="67" t="str">
        <f>IF('(3).Midterm Exam'!C178="","",'(3).Midterm Exam'!C178)</f>
        <v/>
      </c>
      <c r="D178" s="126" t="str">
        <f>IF('(2).Midterm Daily'!AH178="","",'(2).Midterm Daily'!AH178)</f>
        <v/>
      </c>
      <c r="E178" s="127" t="str">
        <f>IF('(3).Midterm Exam'!D178="","",'(3).Midterm Exam'!D178)</f>
        <v/>
      </c>
      <c r="F178" s="128" t="str">
        <f>IF('(3).Midterm Exam'!E178="","",'(3).Midterm Exam'!E178)</f>
        <v/>
      </c>
      <c r="G178" s="128" t="str">
        <f>IF('(3).Midterm Exam'!F178="","",'(3).Midterm Exam'!F178)</f>
        <v/>
      </c>
      <c r="H178" s="128" t="str">
        <f>IF('(3).Midterm Exam'!G178="","",'(3).Midterm Exam'!G178)</f>
        <v/>
      </c>
      <c r="I178" s="128" t="str">
        <f>IF('(3).Midterm Exam'!H178="","",'(3).Midterm Exam'!H178)</f>
        <v/>
      </c>
      <c r="J178" s="128" t="str">
        <f>IF('(3).Midterm Exam'!I178="","",'(3).Midterm Exam'!I178)</f>
        <v/>
      </c>
      <c r="K178" s="128" t="str">
        <f>IF('(3).Midterm Exam'!J178="","",'(3).Midterm Exam'!J178)</f>
        <v/>
      </c>
      <c r="L178" s="128" t="str">
        <f>IF('(3).Midterm Exam'!K178="","",'(3).Midterm Exam'!K178)</f>
        <v/>
      </c>
      <c r="M178" s="128" t="str">
        <f>IF('(3).Midterm Exam'!L178="","",'(3).Midterm Exam'!L178)</f>
        <v/>
      </c>
      <c r="N178" s="129" t="str">
        <f>IF('(3).Midterm Exam'!M178="","",'(3).Midterm Exam'!M178)</f>
        <v/>
      </c>
      <c r="O178" s="130" t="str">
        <f>IF(B178="","",IF(D178="Incomplete","Incomplete",IF('(3).Midterm Exam'!N178="Change","Change",IF('(3).Midterm Exam'!N178="Stop","Stop",IF('(3).Midterm Exam'!N178="Incomplete","Incomplete",IF(COUNTBLANK(D178:N178)&gt;=1,"Incomplete",D178*20%+SUM(E178:N178)*80%))))))</f>
        <v/>
      </c>
    </row>
    <row r="179" spans="1:15" ht="15.95" customHeight="1">
      <c r="A179" s="66">
        <v>29</v>
      </c>
      <c r="B179" s="63" t="str">
        <f>IF('(3).Midterm Exam'!B179="","",'(3).Midterm Exam'!B179)</f>
        <v/>
      </c>
      <c r="C179" s="67" t="str">
        <f>IF('(3).Midterm Exam'!C179="","",'(3).Midterm Exam'!C179)</f>
        <v/>
      </c>
      <c r="D179" s="126" t="str">
        <f>IF('(2).Midterm Daily'!AH179="","",'(2).Midterm Daily'!AH179)</f>
        <v/>
      </c>
      <c r="E179" s="127" t="str">
        <f>IF('(3).Midterm Exam'!D179="","",'(3).Midterm Exam'!D179)</f>
        <v/>
      </c>
      <c r="F179" s="128" t="str">
        <f>IF('(3).Midterm Exam'!E179="","",'(3).Midterm Exam'!E179)</f>
        <v/>
      </c>
      <c r="G179" s="128" t="str">
        <f>IF('(3).Midterm Exam'!F179="","",'(3).Midterm Exam'!F179)</f>
        <v/>
      </c>
      <c r="H179" s="128" t="str">
        <f>IF('(3).Midterm Exam'!G179="","",'(3).Midterm Exam'!G179)</f>
        <v/>
      </c>
      <c r="I179" s="128" t="str">
        <f>IF('(3).Midterm Exam'!H179="","",'(3).Midterm Exam'!H179)</f>
        <v/>
      </c>
      <c r="J179" s="128" t="str">
        <f>IF('(3).Midterm Exam'!I179="","",'(3).Midterm Exam'!I179)</f>
        <v/>
      </c>
      <c r="K179" s="128" t="str">
        <f>IF('(3).Midterm Exam'!J179="","",'(3).Midterm Exam'!J179)</f>
        <v/>
      </c>
      <c r="L179" s="128" t="str">
        <f>IF('(3).Midterm Exam'!K179="","",'(3).Midterm Exam'!K179)</f>
        <v/>
      </c>
      <c r="M179" s="128" t="str">
        <f>IF('(3).Midterm Exam'!L179="","",'(3).Midterm Exam'!L179)</f>
        <v/>
      </c>
      <c r="N179" s="129" t="str">
        <f>IF('(3).Midterm Exam'!M179="","",'(3).Midterm Exam'!M179)</f>
        <v/>
      </c>
      <c r="O179" s="130" t="str">
        <f>IF(B179="","",IF(D179="Incomplete","Incomplete",IF('(3).Midterm Exam'!N179="Change","Change",IF('(3).Midterm Exam'!N179="Stop","Stop",IF('(3).Midterm Exam'!N179="Incomplete","Incomplete",IF(COUNTBLANK(D179:N179)&gt;=1,"Incomplete",D179*20%+SUM(E179:N179)*80%))))))</f>
        <v/>
      </c>
    </row>
    <row r="180" spans="1:15" ht="15.95" customHeight="1">
      <c r="A180" s="66">
        <v>30</v>
      </c>
      <c r="B180" s="63" t="str">
        <f>IF('(3).Midterm Exam'!B180="","",'(3).Midterm Exam'!B180)</f>
        <v/>
      </c>
      <c r="C180" s="67" t="str">
        <f>IF('(3).Midterm Exam'!C180="","",'(3).Midterm Exam'!C180)</f>
        <v/>
      </c>
      <c r="D180" s="126" t="str">
        <f>IF('(2).Midterm Daily'!AH180="","",'(2).Midterm Daily'!AH180)</f>
        <v/>
      </c>
      <c r="E180" s="127" t="str">
        <f>IF('(3).Midterm Exam'!D180="","",'(3).Midterm Exam'!D180)</f>
        <v/>
      </c>
      <c r="F180" s="128" t="str">
        <f>IF('(3).Midterm Exam'!E180="","",'(3).Midterm Exam'!E180)</f>
        <v/>
      </c>
      <c r="G180" s="128" t="str">
        <f>IF('(3).Midterm Exam'!F180="","",'(3).Midterm Exam'!F180)</f>
        <v/>
      </c>
      <c r="H180" s="128" t="str">
        <f>IF('(3).Midterm Exam'!G180="","",'(3).Midterm Exam'!G180)</f>
        <v/>
      </c>
      <c r="I180" s="128" t="str">
        <f>IF('(3).Midterm Exam'!H180="","",'(3).Midterm Exam'!H180)</f>
        <v/>
      </c>
      <c r="J180" s="128" t="str">
        <f>IF('(3).Midterm Exam'!I180="","",'(3).Midterm Exam'!I180)</f>
        <v/>
      </c>
      <c r="K180" s="128" t="str">
        <f>IF('(3).Midterm Exam'!J180="","",'(3).Midterm Exam'!J180)</f>
        <v/>
      </c>
      <c r="L180" s="128" t="str">
        <f>IF('(3).Midterm Exam'!K180="","",'(3).Midterm Exam'!K180)</f>
        <v/>
      </c>
      <c r="M180" s="128" t="str">
        <f>IF('(3).Midterm Exam'!L180="","",'(3).Midterm Exam'!L180)</f>
        <v/>
      </c>
      <c r="N180" s="129" t="str">
        <f>IF('(3).Midterm Exam'!M180="","",'(3).Midterm Exam'!M180)</f>
        <v/>
      </c>
      <c r="O180" s="130" t="str">
        <f>IF(B180="","",IF(D180="Incomplete","Incomplete",IF('(3).Midterm Exam'!N180="Change","Change",IF('(3).Midterm Exam'!N180="Stop","Stop",IF('(3).Midterm Exam'!N180="Incomplete","Incomplete",IF(COUNTBLANK(D180:N180)&gt;=1,"Incomplete",D180*20%+SUM(E180:N180)*80%))))))</f>
        <v/>
      </c>
    </row>
    <row r="181" spans="1:15" ht="15.95" customHeight="1">
      <c r="A181" s="18" t="s">
        <v>0</v>
      </c>
      <c r="B181" s="19">
        <f>'(3).Midterm Exam'!B181</f>
        <v>0</v>
      </c>
      <c r="C181" s="60"/>
      <c r="D181" s="225" t="s">
        <v>94</v>
      </c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</row>
    <row r="182" spans="1:15" ht="15.95" customHeight="1">
      <c r="A182" s="18" t="s">
        <v>1</v>
      </c>
      <c r="B182" s="19">
        <f>'(3).Midterm Exam'!B182</f>
        <v>0</v>
      </c>
      <c r="C182" s="60"/>
      <c r="D182" s="225" t="str">
        <f>'(3).Midterm Exam'!D183</f>
        <v>FEBRUARY - JULY 2026</v>
      </c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</row>
    <row r="183" spans="1:15" ht="15.95" customHeight="1">
      <c r="A183" s="18" t="s">
        <v>2</v>
      </c>
      <c r="B183" s="19">
        <f>'(3).Midterm Exam'!B183</f>
        <v>0</v>
      </c>
      <c r="C183" s="60"/>
      <c r="D183" s="226" t="s">
        <v>30</v>
      </c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</row>
    <row r="184" spans="1:15" ht="15.95" customHeight="1">
      <c r="A184" s="18" t="s">
        <v>3</v>
      </c>
      <c r="B184" s="19">
        <f>'(3).Midterm Exam'!B184</f>
        <v>0</v>
      </c>
      <c r="C184" s="60"/>
      <c r="D184" s="117" t="s">
        <v>14</v>
      </c>
      <c r="E184" s="227" t="s">
        <v>93</v>
      </c>
      <c r="F184" s="228"/>
      <c r="G184" s="228"/>
      <c r="H184" s="228"/>
      <c r="I184" s="228"/>
      <c r="J184" s="228"/>
      <c r="K184" s="228"/>
      <c r="L184" s="228"/>
      <c r="M184" s="228"/>
      <c r="N184" s="229"/>
      <c r="O184" s="118" t="s">
        <v>16</v>
      </c>
    </row>
    <row r="185" spans="1:15" ht="15.95" customHeight="1">
      <c r="A185" s="18" t="s">
        <v>4</v>
      </c>
      <c r="B185" s="19">
        <f>'(3).Midterm Exam'!B185</f>
        <v>0</v>
      </c>
      <c r="C185" s="60"/>
      <c r="D185" s="119" t="s">
        <v>15</v>
      </c>
      <c r="E185" s="112" t="str">
        <f>IF(OR($B182="K5",$B182="K6",$B182="K7",$B182="K8",$B182="K9",$B182="K10"),"Listening","Up-Low C")</f>
        <v>Up-Low C</v>
      </c>
      <c r="F185" s="112" t="str">
        <f>IF(OR($B182="K5",$B182="K6",$B182="K7",$B182="K8",$B182="K9",$B182="K10"),"Speaking","Alphabet N")</f>
        <v>Alphabet N</v>
      </c>
      <c r="G185" s="112" t="str">
        <f>IF(OR($B182="K5",$B182="K6",$B182="K7",$B182="K8",$B182="K9",$B182="K10"),"Reading","Alphabet S")</f>
        <v>Alphabet S</v>
      </c>
      <c r="H185" s="112" t="str">
        <f>IF(OR($B182="K5",$B182="K6",$B182="K7",$B182="K8",$B182="K9",$B182="K10"),"Writing","Vocabulary")</f>
        <v>Vocabulary</v>
      </c>
      <c r="I185" s="112" t="str">
        <f>IF(OR($B182="K5",$B182="K6",$B182="K7",$B182="K8",$B182="K9",$B182="K10"),"Grammar","Sprouts")</f>
        <v>Sprouts</v>
      </c>
      <c r="J185" s="112" t="str">
        <f>IF(OR($B182="K5",$B182="K6",$B182="K7",$B182="K8",$B182="K9",$B182="K10"),"Vocabulary","Phonics")</f>
        <v>Phonics</v>
      </c>
      <c r="K185" s="112" t="str">
        <f>IF(OR($B182="K5",$B182="K6",$B182="K7",$B182="K8",$B182="K9",$B182="K10"),"Roots","Math")</f>
        <v>Math</v>
      </c>
      <c r="L185" s="112" t="str">
        <f>IF(OR($B182="K5",$B182="K6",$B182="K7",$B182="K8",$B182="K9",$B182="K10"),"Phonics","Shape")</f>
        <v>Shape</v>
      </c>
      <c r="M185" s="112" t="str">
        <f>IF(OR($B182="K5",$B182="K6",$B182="K7",$B182="K8",$B182="K9",$B182="K10"),"Math","Science")</f>
        <v>Science</v>
      </c>
      <c r="N185" s="112" t="str">
        <f>IF(OR($B182="K5",$B182="K6",$B182="K7",$B182="K8",$B182="K9",$B182="K10"),"Science","Tracing")</f>
        <v>Tracing</v>
      </c>
      <c r="O185" s="120" t="s">
        <v>17</v>
      </c>
    </row>
    <row r="186" spans="1:15" ht="15.95" customHeight="1" thickBot="1">
      <c r="A186" s="82" t="s">
        <v>5</v>
      </c>
      <c r="B186" s="83" t="s">
        <v>6</v>
      </c>
      <c r="C186" s="84" t="s">
        <v>7</v>
      </c>
      <c r="D186" s="113" t="s">
        <v>92</v>
      </c>
      <c r="E186" s="113" t="s">
        <v>9</v>
      </c>
      <c r="F186" s="113" t="s">
        <v>9</v>
      </c>
      <c r="G186" s="113" t="s">
        <v>9</v>
      </c>
      <c r="H186" s="113" t="s">
        <v>9</v>
      </c>
      <c r="I186" s="113" t="s">
        <v>9</v>
      </c>
      <c r="J186" s="113" t="s">
        <v>9</v>
      </c>
      <c r="K186" s="113" t="s">
        <v>9</v>
      </c>
      <c r="L186" s="113" t="s">
        <v>9</v>
      </c>
      <c r="M186" s="113" t="s">
        <v>9</v>
      </c>
      <c r="N186" s="113" t="s">
        <v>9</v>
      </c>
      <c r="O186" s="113" t="s">
        <v>92</v>
      </c>
    </row>
    <row r="187" spans="1:15" ht="15.95" customHeight="1">
      <c r="A187" s="78">
        <v>1</v>
      </c>
      <c r="B187" s="68" t="str">
        <f>IF('(3).Midterm Exam'!B187="","",'(3).Midterm Exam'!B187)</f>
        <v/>
      </c>
      <c r="C187" s="79" t="str">
        <f>IF('(3).Midterm Exam'!C187="","",'(3).Midterm Exam'!C187)</f>
        <v/>
      </c>
      <c r="D187" s="121" t="str">
        <f>IF('(2).Midterm Daily'!AH187="","",'(2).Midterm Daily'!AH187)</f>
        <v/>
      </c>
      <c r="E187" s="122" t="str">
        <f>IF('(3).Midterm Exam'!D187="","",'(3).Midterm Exam'!D187)</f>
        <v/>
      </c>
      <c r="F187" s="123" t="str">
        <f>IF('(3).Midterm Exam'!E187="","",'(3).Midterm Exam'!E187)</f>
        <v/>
      </c>
      <c r="G187" s="123" t="str">
        <f>IF('(3).Midterm Exam'!F187="","",'(3).Midterm Exam'!F187)</f>
        <v/>
      </c>
      <c r="H187" s="123" t="str">
        <f>IF('(3).Midterm Exam'!G187="","",'(3).Midterm Exam'!G187)</f>
        <v/>
      </c>
      <c r="I187" s="123" t="str">
        <f>IF('(3).Midterm Exam'!H187="","",'(3).Midterm Exam'!H187)</f>
        <v/>
      </c>
      <c r="J187" s="123" t="str">
        <f>IF('(3).Midterm Exam'!I187="","",'(3).Midterm Exam'!I187)</f>
        <v/>
      </c>
      <c r="K187" s="123" t="str">
        <f>IF('(3).Midterm Exam'!J187="","",'(3).Midterm Exam'!J187)</f>
        <v/>
      </c>
      <c r="L187" s="123" t="str">
        <f>IF('(3).Midterm Exam'!K187="","",'(3).Midterm Exam'!K187)</f>
        <v/>
      </c>
      <c r="M187" s="123" t="str">
        <f>IF('(3).Midterm Exam'!L187="","",'(3).Midterm Exam'!L187)</f>
        <v/>
      </c>
      <c r="N187" s="124" t="str">
        <f>IF('(3).Midterm Exam'!M187="","",'(3).Midterm Exam'!M187)</f>
        <v/>
      </c>
      <c r="O187" s="125" t="str">
        <f>IF(B187="","",IF(D187="Incomplete","Incomplete",IF('(3).Midterm Exam'!N187="Change","Change",IF('(3).Midterm Exam'!N187="Stop","Stop",IF('(3).Midterm Exam'!N187="Incomplete","Incomplete",IF(COUNTBLANK(D187:N187)&gt;=1,"Incomplete",D187*20%+SUM(E187:N187)*80%))))))</f>
        <v/>
      </c>
    </row>
    <row r="188" spans="1:15" ht="15.95" customHeight="1">
      <c r="A188" s="66">
        <v>2</v>
      </c>
      <c r="B188" s="63" t="str">
        <f>IF('(3).Midterm Exam'!B188="","",'(3).Midterm Exam'!B188)</f>
        <v/>
      </c>
      <c r="C188" s="67" t="str">
        <f>IF('(3).Midterm Exam'!C188="","",'(3).Midterm Exam'!C188)</f>
        <v/>
      </c>
      <c r="D188" s="126" t="str">
        <f>IF('(2).Midterm Daily'!AH188="","",'(2).Midterm Daily'!AH188)</f>
        <v/>
      </c>
      <c r="E188" s="127" t="str">
        <f>IF('(3).Midterm Exam'!D188="","",'(3).Midterm Exam'!D188)</f>
        <v/>
      </c>
      <c r="F188" s="128" t="str">
        <f>IF('(3).Midterm Exam'!E188="","",'(3).Midterm Exam'!E188)</f>
        <v/>
      </c>
      <c r="G188" s="128" t="str">
        <f>IF('(3).Midterm Exam'!F188="","",'(3).Midterm Exam'!F188)</f>
        <v/>
      </c>
      <c r="H188" s="128" t="str">
        <f>IF('(3).Midterm Exam'!G188="","",'(3).Midterm Exam'!G188)</f>
        <v/>
      </c>
      <c r="I188" s="128" t="str">
        <f>IF('(3).Midterm Exam'!H188="","",'(3).Midterm Exam'!H188)</f>
        <v/>
      </c>
      <c r="J188" s="128" t="str">
        <f>IF('(3).Midterm Exam'!I188="","",'(3).Midterm Exam'!I188)</f>
        <v/>
      </c>
      <c r="K188" s="128" t="str">
        <f>IF('(3).Midterm Exam'!J188="","",'(3).Midterm Exam'!J188)</f>
        <v/>
      </c>
      <c r="L188" s="128" t="str">
        <f>IF('(3).Midterm Exam'!K188="","",'(3).Midterm Exam'!K188)</f>
        <v/>
      </c>
      <c r="M188" s="128" t="str">
        <f>IF('(3).Midterm Exam'!L188="","",'(3).Midterm Exam'!L188)</f>
        <v/>
      </c>
      <c r="N188" s="129" t="str">
        <f>IF('(3).Midterm Exam'!M188="","",'(3).Midterm Exam'!M188)</f>
        <v/>
      </c>
      <c r="O188" s="130" t="str">
        <f>IF(B188="","",IF(D188="Incomplete","Incomplete",IF('(3).Midterm Exam'!N188="Change","Change",IF('(3).Midterm Exam'!N188="Stop","Stop",IF('(3).Midterm Exam'!N188="Incomplete","Incomplete",IF(COUNTBLANK(D188:N188)&gt;=1,"Incomplete",D188*20%+SUM(E188:N188)*80%))))))</f>
        <v/>
      </c>
    </row>
    <row r="189" spans="1:15" ht="15.95" customHeight="1">
      <c r="A189" s="66">
        <v>3</v>
      </c>
      <c r="B189" s="63" t="str">
        <f>IF('(3).Midterm Exam'!B189="","",'(3).Midterm Exam'!B189)</f>
        <v/>
      </c>
      <c r="C189" s="67" t="str">
        <f>IF('(3).Midterm Exam'!C189="","",'(3).Midterm Exam'!C189)</f>
        <v/>
      </c>
      <c r="D189" s="126" t="str">
        <f>IF('(2).Midterm Daily'!AH189="","",'(2).Midterm Daily'!AH189)</f>
        <v/>
      </c>
      <c r="E189" s="127" t="str">
        <f>IF('(3).Midterm Exam'!D189="","",'(3).Midterm Exam'!D189)</f>
        <v/>
      </c>
      <c r="F189" s="128" t="str">
        <f>IF('(3).Midterm Exam'!E189="","",'(3).Midterm Exam'!E189)</f>
        <v/>
      </c>
      <c r="G189" s="128" t="str">
        <f>IF('(3).Midterm Exam'!F189="","",'(3).Midterm Exam'!F189)</f>
        <v/>
      </c>
      <c r="H189" s="128" t="str">
        <f>IF('(3).Midterm Exam'!G189="","",'(3).Midterm Exam'!G189)</f>
        <v/>
      </c>
      <c r="I189" s="128" t="str">
        <f>IF('(3).Midterm Exam'!H189="","",'(3).Midterm Exam'!H189)</f>
        <v/>
      </c>
      <c r="J189" s="128" t="str">
        <f>IF('(3).Midterm Exam'!I189="","",'(3).Midterm Exam'!I189)</f>
        <v/>
      </c>
      <c r="K189" s="128" t="str">
        <f>IF('(3).Midterm Exam'!J189="","",'(3).Midterm Exam'!J189)</f>
        <v/>
      </c>
      <c r="L189" s="128" t="str">
        <f>IF('(3).Midterm Exam'!K189="","",'(3).Midterm Exam'!K189)</f>
        <v/>
      </c>
      <c r="M189" s="128" t="str">
        <f>IF('(3).Midterm Exam'!L189="","",'(3).Midterm Exam'!L189)</f>
        <v/>
      </c>
      <c r="N189" s="129" t="str">
        <f>IF('(3).Midterm Exam'!M189="","",'(3).Midterm Exam'!M189)</f>
        <v/>
      </c>
      <c r="O189" s="130" t="str">
        <f>IF(B189="","",IF(D189="Incomplete","Incomplete",IF('(3).Midterm Exam'!N189="Change","Change",IF('(3).Midterm Exam'!N189="Stop","Stop",IF('(3).Midterm Exam'!N189="Incomplete","Incomplete",IF(COUNTBLANK(D189:N189)&gt;=1,"Incomplete",D189*20%+SUM(E189:N189)*80%))))))</f>
        <v/>
      </c>
    </row>
    <row r="190" spans="1:15" ht="15.95" customHeight="1">
      <c r="A190" s="66">
        <v>4</v>
      </c>
      <c r="B190" s="63" t="str">
        <f>IF('(3).Midterm Exam'!B190="","",'(3).Midterm Exam'!B190)</f>
        <v/>
      </c>
      <c r="C190" s="67" t="str">
        <f>IF('(3).Midterm Exam'!C190="","",'(3).Midterm Exam'!C190)</f>
        <v/>
      </c>
      <c r="D190" s="126" t="str">
        <f>IF('(2).Midterm Daily'!AH190="","",'(2).Midterm Daily'!AH190)</f>
        <v/>
      </c>
      <c r="E190" s="127" t="str">
        <f>IF('(3).Midterm Exam'!D190="","",'(3).Midterm Exam'!D190)</f>
        <v/>
      </c>
      <c r="F190" s="128" t="str">
        <f>IF('(3).Midterm Exam'!E190="","",'(3).Midterm Exam'!E190)</f>
        <v/>
      </c>
      <c r="G190" s="128" t="str">
        <f>IF('(3).Midterm Exam'!F190="","",'(3).Midterm Exam'!F190)</f>
        <v/>
      </c>
      <c r="H190" s="128" t="str">
        <f>IF('(3).Midterm Exam'!G190="","",'(3).Midterm Exam'!G190)</f>
        <v/>
      </c>
      <c r="I190" s="128" t="str">
        <f>IF('(3).Midterm Exam'!H190="","",'(3).Midterm Exam'!H190)</f>
        <v/>
      </c>
      <c r="J190" s="128" t="str">
        <f>IF('(3).Midterm Exam'!I190="","",'(3).Midterm Exam'!I190)</f>
        <v/>
      </c>
      <c r="K190" s="128" t="str">
        <f>IF('(3).Midterm Exam'!J190="","",'(3).Midterm Exam'!J190)</f>
        <v/>
      </c>
      <c r="L190" s="128" t="str">
        <f>IF('(3).Midterm Exam'!K190="","",'(3).Midterm Exam'!K190)</f>
        <v/>
      </c>
      <c r="M190" s="128" t="str">
        <f>IF('(3).Midterm Exam'!L190="","",'(3).Midterm Exam'!L190)</f>
        <v/>
      </c>
      <c r="N190" s="129" t="str">
        <f>IF('(3).Midterm Exam'!M190="","",'(3).Midterm Exam'!M190)</f>
        <v/>
      </c>
      <c r="O190" s="130" t="str">
        <f>IF(B190="","",IF(D190="Incomplete","Incomplete",IF('(3).Midterm Exam'!N190="Change","Change",IF('(3).Midterm Exam'!N190="Stop","Stop",IF('(3).Midterm Exam'!N190="Incomplete","Incomplete",IF(COUNTBLANK(D190:N190)&gt;=1,"Incomplete",D190*20%+SUM(E190:N190)*80%))))))</f>
        <v/>
      </c>
    </row>
    <row r="191" spans="1:15" ht="15.95" customHeight="1">
      <c r="A191" s="66">
        <v>5</v>
      </c>
      <c r="B191" s="63" t="str">
        <f>IF('(3).Midterm Exam'!B191="","",'(3).Midterm Exam'!B191)</f>
        <v/>
      </c>
      <c r="C191" s="67" t="str">
        <f>IF('(3).Midterm Exam'!C191="","",'(3).Midterm Exam'!C191)</f>
        <v/>
      </c>
      <c r="D191" s="126" t="str">
        <f>IF('(2).Midterm Daily'!AH191="","",'(2).Midterm Daily'!AH191)</f>
        <v/>
      </c>
      <c r="E191" s="127" t="str">
        <f>IF('(3).Midterm Exam'!D191="","",'(3).Midterm Exam'!D191)</f>
        <v/>
      </c>
      <c r="F191" s="128" t="str">
        <f>IF('(3).Midterm Exam'!E191="","",'(3).Midterm Exam'!E191)</f>
        <v/>
      </c>
      <c r="G191" s="128" t="str">
        <f>IF('(3).Midterm Exam'!F191="","",'(3).Midterm Exam'!F191)</f>
        <v/>
      </c>
      <c r="H191" s="128" t="str">
        <f>IF('(3).Midterm Exam'!G191="","",'(3).Midterm Exam'!G191)</f>
        <v/>
      </c>
      <c r="I191" s="128" t="str">
        <f>IF('(3).Midterm Exam'!H191="","",'(3).Midterm Exam'!H191)</f>
        <v/>
      </c>
      <c r="J191" s="128" t="str">
        <f>IF('(3).Midterm Exam'!I191="","",'(3).Midterm Exam'!I191)</f>
        <v/>
      </c>
      <c r="K191" s="128" t="str">
        <f>IF('(3).Midterm Exam'!J191="","",'(3).Midterm Exam'!J191)</f>
        <v/>
      </c>
      <c r="L191" s="128" t="str">
        <f>IF('(3).Midterm Exam'!K191="","",'(3).Midterm Exam'!K191)</f>
        <v/>
      </c>
      <c r="M191" s="128" t="str">
        <f>IF('(3).Midterm Exam'!L191="","",'(3).Midterm Exam'!L191)</f>
        <v/>
      </c>
      <c r="N191" s="129" t="str">
        <f>IF('(3).Midterm Exam'!M191="","",'(3).Midterm Exam'!M191)</f>
        <v/>
      </c>
      <c r="O191" s="130" t="str">
        <f>IF(B191="","",IF(D191="Incomplete","Incomplete",IF('(3).Midterm Exam'!N191="Change","Change",IF('(3).Midterm Exam'!N191="Stop","Stop",IF('(3).Midterm Exam'!N191="Incomplete","Incomplete",IF(COUNTBLANK(D191:N191)&gt;=1,"Incomplete",D191*20%+SUM(E191:N191)*80%))))))</f>
        <v/>
      </c>
    </row>
    <row r="192" spans="1:15" ht="15.95" customHeight="1">
      <c r="A192" s="66">
        <v>6</v>
      </c>
      <c r="B192" s="63" t="str">
        <f>IF('(3).Midterm Exam'!B192="","",'(3).Midterm Exam'!B192)</f>
        <v/>
      </c>
      <c r="C192" s="67" t="str">
        <f>IF('(3).Midterm Exam'!C192="","",'(3).Midterm Exam'!C192)</f>
        <v/>
      </c>
      <c r="D192" s="126" t="str">
        <f>IF('(2).Midterm Daily'!AH192="","",'(2).Midterm Daily'!AH192)</f>
        <v/>
      </c>
      <c r="E192" s="127" t="str">
        <f>IF('(3).Midterm Exam'!D192="","",'(3).Midterm Exam'!D192)</f>
        <v/>
      </c>
      <c r="F192" s="128" t="str">
        <f>IF('(3).Midterm Exam'!E192="","",'(3).Midterm Exam'!E192)</f>
        <v/>
      </c>
      <c r="G192" s="128" t="str">
        <f>IF('(3).Midterm Exam'!F192="","",'(3).Midterm Exam'!F192)</f>
        <v/>
      </c>
      <c r="H192" s="128" t="str">
        <f>IF('(3).Midterm Exam'!G192="","",'(3).Midterm Exam'!G192)</f>
        <v/>
      </c>
      <c r="I192" s="128" t="str">
        <f>IF('(3).Midterm Exam'!H192="","",'(3).Midterm Exam'!H192)</f>
        <v/>
      </c>
      <c r="J192" s="128" t="str">
        <f>IF('(3).Midterm Exam'!I192="","",'(3).Midterm Exam'!I192)</f>
        <v/>
      </c>
      <c r="K192" s="128" t="str">
        <f>IF('(3).Midterm Exam'!J192="","",'(3).Midterm Exam'!J192)</f>
        <v/>
      </c>
      <c r="L192" s="128" t="str">
        <f>IF('(3).Midterm Exam'!K192="","",'(3).Midterm Exam'!K192)</f>
        <v/>
      </c>
      <c r="M192" s="128" t="str">
        <f>IF('(3).Midterm Exam'!L192="","",'(3).Midterm Exam'!L192)</f>
        <v/>
      </c>
      <c r="N192" s="129" t="str">
        <f>IF('(3).Midterm Exam'!M192="","",'(3).Midterm Exam'!M192)</f>
        <v/>
      </c>
      <c r="O192" s="130" t="str">
        <f>IF(B192="","",IF(D192="Incomplete","Incomplete",IF('(3).Midterm Exam'!N192="Change","Change",IF('(3).Midterm Exam'!N192="Stop","Stop",IF('(3).Midterm Exam'!N192="Incomplete","Incomplete",IF(COUNTBLANK(D192:N192)&gt;=1,"Incomplete",D192*20%+SUM(E192:N192)*80%))))))</f>
        <v/>
      </c>
    </row>
    <row r="193" spans="1:15" ht="15.95" customHeight="1">
      <c r="A193" s="66">
        <v>7</v>
      </c>
      <c r="B193" s="63" t="str">
        <f>IF('(3).Midterm Exam'!B193="","",'(3).Midterm Exam'!B193)</f>
        <v/>
      </c>
      <c r="C193" s="67" t="str">
        <f>IF('(3).Midterm Exam'!C193="","",'(3).Midterm Exam'!C193)</f>
        <v/>
      </c>
      <c r="D193" s="126" t="str">
        <f>IF('(2).Midterm Daily'!AH193="","",'(2).Midterm Daily'!AH193)</f>
        <v/>
      </c>
      <c r="E193" s="127" t="str">
        <f>IF('(3).Midterm Exam'!D193="","",'(3).Midterm Exam'!D193)</f>
        <v/>
      </c>
      <c r="F193" s="128" t="str">
        <f>IF('(3).Midterm Exam'!E193="","",'(3).Midterm Exam'!E193)</f>
        <v/>
      </c>
      <c r="G193" s="128" t="str">
        <f>IF('(3).Midterm Exam'!F193="","",'(3).Midterm Exam'!F193)</f>
        <v/>
      </c>
      <c r="H193" s="128" t="str">
        <f>IF('(3).Midterm Exam'!G193="","",'(3).Midterm Exam'!G193)</f>
        <v/>
      </c>
      <c r="I193" s="128" t="str">
        <f>IF('(3).Midterm Exam'!H193="","",'(3).Midterm Exam'!H193)</f>
        <v/>
      </c>
      <c r="J193" s="128" t="str">
        <f>IF('(3).Midterm Exam'!I193="","",'(3).Midterm Exam'!I193)</f>
        <v/>
      </c>
      <c r="K193" s="128" t="str">
        <f>IF('(3).Midterm Exam'!J193="","",'(3).Midterm Exam'!J193)</f>
        <v/>
      </c>
      <c r="L193" s="128" t="str">
        <f>IF('(3).Midterm Exam'!K193="","",'(3).Midterm Exam'!K193)</f>
        <v/>
      </c>
      <c r="M193" s="128" t="str">
        <f>IF('(3).Midterm Exam'!L193="","",'(3).Midterm Exam'!L193)</f>
        <v/>
      </c>
      <c r="N193" s="129" t="str">
        <f>IF('(3).Midterm Exam'!M193="","",'(3).Midterm Exam'!M193)</f>
        <v/>
      </c>
      <c r="O193" s="130" t="str">
        <f>IF(B193="","",IF(D193="Incomplete","Incomplete",IF('(3).Midterm Exam'!N193="Change","Change",IF('(3).Midterm Exam'!N193="Stop","Stop",IF('(3).Midterm Exam'!N193="Incomplete","Incomplete",IF(COUNTBLANK(D193:N193)&gt;=1,"Incomplete",D193*20%+SUM(E193:N193)*80%))))))</f>
        <v/>
      </c>
    </row>
    <row r="194" spans="1:15" ht="15.95" customHeight="1">
      <c r="A194" s="66">
        <v>8</v>
      </c>
      <c r="B194" s="63" t="str">
        <f>IF('(3).Midterm Exam'!B194="","",'(3).Midterm Exam'!B194)</f>
        <v/>
      </c>
      <c r="C194" s="67" t="str">
        <f>IF('(3).Midterm Exam'!C194="","",'(3).Midterm Exam'!C194)</f>
        <v/>
      </c>
      <c r="D194" s="126" t="str">
        <f>IF('(2).Midterm Daily'!AH194="","",'(2).Midterm Daily'!AH194)</f>
        <v/>
      </c>
      <c r="E194" s="127" t="str">
        <f>IF('(3).Midterm Exam'!D194="","",'(3).Midterm Exam'!D194)</f>
        <v/>
      </c>
      <c r="F194" s="128" t="str">
        <f>IF('(3).Midterm Exam'!E194="","",'(3).Midterm Exam'!E194)</f>
        <v/>
      </c>
      <c r="G194" s="128" t="str">
        <f>IF('(3).Midterm Exam'!F194="","",'(3).Midterm Exam'!F194)</f>
        <v/>
      </c>
      <c r="H194" s="128" t="str">
        <f>IF('(3).Midterm Exam'!G194="","",'(3).Midterm Exam'!G194)</f>
        <v/>
      </c>
      <c r="I194" s="128" t="str">
        <f>IF('(3).Midterm Exam'!H194="","",'(3).Midterm Exam'!H194)</f>
        <v/>
      </c>
      <c r="J194" s="128" t="str">
        <f>IF('(3).Midterm Exam'!I194="","",'(3).Midterm Exam'!I194)</f>
        <v/>
      </c>
      <c r="K194" s="128" t="str">
        <f>IF('(3).Midterm Exam'!J194="","",'(3).Midterm Exam'!J194)</f>
        <v/>
      </c>
      <c r="L194" s="128" t="str">
        <f>IF('(3).Midterm Exam'!K194="","",'(3).Midterm Exam'!K194)</f>
        <v/>
      </c>
      <c r="M194" s="128" t="str">
        <f>IF('(3).Midterm Exam'!L194="","",'(3).Midterm Exam'!L194)</f>
        <v/>
      </c>
      <c r="N194" s="129" t="str">
        <f>IF('(3).Midterm Exam'!M194="","",'(3).Midterm Exam'!M194)</f>
        <v/>
      </c>
      <c r="O194" s="130" t="str">
        <f>IF(B194="","",IF(D194="Incomplete","Incomplete",IF('(3).Midterm Exam'!N194="Change","Change",IF('(3).Midterm Exam'!N194="Stop","Stop",IF('(3).Midterm Exam'!N194="Incomplete","Incomplete",IF(COUNTBLANK(D194:N194)&gt;=1,"Incomplete",D194*20%+SUM(E194:N194)*80%))))))</f>
        <v/>
      </c>
    </row>
    <row r="195" spans="1:15" ht="15.95" customHeight="1">
      <c r="A195" s="66">
        <v>9</v>
      </c>
      <c r="B195" s="63" t="str">
        <f>IF('(3).Midterm Exam'!B195="","",'(3).Midterm Exam'!B195)</f>
        <v/>
      </c>
      <c r="C195" s="67" t="str">
        <f>IF('(3).Midterm Exam'!C195="","",'(3).Midterm Exam'!C195)</f>
        <v/>
      </c>
      <c r="D195" s="126" t="str">
        <f>IF('(2).Midterm Daily'!AH195="","",'(2).Midterm Daily'!AH195)</f>
        <v/>
      </c>
      <c r="E195" s="127" t="str">
        <f>IF('(3).Midterm Exam'!D195="","",'(3).Midterm Exam'!D195)</f>
        <v/>
      </c>
      <c r="F195" s="128" t="str">
        <f>IF('(3).Midterm Exam'!E195="","",'(3).Midterm Exam'!E195)</f>
        <v/>
      </c>
      <c r="G195" s="128" t="str">
        <f>IF('(3).Midterm Exam'!F195="","",'(3).Midterm Exam'!F195)</f>
        <v/>
      </c>
      <c r="H195" s="128" t="str">
        <f>IF('(3).Midterm Exam'!G195="","",'(3).Midterm Exam'!G195)</f>
        <v/>
      </c>
      <c r="I195" s="128" t="str">
        <f>IF('(3).Midterm Exam'!H195="","",'(3).Midterm Exam'!H195)</f>
        <v/>
      </c>
      <c r="J195" s="128" t="str">
        <f>IF('(3).Midterm Exam'!I195="","",'(3).Midterm Exam'!I195)</f>
        <v/>
      </c>
      <c r="K195" s="128" t="str">
        <f>IF('(3).Midterm Exam'!J195="","",'(3).Midterm Exam'!J195)</f>
        <v/>
      </c>
      <c r="L195" s="128" t="str">
        <f>IF('(3).Midterm Exam'!K195="","",'(3).Midterm Exam'!K195)</f>
        <v/>
      </c>
      <c r="M195" s="128" t="str">
        <f>IF('(3).Midterm Exam'!L195="","",'(3).Midterm Exam'!L195)</f>
        <v/>
      </c>
      <c r="N195" s="129" t="str">
        <f>IF('(3).Midterm Exam'!M195="","",'(3).Midterm Exam'!M195)</f>
        <v/>
      </c>
      <c r="O195" s="130" t="str">
        <f>IF(B195="","",IF(D195="Incomplete","Incomplete",IF('(3).Midterm Exam'!N195="Change","Change",IF('(3).Midterm Exam'!N195="Stop","Stop",IF('(3).Midterm Exam'!N195="Incomplete","Incomplete",IF(COUNTBLANK(D195:N195)&gt;=1,"Incomplete",D195*20%+SUM(E195:N195)*80%))))))</f>
        <v/>
      </c>
    </row>
    <row r="196" spans="1:15" ht="15.95" customHeight="1">
      <c r="A196" s="66">
        <v>10</v>
      </c>
      <c r="B196" s="63" t="str">
        <f>IF('(3).Midterm Exam'!B196="","",'(3).Midterm Exam'!B196)</f>
        <v/>
      </c>
      <c r="C196" s="67" t="str">
        <f>IF('(3).Midterm Exam'!C196="","",'(3).Midterm Exam'!C196)</f>
        <v/>
      </c>
      <c r="D196" s="126" t="str">
        <f>IF('(2).Midterm Daily'!AH196="","",'(2).Midterm Daily'!AH196)</f>
        <v/>
      </c>
      <c r="E196" s="127" t="str">
        <f>IF('(3).Midterm Exam'!D196="","",'(3).Midterm Exam'!D196)</f>
        <v/>
      </c>
      <c r="F196" s="128" t="str">
        <f>IF('(3).Midterm Exam'!E196="","",'(3).Midterm Exam'!E196)</f>
        <v/>
      </c>
      <c r="G196" s="128" t="str">
        <f>IF('(3).Midterm Exam'!F196="","",'(3).Midterm Exam'!F196)</f>
        <v/>
      </c>
      <c r="H196" s="128" t="str">
        <f>IF('(3).Midterm Exam'!G196="","",'(3).Midterm Exam'!G196)</f>
        <v/>
      </c>
      <c r="I196" s="128" t="str">
        <f>IF('(3).Midterm Exam'!H196="","",'(3).Midterm Exam'!H196)</f>
        <v/>
      </c>
      <c r="J196" s="128" t="str">
        <f>IF('(3).Midterm Exam'!I196="","",'(3).Midterm Exam'!I196)</f>
        <v/>
      </c>
      <c r="K196" s="128" t="str">
        <f>IF('(3).Midterm Exam'!J196="","",'(3).Midterm Exam'!J196)</f>
        <v/>
      </c>
      <c r="L196" s="128" t="str">
        <f>IF('(3).Midterm Exam'!K196="","",'(3).Midterm Exam'!K196)</f>
        <v/>
      </c>
      <c r="M196" s="128" t="str">
        <f>IF('(3).Midterm Exam'!L196="","",'(3).Midterm Exam'!L196)</f>
        <v/>
      </c>
      <c r="N196" s="129" t="str">
        <f>IF('(3).Midterm Exam'!M196="","",'(3).Midterm Exam'!M196)</f>
        <v/>
      </c>
      <c r="O196" s="130" t="str">
        <f>IF(B196="","",IF(D196="Incomplete","Incomplete",IF('(3).Midterm Exam'!N196="Change","Change",IF('(3).Midterm Exam'!N196="Stop","Stop",IF('(3).Midterm Exam'!N196="Incomplete","Incomplete",IF(COUNTBLANK(D196:N196)&gt;=1,"Incomplete",D196*20%+SUM(E196:N196)*80%))))))</f>
        <v/>
      </c>
    </row>
    <row r="197" spans="1:15" ht="15.95" customHeight="1">
      <c r="A197" s="66">
        <v>11</v>
      </c>
      <c r="B197" s="63" t="str">
        <f>IF('(3).Midterm Exam'!B197="","",'(3).Midterm Exam'!B197)</f>
        <v/>
      </c>
      <c r="C197" s="67" t="str">
        <f>IF('(3).Midterm Exam'!C197="","",'(3).Midterm Exam'!C197)</f>
        <v/>
      </c>
      <c r="D197" s="126" t="str">
        <f>IF('(2).Midterm Daily'!AH197="","",'(2).Midterm Daily'!AH197)</f>
        <v/>
      </c>
      <c r="E197" s="127" t="str">
        <f>IF('(3).Midterm Exam'!D197="","",'(3).Midterm Exam'!D197)</f>
        <v/>
      </c>
      <c r="F197" s="128" t="str">
        <f>IF('(3).Midterm Exam'!E197="","",'(3).Midterm Exam'!E197)</f>
        <v/>
      </c>
      <c r="G197" s="128" t="str">
        <f>IF('(3).Midterm Exam'!F197="","",'(3).Midterm Exam'!F197)</f>
        <v/>
      </c>
      <c r="H197" s="128" t="str">
        <f>IF('(3).Midterm Exam'!G197="","",'(3).Midterm Exam'!G197)</f>
        <v/>
      </c>
      <c r="I197" s="128" t="str">
        <f>IF('(3).Midterm Exam'!H197="","",'(3).Midterm Exam'!H197)</f>
        <v/>
      </c>
      <c r="J197" s="128" t="str">
        <f>IF('(3).Midterm Exam'!I197="","",'(3).Midterm Exam'!I197)</f>
        <v/>
      </c>
      <c r="K197" s="128" t="str">
        <f>IF('(3).Midterm Exam'!J197="","",'(3).Midterm Exam'!J197)</f>
        <v/>
      </c>
      <c r="L197" s="128" t="str">
        <f>IF('(3).Midterm Exam'!K197="","",'(3).Midterm Exam'!K197)</f>
        <v/>
      </c>
      <c r="M197" s="128" t="str">
        <f>IF('(3).Midterm Exam'!L197="","",'(3).Midterm Exam'!L197)</f>
        <v/>
      </c>
      <c r="N197" s="129" t="str">
        <f>IF('(3).Midterm Exam'!M197="","",'(3).Midterm Exam'!M197)</f>
        <v/>
      </c>
      <c r="O197" s="130" t="str">
        <f>IF(B197="","",IF(D197="Incomplete","Incomplete",IF('(3).Midterm Exam'!N197="Change","Change",IF('(3).Midterm Exam'!N197="Stop","Stop",IF('(3).Midterm Exam'!N197="Incomplete","Incomplete",IF(COUNTBLANK(D197:N197)&gt;=1,"Incomplete",D197*20%+SUM(E197:N197)*80%))))))</f>
        <v/>
      </c>
    </row>
    <row r="198" spans="1:15" ht="15.95" customHeight="1">
      <c r="A198" s="66">
        <v>12</v>
      </c>
      <c r="B198" s="63" t="str">
        <f>IF('(3).Midterm Exam'!B198="","",'(3).Midterm Exam'!B198)</f>
        <v/>
      </c>
      <c r="C198" s="67" t="str">
        <f>IF('(3).Midterm Exam'!C198="","",'(3).Midterm Exam'!C198)</f>
        <v/>
      </c>
      <c r="D198" s="126" t="str">
        <f>IF('(2).Midterm Daily'!AH198="","",'(2).Midterm Daily'!AH198)</f>
        <v/>
      </c>
      <c r="E198" s="127" t="str">
        <f>IF('(3).Midterm Exam'!D198="","",'(3).Midterm Exam'!D198)</f>
        <v/>
      </c>
      <c r="F198" s="128" t="str">
        <f>IF('(3).Midterm Exam'!E198="","",'(3).Midterm Exam'!E198)</f>
        <v/>
      </c>
      <c r="G198" s="128" t="str">
        <f>IF('(3).Midterm Exam'!F198="","",'(3).Midterm Exam'!F198)</f>
        <v/>
      </c>
      <c r="H198" s="128" t="str">
        <f>IF('(3).Midterm Exam'!G198="","",'(3).Midterm Exam'!G198)</f>
        <v/>
      </c>
      <c r="I198" s="128" t="str">
        <f>IF('(3).Midterm Exam'!H198="","",'(3).Midterm Exam'!H198)</f>
        <v/>
      </c>
      <c r="J198" s="128" t="str">
        <f>IF('(3).Midterm Exam'!I198="","",'(3).Midterm Exam'!I198)</f>
        <v/>
      </c>
      <c r="K198" s="128" t="str">
        <f>IF('(3).Midterm Exam'!J198="","",'(3).Midterm Exam'!J198)</f>
        <v/>
      </c>
      <c r="L198" s="128" t="str">
        <f>IF('(3).Midterm Exam'!K198="","",'(3).Midterm Exam'!K198)</f>
        <v/>
      </c>
      <c r="M198" s="128" t="str">
        <f>IF('(3).Midterm Exam'!L198="","",'(3).Midterm Exam'!L198)</f>
        <v/>
      </c>
      <c r="N198" s="129" t="str">
        <f>IF('(3).Midterm Exam'!M198="","",'(3).Midterm Exam'!M198)</f>
        <v/>
      </c>
      <c r="O198" s="130" t="str">
        <f>IF(B198="","",IF(D198="Incomplete","Incomplete",IF('(3).Midterm Exam'!N198="Change","Change",IF('(3).Midterm Exam'!N198="Stop","Stop",IF('(3).Midterm Exam'!N198="Incomplete","Incomplete",IF(COUNTBLANK(D198:N198)&gt;=1,"Incomplete",D198*20%+SUM(E198:N198)*80%))))))</f>
        <v/>
      </c>
    </row>
    <row r="199" spans="1:15" ht="15.95" customHeight="1">
      <c r="A199" s="66">
        <v>13</v>
      </c>
      <c r="B199" s="63" t="str">
        <f>IF('(3).Midterm Exam'!B199="","",'(3).Midterm Exam'!B199)</f>
        <v/>
      </c>
      <c r="C199" s="67" t="str">
        <f>IF('(3).Midterm Exam'!C199="","",'(3).Midterm Exam'!C199)</f>
        <v/>
      </c>
      <c r="D199" s="126" t="str">
        <f>IF('(2).Midterm Daily'!AH199="","",'(2).Midterm Daily'!AH199)</f>
        <v/>
      </c>
      <c r="E199" s="127" t="str">
        <f>IF('(3).Midterm Exam'!D199="","",'(3).Midterm Exam'!D199)</f>
        <v/>
      </c>
      <c r="F199" s="128" t="str">
        <f>IF('(3).Midterm Exam'!E199="","",'(3).Midterm Exam'!E199)</f>
        <v/>
      </c>
      <c r="G199" s="128" t="str">
        <f>IF('(3).Midterm Exam'!F199="","",'(3).Midterm Exam'!F199)</f>
        <v/>
      </c>
      <c r="H199" s="128" t="str">
        <f>IF('(3).Midterm Exam'!G199="","",'(3).Midterm Exam'!G199)</f>
        <v/>
      </c>
      <c r="I199" s="128" t="str">
        <f>IF('(3).Midterm Exam'!H199="","",'(3).Midterm Exam'!H199)</f>
        <v/>
      </c>
      <c r="J199" s="128" t="str">
        <f>IF('(3).Midterm Exam'!I199="","",'(3).Midterm Exam'!I199)</f>
        <v/>
      </c>
      <c r="K199" s="128" t="str">
        <f>IF('(3).Midterm Exam'!J199="","",'(3).Midterm Exam'!J199)</f>
        <v/>
      </c>
      <c r="L199" s="128" t="str">
        <f>IF('(3).Midterm Exam'!K199="","",'(3).Midterm Exam'!K199)</f>
        <v/>
      </c>
      <c r="M199" s="128" t="str">
        <f>IF('(3).Midterm Exam'!L199="","",'(3).Midterm Exam'!L199)</f>
        <v/>
      </c>
      <c r="N199" s="129" t="str">
        <f>IF('(3).Midterm Exam'!M199="","",'(3).Midterm Exam'!M199)</f>
        <v/>
      </c>
      <c r="O199" s="130" t="str">
        <f>IF(B199="","",IF(D199="Incomplete","Incomplete",IF('(3).Midterm Exam'!N199="Change","Change",IF('(3).Midterm Exam'!N199="Stop","Stop",IF('(3).Midterm Exam'!N199="Incomplete","Incomplete",IF(COUNTBLANK(D199:N199)&gt;=1,"Incomplete",D199*20%+SUM(E199:N199)*80%))))))</f>
        <v/>
      </c>
    </row>
    <row r="200" spans="1:15" ht="15.95" customHeight="1">
      <c r="A200" s="66">
        <v>14</v>
      </c>
      <c r="B200" s="63" t="str">
        <f>IF('(3).Midterm Exam'!B200="","",'(3).Midterm Exam'!B200)</f>
        <v/>
      </c>
      <c r="C200" s="67" t="str">
        <f>IF('(3).Midterm Exam'!C200="","",'(3).Midterm Exam'!C200)</f>
        <v/>
      </c>
      <c r="D200" s="126" t="str">
        <f>IF('(2).Midterm Daily'!AH200="","",'(2).Midterm Daily'!AH200)</f>
        <v/>
      </c>
      <c r="E200" s="127" t="str">
        <f>IF('(3).Midterm Exam'!D200="","",'(3).Midterm Exam'!D200)</f>
        <v/>
      </c>
      <c r="F200" s="128" t="str">
        <f>IF('(3).Midterm Exam'!E200="","",'(3).Midterm Exam'!E200)</f>
        <v/>
      </c>
      <c r="G200" s="128" t="str">
        <f>IF('(3).Midterm Exam'!F200="","",'(3).Midterm Exam'!F200)</f>
        <v/>
      </c>
      <c r="H200" s="128" t="str">
        <f>IF('(3).Midterm Exam'!G200="","",'(3).Midterm Exam'!G200)</f>
        <v/>
      </c>
      <c r="I200" s="128" t="str">
        <f>IF('(3).Midterm Exam'!H200="","",'(3).Midterm Exam'!H200)</f>
        <v/>
      </c>
      <c r="J200" s="128" t="str">
        <f>IF('(3).Midterm Exam'!I200="","",'(3).Midterm Exam'!I200)</f>
        <v/>
      </c>
      <c r="K200" s="128" t="str">
        <f>IF('(3).Midterm Exam'!J200="","",'(3).Midterm Exam'!J200)</f>
        <v/>
      </c>
      <c r="L200" s="128" t="str">
        <f>IF('(3).Midterm Exam'!K200="","",'(3).Midterm Exam'!K200)</f>
        <v/>
      </c>
      <c r="M200" s="128" t="str">
        <f>IF('(3).Midterm Exam'!L200="","",'(3).Midterm Exam'!L200)</f>
        <v/>
      </c>
      <c r="N200" s="129" t="str">
        <f>IF('(3).Midterm Exam'!M200="","",'(3).Midterm Exam'!M200)</f>
        <v/>
      </c>
      <c r="O200" s="130" t="str">
        <f>IF(B200="","",IF(D200="Incomplete","Incomplete",IF('(3).Midterm Exam'!N200="Change","Change",IF('(3).Midterm Exam'!N200="Stop","Stop",IF('(3).Midterm Exam'!N200="Incomplete","Incomplete",IF(COUNTBLANK(D200:N200)&gt;=1,"Incomplete",D200*20%+SUM(E200:N200)*80%))))))</f>
        <v/>
      </c>
    </row>
    <row r="201" spans="1:15" ht="15.95" customHeight="1">
      <c r="A201" s="66">
        <v>15</v>
      </c>
      <c r="B201" s="63" t="str">
        <f>IF('(3).Midterm Exam'!B201="","",'(3).Midterm Exam'!B201)</f>
        <v/>
      </c>
      <c r="C201" s="67" t="str">
        <f>IF('(3).Midterm Exam'!C201="","",'(3).Midterm Exam'!C201)</f>
        <v/>
      </c>
      <c r="D201" s="126" t="str">
        <f>IF('(2).Midterm Daily'!AH201="","",'(2).Midterm Daily'!AH201)</f>
        <v/>
      </c>
      <c r="E201" s="127" t="str">
        <f>IF('(3).Midterm Exam'!D201="","",'(3).Midterm Exam'!D201)</f>
        <v/>
      </c>
      <c r="F201" s="128" t="str">
        <f>IF('(3).Midterm Exam'!E201="","",'(3).Midterm Exam'!E201)</f>
        <v/>
      </c>
      <c r="G201" s="128" t="str">
        <f>IF('(3).Midterm Exam'!F201="","",'(3).Midterm Exam'!F201)</f>
        <v/>
      </c>
      <c r="H201" s="128" t="str">
        <f>IF('(3).Midterm Exam'!G201="","",'(3).Midterm Exam'!G201)</f>
        <v/>
      </c>
      <c r="I201" s="128" t="str">
        <f>IF('(3).Midterm Exam'!H201="","",'(3).Midterm Exam'!H201)</f>
        <v/>
      </c>
      <c r="J201" s="128" t="str">
        <f>IF('(3).Midterm Exam'!I201="","",'(3).Midterm Exam'!I201)</f>
        <v/>
      </c>
      <c r="K201" s="128" t="str">
        <f>IF('(3).Midterm Exam'!J201="","",'(3).Midterm Exam'!J201)</f>
        <v/>
      </c>
      <c r="L201" s="128" t="str">
        <f>IF('(3).Midterm Exam'!K201="","",'(3).Midterm Exam'!K201)</f>
        <v/>
      </c>
      <c r="M201" s="128" t="str">
        <f>IF('(3).Midterm Exam'!L201="","",'(3).Midterm Exam'!L201)</f>
        <v/>
      </c>
      <c r="N201" s="129" t="str">
        <f>IF('(3).Midterm Exam'!M201="","",'(3).Midterm Exam'!M201)</f>
        <v/>
      </c>
      <c r="O201" s="130" t="str">
        <f>IF(B201="","",IF(D201="Incomplete","Incomplete",IF('(3).Midterm Exam'!N201="Change","Change",IF('(3).Midterm Exam'!N201="Stop","Stop",IF('(3).Midterm Exam'!N201="Incomplete","Incomplete",IF(COUNTBLANK(D201:N201)&gt;=1,"Incomplete",D201*20%+SUM(E201:N201)*80%))))))</f>
        <v/>
      </c>
    </row>
    <row r="202" spans="1:15" ht="15.95" customHeight="1">
      <c r="A202" s="66">
        <v>16</v>
      </c>
      <c r="B202" s="63" t="str">
        <f>IF('(3).Midterm Exam'!B202="","",'(3).Midterm Exam'!B202)</f>
        <v/>
      </c>
      <c r="C202" s="67" t="str">
        <f>IF('(3).Midterm Exam'!C202="","",'(3).Midterm Exam'!C202)</f>
        <v/>
      </c>
      <c r="D202" s="126" t="str">
        <f>IF('(2).Midterm Daily'!AH202="","",'(2).Midterm Daily'!AH202)</f>
        <v/>
      </c>
      <c r="E202" s="127" t="str">
        <f>IF('(3).Midterm Exam'!D202="","",'(3).Midterm Exam'!D202)</f>
        <v/>
      </c>
      <c r="F202" s="128" t="str">
        <f>IF('(3).Midterm Exam'!E202="","",'(3).Midterm Exam'!E202)</f>
        <v/>
      </c>
      <c r="G202" s="128" t="str">
        <f>IF('(3).Midterm Exam'!F202="","",'(3).Midterm Exam'!F202)</f>
        <v/>
      </c>
      <c r="H202" s="128" t="str">
        <f>IF('(3).Midterm Exam'!G202="","",'(3).Midterm Exam'!G202)</f>
        <v/>
      </c>
      <c r="I202" s="128" t="str">
        <f>IF('(3).Midterm Exam'!H202="","",'(3).Midterm Exam'!H202)</f>
        <v/>
      </c>
      <c r="J202" s="128" t="str">
        <f>IF('(3).Midterm Exam'!I202="","",'(3).Midterm Exam'!I202)</f>
        <v/>
      </c>
      <c r="K202" s="128" t="str">
        <f>IF('(3).Midterm Exam'!J202="","",'(3).Midterm Exam'!J202)</f>
        <v/>
      </c>
      <c r="L202" s="128" t="str">
        <f>IF('(3).Midterm Exam'!K202="","",'(3).Midterm Exam'!K202)</f>
        <v/>
      </c>
      <c r="M202" s="128" t="str">
        <f>IF('(3).Midterm Exam'!L202="","",'(3).Midterm Exam'!L202)</f>
        <v/>
      </c>
      <c r="N202" s="129" t="str">
        <f>IF('(3).Midterm Exam'!M202="","",'(3).Midterm Exam'!M202)</f>
        <v/>
      </c>
      <c r="O202" s="130" t="str">
        <f>IF(B202="","",IF(D202="Incomplete","Incomplete",IF('(3).Midterm Exam'!N202="Change","Change",IF('(3).Midterm Exam'!N202="Stop","Stop",IF('(3).Midterm Exam'!N202="Incomplete","Incomplete",IF(COUNTBLANK(D202:N202)&gt;=1,"Incomplete",D202*20%+SUM(E202:N202)*80%))))))</f>
        <v/>
      </c>
    </row>
    <row r="203" spans="1:15" ht="15.95" customHeight="1">
      <c r="A203" s="66">
        <v>17</v>
      </c>
      <c r="B203" s="63" t="str">
        <f>IF('(3).Midterm Exam'!B203="","",'(3).Midterm Exam'!B203)</f>
        <v/>
      </c>
      <c r="C203" s="67" t="str">
        <f>IF('(3).Midterm Exam'!C203="","",'(3).Midterm Exam'!C203)</f>
        <v/>
      </c>
      <c r="D203" s="126" t="str">
        <f>IF('(2).Midterm Daily'!AH203="","",'(2).Midterm Daily'!AH203)</f>
        <v/>
      </c>
      <c r="E203" s="127" t="str">
        <f>IF('(3).Midterm Exam'!D203="","",'(3).Midterm Exam'!D203)</f>
        <v/>
      </c>
      <c r="F203" s="128" t="str">
        <f>IF('(3).Midterm Exam'!E203="","",'(3).Midterm Exam'!E203)</f>
        <v/>
      </c>
      <c r="G203" s="128" t="str">
        <f>IF('(3).Midterm Exam'!F203="","",'(3).Midterm Exam'!F203)</f>
        <v/>
      </c>
      <c r="H203" s="128" t="str">
        <f>IF('(3).Midterm Exam'!G203="","",'(3).Midterm Exam'!G203)</f>
        <v/>
      </c>
      <c r="I203" s="128" t="str">
        <f>IF('(3).Midterm Exam'!H203="","",'(3).Midterm Exam'!H203)</f>
        <v/>
      </c>
      <c r="J203" s="128" t="str">
        <f>IF('(3).Midterm Exam'!I203="","",'(3).Midterm Exam'!I203)</f>
        <v/>
      </c>
      <c r="K203" s="128" t="str">
        <f>IF('(3).Midterm Exam'!J203="","",'(3).Midterm Exam'!J203)</f>
        <v/>
      </c>
      <c r="L203" s="128" t="str">
        <f>IF('(3).Midterm Exam'!K203="","",'(3).Midterm Exam'!K203)</f>
        <v/>
      </c>
      <c r="M203" s="128" t="str">
        <f>IF('(3).Midterm Exam'!L203="","",'(3).Midterm Exam'!L203)</f>
        <v/>
      </c>
      <c r="N203" s="129" t="str">
        <f>IF('(3).Midterm Exam'!M203="","",'(3).Midterm Exam'!M203)</f>
        <v/>
      </c>
      <c r="O203" s="130" t="str">
        <f>IF(B203="","",IF(D203="Incomplete","Incomplete",IF('(3).Midterm Exam'!N203="Change","Change",IF('(3).Midterm Exam'!N203="Stop","Stop",IF('(3).Midterm Exam'!N203="Incomplete","Incomplete",IF(COUNTBLANK(D203:N203)&gt;=1,"Incomplete",D203*20%+SUM(E203:N203)*80%))))))</f>
        <v/>
      </c>
    </row>
    <row r="204" spans="1:15" ht="15.95" customHeight="1">
      <c r="A204" s="66">
        <v>18</v>
      </c>
      <c r="B204" s="63" t="str">
        <f>IF('(3).Midterm Exam'!B204="","",'(3).Midterm Exam'!B204)</f>
        <v/>
      </c>
      <c r="C204" s="67" t="str">
        <f>IF('(3).Midterm Exam'!C204="","",'(3).Midterm Exam'!C204)</f>
        <v/>
      </c>
      <c r="D204" s="126" t="str">
        <f>IF('(2).Midterm Daily'!AH204="","",'(2).Midterm Daily'!AH204)</f>
        <v/>
      </c>
      <c r="E204" s="127" t="str">
        <f>IF('(3).Midterm Exam'!D204="","",'(3).Midterm Exam'!D204)</f>
        <v/>
      </c>
      <c r="F204" s="128" t="str">
        <f>IF('(3).Midterm Exam'!E204="","",'(3).Midterm Exam'!E204)</f>
        <v/>
      </c>
      <c r="G204" s="128" t="str">
        <f>IF('(3).Midterm Exam'!F204="","",'(3).Midterm Exam'!F204)</f>
        <v/>
      </c>
      <c r="H204" s="128" t="str">
        <f>IF('(3).Midterm Exam'!G204="","",'(3).Midterm Exam'!G204)</f>
        <v/>
      </c>
      <c r="I204" s="128" t="str">
        <f>IF('(3).Midterm Exam'!H204="","",'(3).Midterm Exam'!H204)</f>
        <v/>
      </c>
      <c r="J204" s="128" t="str">
        <f>IF('(3).Midterm Exam'!I204="","",'(3).Midterm Exam'!I204)</f>
        <v/>
      </c>
      <c r="K204" s="128" t="str">
        <f>IF('(3).Midterm Exam'!J204="","",'(3).Midterm Exam'!J204)</f>
        <v/>
      </c>
      <c r="L204" s="128" t="str">
        <f>IF('(3).Midterm Exam'!K204="","",'(3).Midterm Exam'!K204)</f>
        <v/>
      </c>
      <c r="M204" s="128" t="str">
        <f>IF('(3).Midterm Exam'!L204="","",'(3).Midterm Exam'!L204)</f>
        <v/>
      </c>
      <c r="N204" s="129" t="str">
        <f>IF('(3).Midterm Exam'!M204="","",'(3).Midterm Exam'!M204)</f>
        <v/>
      </c>
      <c r="O204" s="130" t="str">
        <f>IF(B204="","",IF(D204="Incomplete","Incomplete",IF('(3).Midterm Exam'!N204="Change","Change",IF('(3).Midterm Exam'!N204="Stop","Stop",IF('(3).Midterm Exam'!N204="Incomplete","Incomplete",IF(COUNTBLANK(D204:N204)&gt;=1,"Incomplete",D204*20%+SUM(E204:N204)*80%))))))</f>
        <v/>
      </c>
    </row>
    <row r="205" spans="1:15" ht="15.95" customHeight="1">
      <c r="A205" s="66">
        <v>19</v>
      </c>
      <c r="B205" s="63" t="str">
        <f>IF('(3).Midterm Exam'!B205="","",'(3).Midterm Exam'!B205)</f>
        <v/>
      </c>
      <c r="C205" s="67" t="str">
        <f>IF('(3).Midterm Exam'!C205="","",'(3).Midterm Exam'!C205)</f>
        <v/>
      </c>
      <c r="D205" s="126" t="str">
        <f>IF('(2).Midterm Daily'!AH205="","",'(2).Midterm Daily'!AH205)</f>
        <v/>
      </c>
      <c r="E205" s="127" t="str">
        <f>IF('(3).Midterm Exam'!D205="","",'(3).Midterm Exam'!D205)</f>
        <v/>
      </c>
      <c r="F205" s="128" t="str">
        <f>IF('(3).Midterm Exam'!E205="","",'(3).Midterm Exam'!E205)</f>
        <v/>
      </c>
      <c r="G205" s="128" t="str">
        <f>IF('(3).Midterm Exam'!F205="","",'(3).Midterm Exam'!F205)</f>
        <v/>
      </c>
      <c r="H205" s="128" t="str">
        <f>IF('(3).Midterm Exam'!G205="","",'(3).Midterm Exam'!G205)</f>
        <v/>
      </c>
      <c r="I205" s="128" t="str">
        <f>IF('(3).Midterm Exam'!H205="","",'(3).Midterm Exam'!H205)</f>
        <v/>
      </c>
      <c r="J205" s="128" t="str">
        <f>IF('(3).Midterm Exam'!I205="","",'(3).Midterm Exam'!I205)</f>
        <v/>
      </c>
      <c r="K205" s="128" t="str">
        <f>IF('(3).Midterm Exam'!J205="","",'(3).Midterm Exam'!J205)</f>
        <v/>
      </c>
      <c r="L205" s="128" t="str">
        <f>IF('(3).Midterm Exam'!K205="","",'(3).Midterm Exam'!K205)</f>
        <v/>
      </c>
      <c r="M205" s="128" t="str">
        <f>IF('(3).Midterm Exam'!L205="","",'(3).Midterm Exam'!L205)</f>
        <v/>
      </c>
      <c r="N205" s="129" t="str">
        <f>IF('(3).Midterm Exam'!M205="","",'(3).Midterm Exam'!M205)</f>
        <v/>
      </c>
      <c r="O205" s="130" t="str">
        <f>IF(B205="","",IF(D205="Incomplete","Incomplete",IF('(3).Midterm Exam'!N205="Change","Change",IF('(3).Midterm Exam'!N205="Stop","Stop",IF('(3).Midterm Exam'!N205="Incomplete","Incomplete",IF(COUNTBLANK(D205:N205)&gt;=1,"Incomplete",D205*20%+SUM(E205:N205)*80%))))))</f>
        <v/>
      </c>
    </row>
    <row r="206" spans="1:15" ht="15.95" customHeight="1">
      <c r="A206" s="66">
        <v>20</v>
      </c>
      <c r="B206" s="63" t="str">
        <f>IF('(3).Midterm Exam'!B206="","",'(3).Midterm Exam'!B206)</f>
        <v/>
      </c>
      <c r="C206" s="67" t="str">
        <f>IF('(3).Midterm Exam'!C206="","",'(3).Midterm Exam'!C206)</f>
        <v/>
      </c>
      <c r="D206" s="126" t="str">
        <f>IF('(2).Midterm Daily'!AH206="","",'(2).Midterm Daily'!AH206)</f>
        <v/>
      </c>
      <c r="E206" s="127" t="str">
        <f>IF('(3).Midterm Exam'!D206="","",'(3).Midterm Exam'!D206)</f>
        <v/>
      </c>
      <c r="F206" s="128" t="str">
        <f>IF('(3).Midterm Exam'!E206="","",'(3).Midterm Exam'!E206)</f>
        <v/>
      </c>
      <c r="G206" s="128" t="str">
        <f>IF('(3).Midterm Exam'!F206="","",'(3).Midterm Exam'!F206)</f>
        <v/>
      </c>
      <c r="H206" s="128" t="str">
        <f>IF('(3).Midterm Exam'!G206="","",'(3).Midterm Exam'!G206)</f>
        <v/>
      </c>
      <c r="I206" s="128" t="str">
        <f>IF('(3).Midterm Exam'!H206="","",'(3).Midterm Exam'!H206)</f>
        <v/>
      </c>
      <c r="J206" s="128" t="str">
        <f>IF('(3).Midterm Exam'!I206="","",'(3).Midterm Exam'!I206)</f>
        <v/>
      </c>
      <c r="K206" s="128" t="str">
        <f>IF('(3).Midterm Exam'!J206="","",'(3).Midterm Exam'!J206)</f>
        <v/>
      </c>
      <c r="L206" s="128" t="str">
        <f>IF('(3).Midterm Exam'!K206="","",'(3).Midterm Exam'!K206)</f>
        <v/>
      </c>
      <c r="M206" s="128" t="str">
        <f>IF('(3).Midterm Exam'!L206="","",'(3).Midterm Exam'!L206)</f>
        <v/>
      </c>
      <c r="N206" s="129" t="str">
        <f>IF('(3).Midterm Exam'!M206="","",'(3).Midterm Exam'!M206)</f>
        <v/>
      </c>
      <c r="O206" s="130" t="str">
        <f>IF(B206="","",IF(D206="Incomplete","Incomplete",IF('(3).Midterm Exam'!N206="Change","Change",IF('(3).Midterm Exam'!N206="Stop","Stop",IF('(3).Midterm Exam'!N206="Incomplete","Incomplete",IF(COUNTBLANK(D206:N206)&gt;=1,"Incomplete",D206*20%+SUM(E206:N206)*80%))))))</f>
        <v/>
      </c>
    </row>
    <row r="207" spans="1:15" ht="15.95" customHeight="1">
      <c r="A207" s="66">
        <v>21</v>
      </c>
      <c r="B207" s="63" t="str">
        <f>IF('(3).Midterm Exam'!B207="","",'(3).Midterm Exam'!B207)</f>
        <v/>
      </c>
      <c r="C207" s="67" t="str">
        <f>IF('(3).Midterm Exam'!C207="","",'(3).Midterm Exam'!C207)</f>
        <v/>
      </c>
      <c r="D207" s="126" t="str">
        <f>IF('(2).Midterm Daily'!AH207="","",'(2).Midterm Daily'!AH207)</f>
        <v/>
      </c>
      <c r="E207" s="127" t="str">
        <f>IF('(3).Midterm Exam'!D207="","",'(3).Midterm Exam'!D207)</f>
        <v/>
      </c>
      <c r="F207" s="128" t="str">
        <f>IF('(3).Midterm Exam'!E207="","",'(3).Midterm Exam'!E207)</f>
        <v/>
      </c>
      <c r="G207" s="128" t="str">
        <f>IF('(3).Midterm Exam'!F207="","",'(3).Midterm Exam'!F207)</f>
        <v/>
      </c>
      <c r="H207" s="128" t="str">
        <f>IF('(3).Midterm Exam'!G207="","",'(3).Midterm Exam'!G207)</f>
        <v/>
      </c>
      <c r="I207" s="128" t="str">
        <f>IF('(3).Midterm Exam'!H207="","",'(3).Midterm Exam'!H207)</f>
        <v/>
      </c>
      <c r="J207" s="128" t="str">
        <f>IF('(3).Midterm Exam'!I207="","",'(3).Midterm Exam'!I207)</f>
        <v/>
      </c>
      <c r="K207" s="128" t="str">
        <f>IF('(3).Midterm Exam'!J207="","",'(3).Midterm Exam'!J207)</f>
        <v/>
      </c>
      <c r="L207" s="128" t="str">
        <f>IF('(3).Midterm Exam'!K207="","",'(3).Midterm Exam'!K207)</f>
        <v/>
      </c>
      <c r="M207" s="128" t="str">
        <f>IF('(3).Midterm Exam'!L207="","",'(3).Midterm Exam'!L207)</f>
        <v/>
      </c>
      <c r="N207" s="129" t="str">
        <f>IF('(3).Midterm Exam'!M207="","",'(3).Midterm Exam'!M207)</f>
        <v/>
      </c>
      <c r="O207" s="130" t="str">
        <f>IF(B207="","",IF(D207="Incomplete","Incomplete",IF('(3).Midterm Exam'!N207="Change","Change",IF('(3).Midterm Exam'!N207="Stop","Stop",IF('(3).Midterm Exam'!N207="Incomplete","Incomplete",IF(COUNTBLANK(D207:N207)&gt;=1,"Incomplete",D207*20%+SUM(E207:N207)*80%))))))</f>
        <v/>
      </c>
    </row>
    <row r="208" spans="1:15" ht="15.95" customHeight="1">
      <c r="A208" s="66">
        <v>22</v>
      </c>
      <c r="B208" s="63" t="str">
        <f>IF('(3).Midterm Exam'!B208="","",'(3).Midterm Exam'!B208)</f>
        <v/>
      </c>
      <c r="C208" s="67" t="str">
        <f>IF('(3).Midterm Exam'!C208="","",'(3).Midterm Exam'!C208)</f>
        <v/>
      </c>
      <c r="D208" s="126" t="str">
        <f>IF('(2).Midterm Daily'!AH208="","",'(2).Midterm Daily'!AH208)</f>
        <v/>
      </c>
      <c r="E208" s="127" t="str">
        <f>IF('(3).Midterm Exam'!D208="","",'(3).Midterm Exam'!D208)</f>
        <v/>
      </c>
      <c r="F208" s="128" t="str">
        <f>IF('(3).Midterm Exam'!E208="","",'(3).Midterm Exam'!E208)</f>
        <v/>
      </c>
      <c r="G208" s="128" t="str">
        <f>IF('(3).Midterm Exam'!F208="","",'(3).Midterm Exam'!F208)</f>
        <v/>
      </c>
      <c r="H208" s="128" t="str">
        <f>IF('(3).Midterm Exam'!G208="","",'(3).Midterm Exam'!G208)</f>
        <v/>
      </c>
      <c r="I208" s="128" t="str">
        <f>IF('(3).Midterm Exam'!H208="","",'(3).Midterm Exam'!H208)</f>
        <v/>
      </c>
      <c r="J208" s="128" t="str">
        <f>IF('(3).Midterm Exam'!I208="","",'(3).Midterm Exam'!I208)</f>
        <v/>
      </c>
      <c r="K208" s="128" t="str">
        <f>IF('(3).Midterm Exam'!J208="","",'(3).Midterm Exam'!J208)</f>
        <v/>
      </c>
      <c r="L208" s="128" t="str">
        <f>IF('(3).Midterm Exam'!K208="","",'(3).Midterm Exam'!K208)</f>
        <v/>
      </c>
      <c r="M208" s="128" t="str">
        <f>IF('(3).Midterm Exam'!L208="","",'(3).Midterm Exam'!L208)</f>
        <v/>
      </c>
      <c r="N208" s="129" t="str">
        <f>IF('(3).Midterm Exam'!M208="","",'(3).Midterm Exam'!M208)</f>
        <v/>
      </c>
      <c r="O208" s="130" t="str">
        <f>IF(B208="","",IF(D208="Incomplete","Incomplete",IF('(3).Midterm Exam'!N208="Change","Change",IF('(3).Midterm Exam'!N208="Stop","Stop",IF('(3).Midterm Exam'!N208="Incomplete","Incomplete",IF(COUNTBLANK(D208:N208)&gt;=1,"Incomplete",D208*20%+SUM(E208:N208)*80%))))))</f>
        <v/>
      </c>
    </row>
    <row r="209" spans="1:15" ht="15.95" customHeight="1">
      <c r="A209" s="66">
        <v>23</v>
      </c>
      <c r="B209" s="63" t="str">
        <f>IF('(3).Midterm Exam'!B209="","",'(3).Midterm Exam'!B209)</f>
        <v/>
      </c>
      <c r="C209" s="67" t="str">
        <f>IF('(3).Midterm Exam'!C209="","",'(3).Midterm Exam'!C209)</f>
        <v/>
      </c>
      <c r="D209" s="126" t="str">
        <f>IF('(2).Midterm Daily'!AH209="","",'(2).Midterm Daily'!AH209)</f>
        <v/>
      </c>
      <c r="E209" s="127" t="str">
        <f>IF('(3).Midterm Exam'!D209="","",'(3).Midterm Exam'!D209)</f>
        <v/>
      </c>
      <c r="F209" s="128" t="str">
        <f>IF('(3).Midterm Exam'!E209="","",'(3).Midterm Exam'!E209)</f>
        <v/>
      </c>
      <c r="G209" s="128" t="str">
        <f>IF('(3).Midterm Exam'!F209="","",'(3).Midterm Exam'!F209)</f>
        <v/>
      </c>
      <c r="H209" s="128" t="str">
        <f>IF('(3).Midterm Exam'!G209="","",'(3).Midterm Exam'!G209)</f>
        <v/>
      </c>
      <c r="I209" s="128" t="str">
        <f>IF('(3).Midterm Exam'!H209="","",'(3).Midterm Exam'!H209)</f>
        <v/>
      </c>
      <c r="J209" s="128" t="str">
        <f>IF('(3).Midterm Exam'!I209="","",'(3).Midterm Exam'!I209)</f>
        <v/>
      </c>
      <c r="K209" s="128" t="str">
        <f>IF('(3).Midterm Exam'!J209="","",'(3).Midterm Exam'!J209)</f>
        <v/>
      </c>
      <c r="L209" s="128" t="str">
        <f>IF('(3).Midterm Exam'!K209="","",'(3).Midterm Exam'!K209)</f>
        <v/>
      </c>
      <c r="M209" s="128" t="str">
        <f>IF('(3).Midterm Exam'!L209="","",'(3).Midterm Exam'!L209)</f>
        <v/>
      </c>
      <c r="N209" s="129" t="str">
        <f>IF('(3).Midterm Exam'!M209="","",'(3).Midterm Exam'!M209)</f>
        <v/>
      </c>
      <c r="O209" s="130" t="str">
        <f>IF(B209="","",IF(D209="Incomplete","Incomplete",IF('(3).Midterm Exam'!N209="Change","Change",IF('(3).Midterm Exam'!N209="Stop","Stop",IF('(3).Midterm Exam'!N209="Incomplete","Incomplete",IF(COUNTBLANK(D209:N209)&gt;=1,"Incomplete",D209*20%+SUM(E209:N209)*80%))))))</f>
        <v/>
      </c>
    </row>
    <row r="210" spans="1:15" ht="15.95" customHeight="1">
      <c r="A210" s="66">
        <v>24</v>
      </c>
      <c r="B210" s="63" t="str">
        <f>IF('(3).Midterm Exam'!B210="","",'(3).Midterm Exam'!B210)</f>
        <v/>
      </c>
      <c r="C210" s="67" t="str">
        <f>IF('(3).Midterm Exam'!C210="","",'(3).Midterm Exam'!C210)</f>
        <v/>
      </c>
      <c r="D210" s="126" t="str">
        <f>IF('(2).Midterm Daily'!AH210="","",'(2).Midterm Daily'!AH210)</f>
        <v/>
      </c>
      <c r="E210" s="127" t="str">
        <f>IF('(3).Midterm Exam'!D210="","",'(3).Midterm Exam'!D210)</f>
        <v/>
      </c>
      <c r="F210" s="128" t="str">
        <f>IF('(3).Midterm Exam'!E210="","",'(3).Midterm Exam'!E210)</f>
        <v/>
      </c>
      <c r="G210" s="128" t="str">
        <f>IF('(3).Midterm Exam'!F210="","",'(3).Midterm Exam'!F210)</f>
        <v/>
      </c>
      <c r="H210" s="128" t="str">
        <f>IF('(3).Midterm Exam'!G210="","",'(3).Midterm Exam'!G210)</f>
        <v/>
      </c>
      <c r="I210" s="128" t="str">
        <f>IF('(3).Midterm Exam'!H210="","",'(3).Midterm Exam'!H210)</f>
        <v/>
      </c>
      <c r="J210" s="128" t="str">
        <f>IF('(3).Midterm Exam'!I210="","",'(3).Midterm Exam'!I210)</f>
        <v/>
      </c>
      <c r="K210" s="128" t="str">
        <f>IF('(3).Midterm Exam'!J210="","",'(3).Midterm Exam'!J210)</f>
        <v/>
      </c>
      <c r="L210" s="128" t="str">
        <f>IF('(3).Midterm Exam'!K210="","",'(3).Midterm Exam'!K210)</f>
        <v/>
      </c>
      <c r="M210" s="128" t="str">
        <f>IF('(3).Midterm Exam'!L210="","",'(3).Midterm Exam'!L210)</f>
        <v/>
      </c>
      <c r="N210" s="129" t="str">
        <f>IF('(3).Midterm Exam'!M210="","",'(3).Midterm Exam'!M210)</f>
        <v/>
      </c>
      <c r="O210" s="130" t="str">
        <f>IF(B210="","",IF(D210="Incomplete","Incomplete",IF('(3).Midterm Exam'!N210="Change","Change",IF('(3).Midterm Exam'!N210="Stop","Stop",IF('(3).Midterm Exam'!N210="Incomplete","Incomplete",IF(COUNTBLANK(D210:N210)&gt;=1,"Incomplete",D210*20%+SUM(E210:N210)*80%))))))</f>
        <v/>
      </c>
    </row>
    <row r="211" spans="1:15" ht="15.95" customHeight="1">
      <c r="A211" s="66">
        <v>25</v>
      </c>
      <c r="B211" s="63" t="str">
        <f>IF('(3).Midterm Exam'!B211="","",'(3).Midterm Exam'!B211)</f>
        <v/>
      </c>
      <c r="C211" s="67" t="str">
        <f>IF('(3).Midterm Exam'!C211="","",'(3).Midterm Exam'!C211)</f>
        <v/>
      </c>
      <c r="D211" s="126" t="str">
        <f>IF('(2).Midterm Daily'!AH211="","",'(2).Midterm Daily'!AH211)</f>
        <v/>
      </c>
      <c r="E211" s="127" t="str">
        <f>IF('(3).Midterm Exam'!D211="","",'(3).Midterm Exam'!D211)</f>
        <v/>
      </c>
      <c r="F211" s="128" t="str">
        <f>IF('(3).Midterm Exam'!E211="","",'(3).Midterm Exam'!E211)</f>
        <v/>
      </c>
      <c r="G211" s="128" t="str">
        <f>IF('(3).Midterm Exam'!F211="","",'(3).Midterm Exam'!F211)</f>
        <v/>
      </c>
      <c r="H211" s="128" t="str">
        <f>IF('(3).Midterm Exam'!G211="","",'(3).Midterm Exam'!G211)</f>
        <v/>
      </c>
      <c r="I211" s="128" t="str">
        <f>IF('(3).Midterm Exam'!H211="","",'(3).Midterm Exam'!H211)</f>
        <v/>
      </c>
      <c r="J211" s="128" t="str">
        <f>IF('(3).Midterm Exam'!I211="","",'(3).Midterm Exam'!I211)</f>
        <v/>
      </c>
      <c r="K211" s="128" t="str">
        <f>IF('(3).Midterm Exam'!J211="","",'(3).Midterm Exam'!J211)</f>
        <v/>
      </c>
      <c r="L211" s="128" t="str">
        <f>IF('(3).Midterm Exam'!K211="","",'(3).Midterm Exam'!K211)</f>
        <v/>
      </c>
      <c r="M211" s="128" t="str">
        <f>IF('(3).Midterm Exam'!L211="","",'(3).Midterm Exam'!L211)</f>
        <v/>
      </c>
      <c r="N211" s="129" t="str">
        <f>IF('(3).Midterm Exam'!M211="","",'(3).Midterm Exam'!M211)</f>
        <v/>
      </c>
      <c r="O211" s="130" t="str">
        <f>IF(B211="","",IF(D211="Incomplete","Incomplete",IF('(3).Midterm Exam'!N211="Change","Change",IF('(3).Midterm Exam'!N211="Stop","Stop",IF('(3).Midterm Exam'!N211="Incomplete","Incomplete",IF(COUNTBLANK(D211:N211)&gt;=1,"Incomplete",D211*20%+SUM(E211:N211)*80%))))))</f>
        <v/>
      </c>
    </row>
    <row r="212" spans="1:15" ht="15.95" customHeight="1">
      <c r="A212" s="66">
        <v>26</v>
      </c>
      <c r="B212" s="63" t="str">
        <f>IF('(3).Midterm Exam'!B212="","",'(3).Midterm Exam'!B212)</f>
        <v/>
      </c>
      <c r="C212" s="67" t="str">
        <f>IF('(3).Midterm Exam'!C212="","",'(3).Midterm Exam'!C212)</f>
        <v/>
      </c>
      <c r="D212" s="126" t="str">
        <f>IF('(2).Midterm Daily'!AH212="","",'(2).Midterm Daily'!AH212)</f>
        <v/>
      </c>
      <c r="E212" s="127" t="str">
        <f>IF('(3).Midterm Exam'!D212="","",'(3).Midterm Exam'!D212)</f>
        <v/>
      </c>
      <c r="F212" s="128" t="str">
        <f>IF('(3).Midterm Exam'!E212="","",'(3).Midterm Exam'!E212)</f>
        <v/>
      </c>
      <c r="G212" s="128" t="str">
        <f>IF('(3).Midterm Exam'!F212="","",'(3).Midterm Exam'!F212)</f>
        <v/>
      </c>
      <c r="H212" s="128" t="str">
        <f>IF('(3).Midterm Exam'!G212="","",'(3).Midterm Exam'!G212)</f>
        <v/>
      </c>
      <c r="I212" s="128" t="str">
        <f>IF('(3).Midterm Exam'!H212="","",'(3).Midterm Exam'!H212)</f>
        <v/>
      </c>
      <c r="J212" s="128" t="str">
        <f>IF('(3).Midterm Exam'!I212="","",'(3).Midterm Exam'!I212)</f>
        <v/>
      </c>
      <c r="K212" s="128" t="str">
        <f>IF('(3).Midterm Exam'!J212="","",'(3).Midterm Exam'!J212)</f>
        <v/>
      </c>
      <c r="L212" s="128" t="str">
        <f>IF('(3).Midterm Exam'!K212="","",'(3).Midterm Exam'!K212)</f>
        <v/>
      </c>
      <c r="M212" s="128" t="str">
        <f>IF('(3).Midterm Exam'!L212="","",'(3).Midterm Exam'!L212)</f>
        <v/>
      </c>
      <c r="N212" s="129" t="str">
        <f>IF('(3).Midterm Exam'!M212="","",'(3).Midterm Exam'!M212)</f>
        <v/>
      </c>
      <c r="O212" s="130" t="str">
        <f>IF(B212="","",IF(D212="Incomplete","Incomplete",IF('(3).Midterm Exam'!N212="Change","Change",IF('(3).Midterm Exam'!N212="Stop","Stop",IF('(3).Midterm Exam'!N212="Incomplete","Incomplete",IF(COUNTBLANK(D212:N212)&gt;=1,"Incomplete",D212*20%+SUM(E212:N212)*80%))))))</f>
        <v/>
      </c>
    </row>
    <row r="213" spans="1:15" ht="15.95" customHeight="1">
      <c r="A213" s="66">
        <v>27</v>
      </c>
      <c r="B213" s="63" t="str">
        <f>IF('(3).Midterm Exam'!B213="","",'(3).Midterm Exam'!B213)</f>
        <v/>
      </c>
      <c r="C213" s="67" t="str">
        <f>IF('(3).Midterm Exam'!C213="","",'(3).Midterm Exam'!C213)</f>
        <v/>
      </c>
      <c r="D213" s="126" t="str">
        <f>IF('(2).Midterm Daily'!AH213="","",'(2).Midterm Daily'!AH213)</f>
        <v/>
      </c>
      <c r="E213" s="127" t="str">
        <f>IF('(3).Midterm Exam'!D213="","",'(3).Midterm Exam'!D213)</f>
        <v/>
      </c>
      <c r="F213" s="128" t="str">
        <f>IF('(3).Midterm Exam'!E213="","",'(3).Midterm Exam'!E213)</f>
        <v/>
      </c>
      <c r="G213" s="128" t="str">
        <f>IF('(3).Midterm Exam'!F213="","",'(3).Midterm Exam'!F213)</f>
        <v/>
      </c>
      <c r="H213" s="128" t="str">
        <f>IF('(3).Midterm Exam'!G213="","",'(3).Midterm Exam'!G213)</f>
        <v/>
      </c>
      <c r="I213" s="128" t="str">
        <f>IF('(3).Midterm Exam'!H213="","",'(3).Midterm Exam'!H213)</f>
        <v/>
      </c>
      <c r="J213" s="128" t="str">
        <f>IF('(3).Midterm Exam'!I213="","",'(3).Midterm Exam'!I213)</f>
        <v/>
      </c>
      <c r="K213" s="128" t="str">
        <f>IF('(3).Midterm Exam'!J213="","",'(3).Midterm Exam'!J213)</f>
        <v/>
      </c>
      <c r="L213" s="128" t="str">
        <f>IF('(3).Midterm Exam'!K213="","",'(3).Midterm Exam'!K213)</f>
        <v/>
      </c>
      <c r="M213" s="128" t="str">
        <f>IF('(3).Midterm Exam'!L213="","",'(3).Midterm Exam'!L213)</f>
        <v/>
      </c>
      <c r="N213" s="129" t="str">
        <f>IF('(3).Midterm Exam'!M213="","",'(3).Midterm Exam'!M213)</f>
        <v/>
      </c>
      <c r="O213" s="130" t="str">
        <f>IF(B213="","",IF(D213="Incomplete","Incomplete",IF('(3).Midterm Exam'!N213="Change","Change",IF('(3).Midterm Exam'!N213="Stop","Stop",IF('(3).Midterm Exam'!N213="Incomplete","Incomplete",IF(COUNTBLANK(D213:N213)&gt;=1,"Incomplete",D213*20%+SUM(E213:N213)*80%))))))</f>
        <v/>
      </c>
    </row>
    <row r="214" spans="1:15" ht="15.95" customHeight="1">
      <c r="A214" s="66">
        <v>28</v>
      </c>
      <c r="B214" s="63" t="str">
        <f>IF('(3).Midterm Exam'!B214="","",'(3).Midterm Exam'!B214)</f>
        <v/>
      </c>
      <c r="C214" s="67" t="str">
        <f>IF('(3).Midterm Exam'!C214="","",'(3).Midterm Exam'!C214)</f>
        <v/>
      </c>
      <c r="D214" s="126" t="str">
        <f>IF('(2).Midterm Daily'!AH214="","",'(2).Midterm Daily'!AH214)</f>
        <v/>
      </c>
      <c r="E214" s="127" t="str">
        <f>IF('(3).Midterm Exam'!D214="","",'(3).Midterm Exam'!D214)</f>
        <v/>
      </c>
      <c r="F214" s="128" t="str">
        <f>IF('(3).Midterm Exam'!E214="","",'(3).Midterm Exam'!E214)</f>
        <v/>
      </c>
      <c r="G214" s="128" t="str">
        <f>IF('(3).Midterm Exam'!F214="","",'(3).Midterm Exam'!F214)</f>
        <v/>
      </c>
      <c r="H214" s="128" t="str">
        <f>IF('(3).Midterm Exam'!G214="","",'(3).Midterm Exam'!G214)</f>
        <v/>
      </c>
      <c r="I214" s="128" t="str">
        <f>IF('(3).Midterm Exam'!H214="","",'(3).Midterm Exam'!H214)</f>
        <v/>
      </c>
      <c r="J214" s="128" t="str">
        <f>IF('(3).Midterm Exam'!I214="","",'(3).Midterm Exam'!I214)</f>
        <v/>
      </c>
      <c r="K214" s="128" t="str">
        <f>IF('(3).Midterm Exam'!J214="","",'(3).Midterm Exam'!J214)</f>
        <v/>
      </c>
      <c r="L214" s="128" t="str">
        <f>IF('(3).Midterm Exam'!K214="","",'(3).Midterm Exam'!K214)</f>
        <v/>
      </c>
      <c r="M214" s="128" t="str">
        <f>IF('(3).Midterm Exam'!L214="","",'(3).Midterm Exam'!L214)</f>
        <v/>
      </c>
      <c r="N214" s="129" t="str">
        <f>IF('(3).Midterm Exam'!M214="","",'(3).Midterm Exam'!M214)</f>
        <v/>
      </c>
      <c r="O214" s="130" t="str">
        <f>IF(B214="","",IF(D214="Incomplete","Incomplete",IF('(3).Midterm Exam'!N214="Change","Change",IF('(3).Midterm Exam'!N214="Stop","Stop",IF('(3).Midterm Exam'!N214="Incomplete","Incomplete",IF(COUNTBLANK(D214:N214)&gt;=1,"Incomplete",D214*20%+SUM(E214:N214)*80%))))))</f>
        <v/>
      </c>
    </row>
    <row r="215" spans="1:15" ht="15.95" customHeight="1">
      <c r="A215" s="66">
        <v>29</v>
      </c>
      <c r="B215" s="63" t="str">
        <f>IF('(3).Midterm Exam'!B215="","",'(3).Midterm Exam'!B215)</f>
        <v/>
      </c>
      <c r="C215" s="67" t="str">
        <f>IF('(3).Midterm Exam'!C215="","",'(3).Midterm Exam'!C215)</f>
        <v/>
      </c>
      <c r="D215" s="126" t="str">
        <f>IF('(2).Midterm Daily'!AH215="","",'(2).Midterm Daily'!AH215)</f>
        <v/>
      </c>
      <c r="E215" s="127" t="str">
        <f>IF('(3).Midterm Exam'!D215="","",'(3).Midterm Exam'!D215)</f>
        <v/>
      </c>
      <c r="F215" s="128" t="str">
        <f>IF('(3).Midterm Exam'!E215="","",'(3).Midterm Exam'!E215)</f>
        <v/>
      </c>
      <c r="G215" s="128" t="str">
        <f>IF('(3).Midterm Exam'!F215="","",'(3).Midterm Exam'!F215)</f>
        <v/>
      </c>
      <c r="H215" s="128" t="str">
        <f>IF('(3).Midterm Exam'!G215="","",'(3).Midterm Exam'!G215)</f>
        <v/>
      </c>
      <c r="I215" s="128" t="str">
        <f>IF('(3).Midterm Exam'!H215="","",'(3).Midterm Exam'!H215)</f>
        <v/>
      </c>
      <c r="J215" s="128" t="str">
        <f>IF('(3).Midterm Exam'!I215="","",'(3).Midterm Exam'!I215)</f>
        <v/>
      </c>
      <c r="K215" s="128" t="str">
        <f>IF('(3).Midterm Exam'!J215="","",'(3).Midterm Exam'!J215)</f>
        <v/>
      </c>
      <c r="L215" s="128" t="str">
        <f>IF('(3).Midterm Exam'!K215="","",'(3).Midterm Exam'!K215)</f>
        <v/>
      </c>
      <c r="M215" s="128" t="str">
        <f>IF('(3).Midterm Exam'!L215="","",'(3).Midterm Exam'!L215)</f>
        <v/>
      </c>
      <c r="N215" s="129" t="str">
        <f>IF('(3).Midterm Exam'!M215="","",'(3).Midterm Exam'!M215)</f>
        <v/>
      </c>
      <c r="O215" s="130" t="str">
        <f>IF(B215="","",IF(D215="Incomplete","Incomplete",IF('(3).Midterm Exam'!N215="Change","Change",IF('(3).Midterm Exam'!N215="Stop","Stop",IF('(3).Midterm Exam'!N215="Incomplete","Incomplete",IF(COUNTBLANK(D215:N215)&gt;=1,"Incomplete",D215*20%+SUM(E215:N215)*80%))))))</f>
        <v/>
      </c>
    </row>
    <row r="216" spans="1:15" ht="15.95" customHeight="1">
      <c r="A216" s="66">
        <v>30</v>
      </c>
      <c r="B216" s="63" t="str">
        <f>IF('(3).Midterm Exam'!B216="","",'(3).Midterm Exam'!B216)</f>
        <v/>
      </c>
      <c r="C216" s="67" t="str">
        <f>IF('(3).Midterm Exam'!C216="","",'(3).Midterm Exam'!C216)</f>
        <v/>
      </c>
      <c r="D216" s="126" t="str">
        <f>IF('(2).Midterm Daily'!AH216="","",'(2).Midterm Daily'!AH216)</f>
        <v/>
      </c>
      <c r="E216" s="127" t="str">
        <f>IF('(3).Midterm Exam'!D216="","",'(3).Midterm Exam'!D216)</f>
        <v/>
      </c>
      <c r="F216" s="128" t="str">
        <f>IF('(3).Midterm Exam'!E216="","",'(3).Midterm Exam'!E216)</f>
        <v/>
      </c>
      <c r="G216" s="128" t="str">
        <f>IF('(3).Midterm Exam'!F216="","",'(3).Midterm Exam'!F216)</f>
        <v/>
      </c>
      <c r="H216" s="128" t="str">
        <f>IF('(3).Midterm Exam'!G216="","",'(3).Midterm Exam'!G216)</f>
        <v/>
      </c>
      <c r="I216" s="128" t="str">
        <f>IF('(3).Midterm Exam'!H216="","",'(3).Midterm Exam'!H216)</f>
        <v/>
      </c>
      <c r="J216" s="128" t="str">
        <f>IF('(3).Midterm Exam'!I216="","",'(3).Midterm Exam'!I216)</f>
        <v/>
      </c>
      <c r="K216" s="128" t="str">
        <f>IF('(3).Midterm Exam'!J216="","",'(3).Midterm Exam'!J216)</f>
        <v/>
      </c>
      <c r="L216" s="128" t="str">
        <f>IF('(3).Midterm Exam'!K216="","",'(3).Midterm Exam'!K216)</f>
        <v/>
      </c>
      <c r="M216" s="128" t="str">
        <f>IF('(3).Midterm Exam'!L216="","",'(3).Midterm Exam'!L216)</f>
        <v/>
      </c>
      <c r="N216" s="129" t="str">
        <f>IF('(3).Midterm Exam'!M216="","",'(3).Midterm Exam'!M216)</f>
        <v/>
      </c>
      <c r="O216" s="130" t="str">
        <f>IF(B216="","",IF(D216="Incomplete","Incomplete",IF('(3).Midterm Exam'!N216="Change","Change",IF('(3).Midterm Exam'!N216="Stop","Stop",IF('(3).Midterm Exam'!N216="Incomplete","Incomplete",IF(COUNTBLANK(D216:N216)&gt;=1,"Incomplete",D216*20%+SUM(E216:N216)*80%))))))</f>
        <v/>
      </c>
    </row>
  </sheetData>
  <mergeCells count="24">
    <mergeCell ref="D3:O3"/>
    <mergeCell ref="E4:N4"/>
    <mergeCell ref="D1:O1"/>
    <mergeCell ref="D2:O2"/>
    <mergeCell ref="D74:O74"/>
    <mergeCell ref="D38:O38"/>
    <mergeCell ref="D37:O37"/>
    <mergeCell ref="D39:O39"/>
    <mergeCell ref="E40:N40"/>
    <mergeCell ref="D73:O73"/>
    <mergeCell ref="D110:O110"/>
    <mergeCell ref="D75:O75"/>
    <mergeCell ref="E76:N76"/>
    <mergeCell ref="D109:O109"/>
    <mergeCell ref="D111:O111"/>
    <mergeCell ref="D181:O181"/>
    <mergeCell ref="D182:O182"/>
    <mergeCell ref="D183:O183"/>
    <mergeCell ref="E184:N184"/>
    <mergeCell ref="E112:N112"/>
    <mergeCell ref="D146:O146"/>
    <mergeCell ref="D145:O145"/>
    <mergeCell ref="D147:O147"/>
    <mergeCell ref="E148:N148"/>
  </mergeCells>
  <conditionalFormatting sqref="A7:O36">
    <cfRule type="expression" dxfId="281" priority="265">
      <formula>$O7="Stop"</formula>
    </cfRule>
    <cfRule type="expression" dxfId="280" priority="266">
      <formula>$O7="Change"</formula>
    </cfRule>
    <cfRule type="expression" dxfId="279" priority="267">
      <formula>$O7="Incomplete"</formula>
    </cfRule>
  </conditionalFormatting>
  <conditionalFormatting sqref="A43:O72">
    <cfRule type="expression" dxfId="278" priority="21">
      <formula>$O43="Stop"</formula>
    </cfRule>
    <cfRule type="expression" dxfId="277" priority="22">
      <formula>$O43="Change"</formula>
    </cfRule>
    <cfRule type="expression" dxfId="276" priority="23">
      <formula>$O43="Incomplete"</formula>
    </cfRule>
  </conditionalFormatting>
  <conditionalFormatting sqref="A79:O108">
    <cfRule type="expression" dxfId="275" priority="16">
      <formula>$O79="Stop"</formula>
    </cfRule>
    <cfRule type="expression" dxfId="274" priority="17">
      <formula>$O79="Change"</formula>
    </cfRule>
    <cfRule type="expression" dxfId="273" priority="18">
      <formula>$O79="Incomplete"</formula>
    </cfRule>
  </conditionalFormatting>
  <conditionalFormatting sqref="A115:O144">
    <cfRule type="expression" dxfId="272" priority="11">
      <formula>$O115="Stop"</formula>
    </cfRule>
    <cfRule type="expression" dxfId="271" priority="12">
      <formula>$O115="Change"</formula>
    </cfRule>
    <cfRule type="expression" dxfId="270" priority="13">
      <formula>$O115="Incomplete"</formula>
    </cfRule>
  </conditionalFormatting>
  <conditionalFormatting sqref="A151:O180">
    <cfRule type="expression" dxfId="269" priority="6">
      <formula>$O151="Stop"</formula>
    </cfRule>
    <cfRule type="expression" dxfId="268" priority="7">
      <formula>$O151="Change"</formula>
    </cfRule>
    <cfRule type="expression" dxfId="267" priority="8">
      <formula>$O151="Incomplete"</formula>
    </cfRule>
  </conditionalFormatting>
  <conditionalFormatting sqref="A187:O216">
    <cfRule type="expression" dxfId="266" priority="1">
      <formula>$O187="Stop"</formula>
    </cfRule>
    <cfRule type="expression" dxfId="265" priority="2">
      <formula>$O187="Change"</formula>
    </cfRule>
    <cfRule type="expression" dxfId="264" priority="3">
      <formula>$O187="Incomplete"</formula>
    </cfRule>
  </conditionalFormatting>
  <conditionalFormatting sqref="E7:N36">
    <cfRule type="cellIs" dxfId="263" priority="268" operator="equal">
      <formula>0</formula>
    </cfRule>
  </conditionalFormatting>
  <conditionalFormatting sqref="E43:N72">
    <cfRule type="cellIs" dxfId="262" priority="24" operator="equal">
      <formula>0</formula>
    </cfRule>
  </conditionalFormatting>
  <conditionalFormatting sqref="E79:N108">
    <cfRule type="cellIs" dxfId="261" priority="19" operator="equal">
      <formula>0</formula>
    </cfRule>
  </conditionalFormatting>
  <conditionalFormatting sqref="E115:N144">
    <cfRule type="cellIs" dxfId="260" priority="14" operator="equal">
      <formula>0</formula>
    </cfRule>
  </conditionalFormatting>
  <conditionalFormatting sqref="E151:N180">
    <cfRule type="cellIs" dxfId="259" priority="9" operator="equal">
      <formula>0</formula>
    </cfRule>
  </conditionalFormatting>
  <conditionalFormatting sqref="E187:N216">
    <cfRule type="cellIs" dxfId="258" priority="4" operator="equal">
      <formula>0</formula>
    </cfRule>
  </conditionalFormatting>
  <conditionalFormatting sqref="O7:O36">
    <cfRule type="containsText" dxfId="257" priority="269" operator="containsText" text="Incomplete">
      <formula>NOT(ISERROR(SEARCH("Incomplete",O7)))</formula>
    </cfRule>
  </conditionalFormatting>
  <conditionalFormatting sqref="O43:O72">
    <cfRule type="containsText" dxfId="256" priority="25" operator="containsText" text="Incomplete">
      <formula>NOT(ISERROR(SEARCH("Incomplete",O43)))</formula>
    </cfRule>
  </conditionalFormatting>
  <conditionalFormatting sqref="O79:O108">
    <cfRule type="containsText" dxfId="255" priority="20" operator="containsText" text="Incomplete">
      <formula>NOT(ISERROR(SEARCH("Incomplete",O79)))</formula>
    </cfRule>
  </conditionalFormatting>
  <conditionalFormatting sqref="O115:O144">
    <cfRule type="containsText" dxfId="254" priority="15" operator="containsText" text="Incomplete">
      <formula>NOT(ISERROR(SEARCH("Incomplete",O115)))</formula>
    </cfRule>
  </conditionalFormatting>
  <conditionalFormatting sqref="O151:O180">
    <cfRule type="containsText" dxfId="253" priority="10" operator="containsText" text="Incomplete">
      <formula>NOT(ISERROR(SEARCH("Incomplete",O151)))</formula>
    </cfRule>
  </conditionalFormatting>
  <conditionalFormatting sqref="O187:O216">
    <cfRule type="containsText" dxfId="252" priority="5" operator="containsText" text="Incomplete">
      <formula>NOT(ISERROR(SEARCH("Incomplete",O187)))</formula>
    </cfRule>
  </conditionalFormatting>
  <dataValidations count="1">
    <dataValidation type="decimal" allowBlank="1" showErrorMessage="1" errorTitle="Impossible!" error="Cancel it and then type the correct score." sqref="E7:N36 E43:N72 E79:N108 E115:N144 E151:N180 E187:N216" xr:uid="{176E404F-E707-4F05-B1EC-235E8ABCA2DE}">
      <formula1>0</formula1>
      <formula2>10</formula2>
    </dataValidation>
  </dataValidations>
  <printOptions horizontalCentered="1" verticalCentered="1"/>
  <pageMargins left="0" right="0" top="0.25" bottom="0.25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98E6-F099-4673-9238-D95A26ACE643}">
  <sheetPr>
    <tabColor rgb="FF92D050"/>
  </sheetPr>
  <dimension ref="A1:W3059"/>
  <sheetViews>
    <sheetView zoomScaleNormal="100" workbookViewId="0">
      <selection activeCell="Y21" sqref="Y21"/>
    </sheetView>
  </sheetViews>
  <sheetFormatPr defaultColWidth="15.7109375" defaultRowHeight="12.4" customHeight="1"/>
  <cols>
    <col min="1" max="2" width="13.7109375" style="101" customWidth="1"/>
    <col min="3" max="4" width="15.7109375" style="101"/>
    <col min="5" max="5" width="15.7109375" style="111"/>
    <col min="6" max="6" width="15.7109375" style="101"/>
    <col min="7" max="7" width="5.7109375" style="101" customWidth="1"/>
    <col min="8" max="8" width="5.7109375" style="108" customWidth="1"/>
    <col min="9" max="21" width="4.7109375" style="108" customWidth="1"/>
    <col min="22" max="22" width="9.140625" style="108" customWidth="1"/>
    <col min="23" max="23" width="15.7109375" style="132"/>
    <col min="24" max="16384" width="15.7109375" style="101"/>
  </cols>
  <sheetData>
    <row r="1" spans="1:22" ht="12.4" customHeight="1">
      <c r="A1" s="230" t="s">
        <v>121</v>
      </c>
      <c r="B1" s="231"/>
      <c r="C1" s="231"/>
      <c r="D1" s="107" t="s">
        <v>123</v>
      </c>
      <c r="E1" s="232" t="str">
        <f>I7</f>
        <v>Chhim Chansithika</v>
      </c>
      <c r="F1" s="233"/>
      <c r="G1" s="101">
        <v>7</v>
      </c>
      <c r="H1" s="108" t="str">
        <f>IF('(4).Midterm Results'!A1=0,"",'(4).Midterm Results'!A1)</f>
        <v>Br:</v>
      </c>
      <c r="I1" s="108" t="str">
        <f>IF('(4).Midterm Results'!B1=0,"",'(4).Midterm Results'!B1)</f>
        <v>C2</v>
      </c>
      <c r="J1" s="108" t="str">
        <f>IF('(4).Midterm Results'!C1=0,"",'(4).Midterm Results'!C1)</f>
        <v/>
      </c>
      <c r="K1" s="108" t="str">
        <f>IF('(4).Midterm Results'!D1=0,"",'(4).Midterm Results'!D1)</f>
        <v>MIDTERM RESULTS</v>
      </c>
      <c r="L1" s="108" t="str">
        <f>IF('(4).Midterm Results'!E1=0,"",'(4).Midterm Results'!E1)</f>
        <v/>
      </c>
      <c r="M1" s="108" t="str">
        <f>IF('(4).Midterm Results'!F1=0,"",'(4).Midterm Results'!F1)</f>
        <v/>
      </c>
      <c r="N1" s="108" t="str">
        <f>IF('(4).Midterm Results'!G1=0,"",'(4).Midterm Results'!G1)</f>
        <v/>
      </c>
      <c r="O1" s="108" t="str">
        <f>IF('(4).Midterm Results'!H1=0,"",'(4).Midterm Results'!H1)</f>
        <v/>
      </c>
      <c r="P1" s="108" t="str">
        <f>IF('(4).Midterm Results'!I1=0,"",'(4).Midterm Results'!I1)</f>
        <v/>
      </c>
      <c r="Q1" s="108" t="str">
        <f>IF('(4).Midterm Results'!J1=0,"",'(4).Midterm Results'!J1)</f>
        <v/>
      </c>
      <c r="R1" s="108" t="str">
        <f>IF('(4).Midterm Results'!K1=0,"",'(4).Midterm Results'!K1)</f>
        <v/>
      </c>
      <c r="S1" s="108" t="str">
        <f>IF('(4).Midterm Results'!L1=0,"",'(4).Midterm Results'!L1)</f>
        <v/>
      </c>
      <c r="T1" s="108" t="str">
        <f>IF('(4).Midterm Results'!M1=0,"",'(4).Midterm Results'!M1)</f>
        <v/>
      </c>
      <c r="U1" s="108" t="str">
        <f>IF('(4).Midterm Results'!N1=0,"",'(4).Midterm Results'!N1)</f>
        <v/>
      </c>
      <c r="V1" s="108" t="str">
        <f>IF('(4).Midterm Results'!O1=0,"",'(4).Midterm Results'!O1)</f>
        <v/>
      </c>
    </row>
    <row r="2" spans="1:22" ht="12.4" customHeight="1">
      <c r="A2" s="105" t="s">
        <v>122</v>
      </c>
      <c r="B2" s="234" t="str">
        <f>$K$2</f>
        <v>FEBRUARY - JULY 2026</v>
      </c>
      <c r="C2" s="234"/>
      <c r="D2" s="106" t="s">
        <v>124</v>
      </c>
      <c r="E2" s="235" t="str">
        <f>$I$2</f>
        <v>K1B</v>
      </c>
      <c r="F2" s="236"/>
      <c r="H2" s="108" t="str">
        <f>IF('(4).Midterm Results'!A2=0,"",'(4).Midterm Results'!A2)</f>
        <v>Level:</v>
      </c>
      <c r="I2" s="108" t="str">
        <f>IF('(4).Midterm Results'!B2=0,"",'(4).Midterm Results'!B2)</f>
        <v>K1B</v>
      </c>
      <c r="J2" s="108" t="str">
        <f>IF('(4).Midterm Results'!C2=0,"",'(4).Midterm Results'!C2)</f>
        <v/>
      </c>
      <c r="K2" s="108" t="str">
        <f>IF('(4).Midterm Results'!D2=0,"",'(4).Midterm Results'!D2)</f>
        <v>FEBRUARY - JULY 2026</v>
      </c>
      <c r="L2" s="108" t="str">
        <f>IF('(4).Midterm Results'!E2=0,"",'(4).Midterm Results'!E2)</f>
        <v/>
      </c>
      <c r="M2" s="108" t="str">
        <f>IF('(4).Midterm Results'!F2=0,"",'(4).Midterm Results'!F2)</f>
        <v/>
      </c>
      <c r="N2" s="108" t="str">
        <f>IF('(4).Midterm Results'!G2=0,"",'(4).Midterm Results'!G2)</f>
        <v/>
      </c>
      <c r="O2" s="108" t="str">
        <f>IF('(4).Midterm Results'!H2=0,"",'(4).Midterm Results'!H2)</f>
        <v/>
      </c>
      <c r="P2" s="108" t="str">
        <f>IF('(4).Midterm Results'!I2=0,"",'(4).Midterm Results'!I2)</f>
        <v/>
      </c>
      <c r="Q2" s="108" t="str">
        <f>IF('(4).Midterm Results'!J2=0,"",'(4).Midterm Results'!J2)</f>
        <v/>
      </c>
      <c r="R2" s="108" t="str">
        <f>IF('(4).Midterm Results'!K2=0,"",'(4).Midterm Results'!K2)</f>
        <v/>
      </c>
      <c r="S2" s="108" t="str">
        <f>IF('(4).Midterm Results'!L2=0,"",'(4).Midterm Results'!L2)</f>
        <v/>
      </c>
      <c r="T2" s="108" t="str">
        <f>IF('(4).Midterm Results'!M2=0,"",'(4).Midterm Results'!M2)</f>
        <v/>
      </c>
      <c r="U2" s="108" t="str">
        <f>IF('(4).Midterm Results'!N2=0,"",'(4).Midterm Results'!N2)</f>
        <v/>
      </c>
      <c r="V2" s="108" t="str">
        <f>IF('(4).Midterm Results'!O2=0,"",'(4).Midterm Results'!O2)</f>
        <v/>
      </c>
    </row>
    <row r="3" spans="1:22" ht="12.4" customHeight="1">
      <c r="A3" s="237" t="s">
        <v>130</v>
      </c>
      <c r="B3" s="238"/>
      <c r="C3" s="238"/>
      <c r="D3" s="238"/>
      <c r="E3" s="238"/>
      <c r="F3" s="239"/>
      <c r="H3" s="108" t="str">
        <f>IF('(4).Midterm Results'!A3=0,"",'(4).Midterm Results'!A3)</f>
        <v>Time:</v>
      </c>
      <c r="I3" s="108" t="str">
        <f>IF('(4).Midterm Results'!B3=0,"",'(4).Midterm Results'!B3)</f>
        <v>3:00-5:30</v>
      </c>
      <c r="J3" s="108" t="str">
        <f>IF('(4).Midterm Results'!C3=0,"",'(4).Midterm Results'!C3)</f>
        <v/>
      </c>
      <c r="K3" s="108" t="str">
        <f>IF('(4).Midterm Results'!D3=0,"",'(4).Midterm Results'!D3)</f>
        <v>*** Midterm Results (Total Scores) = Midterm Daily (20%) + Midterm Exam (80%) ***</v>
      </c>
      <c r="L3" s="108" t="str">
        <f>IF('(4).Midterm Results'!E3=0,"",'(4).Midterm Results'!E3)</f>
        <v/>
      </c>
      <c r="M3" s="108" t="str">
        <f>IF('(4).Midterm Results'!F3=0,"",'(4).Midterm Results'!F3)</f>
        <v/>
      </c>
      <c r="N3" s="108" t="str">
        <f>IF('(4).Midterm Results'!G3=0,"",'(4).Midterm Results'!G3)</f>
        <v/>
      </c>
      <c r="O3" s="108" t="str">
        <f>IF('(4).Midterm Results'!H3=0,"",'(4).Midterm Results'!H3)</f>
        <v/>
      </c>
      <c r="P3" s="108" t="str">
        <f>IF('(4).Midterm Results'!I3=0,"",'(4).Midterm Results'!I3)</f>
        <v/>
      </c>
      <c r="Q3" s="108" t="str">
        <f>IF('(4).Midterm Results'!J3=0,"",'(4).Midterm Results'!J3)</f>
        <v/>
      </c>
      <c r="R3" s="108" t="str">
        <f>IF('(4).Midterm Results'!K3=0,"",'(4).Midterm Results'!K3)</f>
        <v/>
      </c>
      <c r="S3" s="108" t="str">
        <f>IF('(4).Midterm Results'!L3=0,"",'(4).Midterm Results'!L3)</f>
        <v/>
      </c>
      <c r="T3" s="108" t="str">
        <f>IF('(4).Midterm Results'!M3=0,"",'(4).Midterm Results'!M3)</f>
        <v/>
      </c>
      <c r="U3" s="108" t="str">
        <f>IF('(4).Midterm Results'!N3=0,"",'(4).Midterm Results'!N3)</f>
        <v/>
      </c>
      <c r="V3" s="108" t="str">
        <f>IF('(4).Midterm Results'!O3=0,"",'(4).Midterm Results'!O3)</f>
        <v/>
      </c>
    </row>
    <row r="4" spans="1:22" ht="12.4" customHeight="1">
      <c r="A4" s="245" t="s">
        <v>14</v>
      </c>
      <c r="B4" s="240" t="s">
        <v>125</v>
      </c>
      <c r="C4" s="241"/>
      <c r="D4" s="102" t="s">
        <v>126</v>
      </c>
      <c r="E4" s="109" t="s">
        <v>127</v>
      </c>
      <c r="F4" s="102" t="s">
        <v>128</v>
      </c>
      <c r="H4" s="108" t="str">
        <f>IF('(4).Midterm Results'!A4=0,"",'(4).Midterm Results'!A4)</f>
        <v>Room:</v>
      </c>
      <c r="I4" s="108">
        <f>IF('(4).Midterm Results'!B4=0,"",'(4).Midterm Results'!B4)</f>
        <v>5</v>
      </c>
      <c r="J4" s="108" t="str">
        <f>IF('(4).Midterm Results'!C4=0,"",'(4).Midterm Results'!C4)</f>
        <v/>
      </c>
      <c r="K4" s="108" t="str">
        <f>IF('(4).Midterm Results'!D4=0,"",'(4).Midterm Results'!D4)</f>
        <v>MIDTERM</v>
      </c>
      <c r="L4" s="108" t="str">
        <f>IF('(4).Midterm Results'!E4=0,"",'(4).Midterm Results'!E4)</f>
        <v>MIDTERM EXAM</v>
      </c>
      <c r="M4" s="108" t="str">
        <f>IF('(4).Midterm Results'!F4=0,"",'(4).Midterm Results'!F4)</f>
        <v/>
      </c>
      <c r="N4" s="108" t="str">
        <f>IF('(4).Midterm Results'!G4=0,"",'(4).Midterm Results'!G4)</f>
        <v/>
      </c>
      <c r="O4" s="108" t="str">
        <f>IF('(4).Midterm Results'!H4=0,"",'(4).Midterm Results'!H4)</f>
        <v/>
      </c>
      <c r="P4" s="108" t="str">
        <f>IF('(4).Midterm Results'!I4=0,"",'(4).Midterm Results'!I4)</f>
        <v/>
      </c>
      <c r="Q4" s="108" t="str">
        <f>IF('(4).Midterm Results'!J4=0,"",'(4).Midterm Results'!J4)</f>
        <v/>
      </c>
      <c r="R4" s="108" t="str">
        <f>IF('(4).Midterm Results'!K4=0,"",'(4).Midterm Results'!K4)</f>
        <v/>
      </c>
      <c r="S4" s="108" t="str">
        <f>IF('(4).Midterm Results'!L4=0,"",'(4).Midterm Results'!L4)</f>
        <v/>
      </c>
      <c r="T4" s="108" t="str">
        <f>IF('(4).Midterm Results'!M4=0,"",'(4).Midterm Results'!M4)</f>
        <v/>
      </c>
      <c r="U4" s="108" t="str">
        <f>IF('(4).Midterm Results'!N4=0,"",'(4).Midterm Results'!N4)</f>
        <v/>
      </c>
      <c r="V4" s="108" t="str">
        <f>IF('(4).Midterm Results'!O4=0,"",'(4).Midterm Results'!O4)</f>
        <v>TOTAL</v>
      </c>
    </row>
    <row r="5" spans="1:22" ht="12.4" customHeight="1">
      <c r="A5" s="246"/>
      <c r="B5" s="240" t="s">
        <v>129</v>
      </c>
      <c r="C5" s="241"/>
      <c r="D5" s="102">
        <v>100</v>
      </c>
      <c r="E5" s="110" cm="1">
        <f t="array" ref="E5:E16">TRANSPOSE(K7:V7)</f>
        <v>85.875</v>
      </c>
      <c r="F5" s="104" t="str">
        <f>IF(E5="","",IF(E5&lt;D5*60%,"Try harder",""))</f>
        <v/>
      </c>
      <c r="H5" s="108" t="str">
        <f>IF('(4).Midterm Results'!A5=0,"",'(4).Midterm Results'!A5)</f>
        <v>Tr:</v>
      </c>
      <c r="I5" s="108" t="str">
        <f>IF('(4).Midterm Results'!B5=0,"",'(4).Midterm Results'!B5)</f>
        <v>Hong Leeheng</v>
      </c>
      <c r="J5" s="108" t="str">
        <f>IF('(4).Midterm Results'!C5=0,"",'(4).Midterm Results'!C5)</f>
        <v/>
      </c>
      <c r="K5" s="108" t="str">
        <f>IF('(4).Midterm Results'!D5=0,"",'(4).Midterm Results'!D5)</f>
        <v>DAILY</v>
      </c>
      <c r="L5" s="108" t="str">
        <f>IF('(4).Midterm Results'!E5=0,"",'(4).Midterm Results'!E5)</f>
        <v>Up-Low C</v>
      </c>
      <c r="M5" s="108" t="str">
        <f>IF('(4).Midterm Results'!F5=0,"",'(4).Midterm Results'!F5)</f>
        <v>Alphabet N</v>
      </c>
      <c r="N5" s="108" t="str">
        <f>IF('(4).Midterm Results'!G5=0,"",'(4).Midterm Results'!G5)</f>
        <v>Alphabet S</v>
      </c>
      <c r="O5" s="108" t="str">
        <f>IF('(4).Midterm Results'!H5=0,"",'(4).Midterm Results'!H5)</f>
        <v>Vocabulary</v>
      </c>
      <c r="P5" s="108" t="str">
        <f>IF('(4).Midterm Results'!I5=0,"",'(4).Midterm Results'!I5)</f>
        <v>Sprouts</v>
      </c>
      <c r="Q5" s="108" t="str">
        <f>IF('(4).Midterm Results'!J5=0,"",'(4).Midterm Results'!J5)</f>
        <v>Phonics</v>
      </c>
      <c r="R5" s="108" t="str">
        <f>IF('(4).Midterm Results'!K5=0,"",'(4).Midterm Results'!K5)</f>
        <v>Math</v>
      </c>
      <c r="S5" s="108" t="str">
        <f>IF('(4).Midterm Results'!L5=0,"",'(4).Midterm Results'!L5)</f>
        <v>Shape</v>
      </c>
      <c r="T5" s="108" t="str">
        <f>IF('(4).Midterm Results'!M5=0,"",'(4).Midterm Results'!M5)</f>
        <v>Science</v>
      </c>
      <c r="U5" s="108" t="str">
        <f>IF('(4).Midterm Results'!N5=0,"",'(4).Midterm Results'!N5)</f>
        <v>Tracing</v>
      </c>
      <c r="V5" s="108" t="str">
        <f>IF('(4).Midterm Results'!O5=0,"",'(4).Midterm Results'!O5)</f>
        <v>SCORES</v>
      </c>
    </row>
    <row r="6" spans="1:22" ht="12.4" customHeight="1">
      <c r="A6" s="246"/>
      <c r="B6" s="242" t="s">
        <v>132</v>
      </c>
      <c r="C6" s="133" t="str" cm="1">
        <f t="array" ref="C6:C15">TRANSPOSE($L$5:$U$5)</f>
        <v>Up-Low C</v>
      </c>
      <c r="D6" s="134">
        <v>10</v>
      </c>
      <c r="E6" s="135">
        <v>9</v>
      </c>
      <c r="F6" s="136" t="str">
        <f t="shared" ref="F6:F16" si="0">IF(E6="","",IF(E6&lt;D6*60%,"Try harder",""))</f>
        <v/>
      </c>
      <c r="H6" s="108" t="str">
        <f>IF('(4).Midterm Results'!A6=0,"",'(4).Midterm Results'!A6)</f>
        <v>NO</v>
      </c>
      <c r="I6" s="108" t="str">
        <f>IF('(4).Midterm Results'!B6=0,"",'(4).Midterm Results'!B6)</f>
        <v>NAME</v>
      </c>
      <c r="J6" s="108" t="str">
        <f>IF('(4).Midterm Results'!C6=0,"",'(4).Midterm Results'!C6)</f>
        <v>SEX</v>
      </c>
      <c r="K6" s="108" t="str">
        <f>IF('(4).Midterm Results'!D6=0,"",'(4).Midterm Results'!D6)</f>
        <v>100 points</v>
      </c>
      <c r="L6" s="108" t="str">
        <f>IF('(4).Midterm Results'!E6=0,"",'(4).Midterm Results'!E6)</f>
        <v>10 points</v>
      </c>
      <c r="M6" s="108" t="str">
        <f>IF('(4).Midterm Results'!F6=0,"",'(4).Midterm Results'!F6)</f>
        <v>10 points</v>
      </c>
      <c r="N6" s="108" t="str">
        <f>IF('(4).Midterm Results'!G6=0,"",'(4).Midterm Results'!G6)</f>
        <v>10 points</v>
      </c>
      <c r="O6" s="108" t="str">
        <f>IF('(4).Midterm Results'!H6=0,"",'(4).Midterm Results'!H6)</f>
        <v>10 points</v>
      </c>
      <c r="P6" s="108" t="str">
        <f>IF('(4).Midterm Results'!I6=0,"",'(4).Midterm Results'!I6)</f>
        <v>10 points</v>
      </c>
      <c r="Q6" s="108" t="str">
        <f>IF('(4).Midterm Results'!J6=0,"",'(4).Midterm Results'!J6)</f>
        <v>10 points</v>
      </c>
      <c r="R6" s="108" t="str">
        <f>IF('(4).Midterm Results'!K6=0,"",'(4).Midterm Results'!K6)</f>
        <v>10 points</v>
      </c>
      <c r="S6" s="108" t="str">
        <f>IF('(4).Midterm Results'!L6=0,"",'(4).Midterm Results'!L6)</f>
        <v>10 points</v>
      </c>
      <c r="T6" s="108" t="str">
        <f>IF('(4).Midterm Results'!M6=0,"",'(4).Midterm Results'!M6)</f>
        <v>10 points</v>
      </c>
      <c r="U6" s="108" t="str">
        <f>IF('(4).Midterm Results'!N6=0,"",'(4).Midterm Results'!N6)</f>
        <v>10 points</v>
      </c>
      <c r="V6" s="108" t="str">
        <f>IF('(4).Midterm Results'!O6=0,"",'(4).Midterm Results'!O6)</f>
        <v>100 points</v>
      </c>
    </row>
    <row r="7" spans="1:22" ht="12.4" customHeight="1">
      <c r="A7" s="246"/>
      <c r="B7" s="243"/>
      <c r="C7" s="137" t="str">
        <v>Alphabet N</v>
      </c>
      <c r="D7" s="138">
        <v>10</v>
      </c>
      <c r="E7" s="139">
        <v>8.5</v>
      </c>
      <c r="F7" s="140" t="str">
        <f t="shared" si="0"/>
        <v/>
      </c>
      <c r="H7" s="108">
        <f>IF('(4).Midterm Results'!A7=0,"",'(4).Midterm Results'!A7)</f>
        <v>1</v>
      </c>
      <c r="I7" s="108" t="str">
        <f>IF('(4).Midterm Results'!B7=0,"",'(4).Midterm Results'!B7)</f>
        <v>Chhim Chansithika</v>
      </c>
      <c r="J7" s="108" t="str">
        <f>IF('(4).Midterm Results'!C7=0,"",'(4).Midterm Results'!C7)</f>
        <v>F</v>
      </c>
      <c r="K7" s="108">
        <f>IF('(4).Midterm Results'!D7=0,"",'(4).Midterm Results'!D7)</f>
        <v>85.875</v>
      </c>
      <c r="L7" s="108">
        <f>IF('(4).Midterm Results'!E7=0,"",'(4).Midterm Results'!E7)</f>
        <v>9</v>
      </c>
      <c r="M7" s="108">
        <f>IF('(4).Midterm Results'!F7=0,"",'(4).Midterm Results'!F7)</f>
        <v>8.5</v>
      </c>
      <c r="N7" s="108">
        <f>IF('(4).Midterm Results'!G7=0,"",'(4).Midterm Results'!G7)</f>
        <v>10</v>
      </c>
      <c r="O7" s="108">
        <f>IF('(4).Midterm Results'!H7=0,"",'(4).Midterm Results'!H7)</f>
        <v>5.5</v>
      </c>
      <c r="P7" s="108">
        <f>IF('(4).Midterm Results'!I7=0,"",'(4).Midterm Results'!I7)</f>
        <v>7.5</v>
      </c>
      <c r="Q7" s="108">
        <f>IF('(4).Midterm Results'!J7=0,"",'(4).Midterm Results'!J7)</f>
        <v>9</v>
      </c>
      <c r="R7" s="108">
        <f>IF('(4).Midterm Results'!K7=0,"",'(4).Midterm Results'!K7)</f>
        <v>10</v>
      </c>
      <c r="S7" s="108">
        <f>IF('(4).Midterm Results'!L7=0,"",'(4).Midterm Results'!L7)</f>
        <v>10</v>
      </c>
      <c r="T7" s="108">
        <f>IF('(4).Midterm Results'!M7=0,"",'(4).Midterm Results'!M7)</f>
        <v>10</v>
      </c>
      <c r="U7" s="108">
        <f>IF('(4).Midterm Results'!N7=0,"",'(4).Midterm Results'!N7)</f>
        <v>8</v>
      </c>
      <c r="V7" s="108">
        <f>IF('(4).Midterm Results'!O7=0,"",'(4).Midterm Results'!O7)</f>
        <v>87.174999999999997</v>
      </c>
    </row>
    <row r="8" spans="1:22" ht="12.4" customHeight="1">
      <c r="A8" s="246"/>
      <c r="B8" s="243"/>
      <c r="C8" s="137" t="str">
        <v>Alphabet S</v>
      </c>
      <c r="D8" s="138">
        <v>10</v>
      </c>
      <c r="E8" s="139">
        <v>10</v>
      </c>
      <c r="F8" s="140" t="str">
        <f t="shared" si="0"/>
        <v/>
      </c>
      <c r="H8" s="108">
        <f>IF('(4).Midterm Results'!A8=0,"",'(4).Midterm Results'!A8)</f>
        <v>2</v>
      </c>
      <c r="I8" s="108" t="str">
        <f>IF('(4).Midterm Results'!B8=0,"",'(4).Midterm Results'!B8)</f>
        <v>Chhout Senghour</v>
      </c>
      <c r="J8" s="108" t="str">
        <f>IF('(4).Midterm Results'!C8=0,"",'(4).Midterm Results'!C8)</f>
        <v>M</v>
      </c>
      <c r="K8" s="108">
        <f>IF('(4).Midterm Results'!D8=0,"",'(4).Midterm Results'!D8)</f>
        <v>67.25</v>
      </c>
      <c r="L8" s="108">
        <f>IF('(4).Midterm Results'!E8=0,"",'(4).Midterm Results'!E8)</f>
        <v>6.5</v>
      </c>
      <c r="M8" s="108">
        <f>IF('(4).Midterm Results'!F8=0,"",'(4).Midterm Results'!F8)</f>
        <v>6.75</v>
      </c>
      <c r="N8" s="108">
        <f>IF('(4).Midterm Results'!G8=0,"",'(4).Midterm Results'!G8)</f>
        <v>3</v>
      </c>
      <c r="O8" s="108">
        <f>IF('(4).Midterm Results'!H8=0,"",'(4).Midterm Results'!H8)</f>
        <v>5</v>
      </c>
      <c r="P8" s="108">
        <f>IF('(4).Midterm Results'!I8=0,"",'(4).Midterm Results'!I8)</f>
        <v>2</v>
      </c>
      <c r="Q8" s="108">
        <f>IF('(4).Midterm Results'!J8=0,"",'(4).Midterm Results'!J8)</f>
        <v>6</v>
      </c>
      <c r="R8" s="108">
        <f>IF('(4).Midterm Results'!K8=0,"",'(4).Midterm Results'!K8)</f>
        <v>10</v>
      </c>
      <c r="S8" s="108">
        <f>IF('(4).Midterm Results'!L8=0,"",'(4).Midterm Results'!L8)</f>
        <v>7</v>
      </c>
      <c r="T8" s="108">
        <f>IF('(4).Midterm Results'!M8=0,"",'(4).Midterm Results'!M8)</f>
        <v>6</v>
      </c>
      <c r="U8" s="108">
        <f>IF('(4).Midterm Results'!N8=0,"",'(4).Midterm Results'!N8)</f>
        <v>8</v>
      </c>
      <c r="V8" s="108">
        <f>IF('(4).Midterm Results'!O8=0,"",'(4).Midterm Results'!O8)</f>
        <v>61.650000000000006</v>
      </c>
    </row>
    <row r="9" spans="1:22" ht="12.4" customHeight="1">
      <c r="A9" s="246"/>
      <c r="B9" s="243"/>
      <c r="C9" s="137" t="str">
        <v>Vocabulary</v>
      </c>
      <c r="D9" s="138">
        <v>10</v>
      </c>
      <c r="E9" s="139">
        <v>5.5</v>
      </c>
      <c r="F9" s="140" t="str">
        <f t="shared" si="0"/>
        <v>Try harder</v>
      </c>
      <c r="H9" s="108">
        <f>IF('(4).Midterm Results'!A9=0,"",'(4).Midterm Results'!A9)</f>
        <v>3</v>
      </c>
      <c r="I9" s="108" t="str">
        <f>IF('(4).Midterm Results'!B9=0,"",'(4).Midterm Results'!B9)</f>
        <v>Det Phouri</v>
      </c>
      <c r="J9" s="108" t="str">
        <f>IF('(4).Midterm Results'!C9=0,"",'(4).Midterm Results'!C9)</f>
        <v>M</v>
      </c>
      <c r="K9" s="108">
        <f>IF('(4).Midterm Results'!D9=0,"",'(4).Midterm Results'!D9)</f>
        <v>89.625</v>
      </c>
      <c r="L9" s="108">
        <f>IF('(4).Midterm Results'!E9=0,"",'(4).Midterm Results'!E9)</f>
        <v>9</v>
      </c>
      <c r="M9" s="108">
        <f>IF('(4).Midterm Results'!F9=0,"",'(4).Midterm Results'!F9)</f>
        <v>9</v>
      </c>
      <c r="N9" s="108">
        <f>IF('(4).Midterm Results'!G9=0,"",'(4).Midterm Results'!G9)</f>
        <v>8.25</v>
      </c>
      <c r="O9" s="108">
        <f>IF('(4).Midterm Results'!H9=0,"",'(4).Midterm Results'!H9)</f>
        <v>8</v>
      </c>
      <c r="P9" s="108">
        <f>IF('(4).Midterm Results'!I9=0,"",'(4).Midterm Results'!I9)</f>
        <v>7.25</v>
      </c>
      <c r="Q9" s="108">
        <f>IF('(4).Midterm Results'!J9=0,"",'(4).Midterm Results'!J9)</f>
        <v>9</v>
      </c>
      <c r="R9" s="108">
        <f>IF('(4).Midterm Results'!K9=0,"",'(4).Midterm Results'!K9)</f>
        <v>10</v>
      </c>
      <c r="S9" s="108">
        <f>IF('(4).Midterm Results'!L9=0,"",'(4).Midterm Results'!L9)</f>
        <v>8</v>
      </c>
      <c r="T9" s="108">
        <f>IF('(4).Midterm Results'!M9=0,"",'(4).Midterm Results'!M9)</f>
        <v>10</v>
      </c>
      <c r="U9" s="108">
        <f>IF('(4).Midterm Results'!N9=0,"",'(4).Midterm Results'!N9)</f>
        <v>8.5</v>
      </c>
      <c r="V9" s="108">
        <f>IF('(4).Midterm Results'!O9=0,"",'(4).Midterm Results'!O9)</f>
        <v>87.525000000000006</v>
      </c>
    </row>
    <row r="10" spans="1:22" ht="12.4" customHeight="1">
      <c r="A10" s="247" t="s">
        <v>131</v>
      </c>
      <c r="B10" s="243"/>
      <c r="C10" s="137" t="str">
        <v>Sprouts</v>
      </c>
      <c r="D10" s="138">
        <v>10</v>
      </c>
      <c r="E10" s="139">
        <v>7.5</v>
      </c>
      <c r="F10" s="140" t="str">
        <f t="shared" si="0"/>
        <v/>
      </c>
      <c r="H10" s="108">
        <f>IF('(4).Midterm Results'!A10=0,"",'(4).Midterm Results'!A10)</f>
        <v>4</v>
      </c>
      <c r="I10" s="108" t="str">
        <f>IF('(4).Midterm Results'!B10=0,"",'(4).Midterm Results'!B10)</f>
        <v>Dy Chanto</v>
      </c>
      <c r="J10" s="108" t="str">
        <f>IF('(4).Midterm Results'!C10=0,"",'(4).Midterm Results'!C10)</f>
        <v>M</v>
      </c>
      <c r="K10" s="108">
        <f>IF('(4).Midterm Results'!D10=0,"",'(4).Midterm Results'!D10)</f>
        <v>49</v>
      </c>
      <c r="L10" s="108">
        <f>IF('(4).Midterm Results'!E10=0,"",'(4).Midterm Results'!E10)</f>
        <v>6.5</v>
      </c>
      <c r="M10" s="108">
        <f>IF('(4).Midterm Results'!F10=0,"",'(4).Midterm Results'!F10)</f>
        <v>4</v>
      </c>
      <c r="N10" s="108">
        <f>IF('(4).Midterm Results'!G10=0,"",'(4).Midterm Results'!G10)</f>
        <v>0.5</v>
      </c>
      <c r="O10" s="108">
        <f>IF('(4).Midterm Results'!H10=0,"",'(4).Midterm Results'!H10)</f>
        <v>5.5</v>
      </c>
      <c r="P10" s="108">
        <f>IF('(4).Midterm Results'!I10=0,"",'(4).Midterm Results'!I10)</f>
        <v>3</v>
      </c>
      <c r="Q10" s="108">
        <f>IF('(4).Midterm Results'!J10=0,"",'(4).Midterm Results'!J10)</f>
        <v>2</v>
      </c>
      <c r="R10" s="108">
        <f>IF('(4).Midterm Results'!K10=0,"",'(4).Midterm Results'!K10)</f>
        <v>10</v>
      </c>
      <c r="S10" s="108">
        <f>IF('(4).Midterm Results'!L10=0,"",'(4).Midterm Results'!L10)</f>
        <v>9</v>
      </c>
      <c r="T10" s="108">
        <f>IF('(4).Midterm Results'!M10=0,"",'(4).Midterm Results'!M10)</f>
        <v>6.5</v>
      </c>
      <c r="U10" s="108">
        <f>IF('(4).Midterm Results'!N10=0,"",'(4).Midterm Results'!N10)</f>
        <v>8</v>
      </c>
      <c r="V10" s="108">
        <f>IF('(4).Midterm Results'!O10=0,"",'(4).Midterm Results'!O10)</f>
        <v>53.8</v>
      </c>
    </row>
    <row r="11" spans="1:22" ht="12.4" customHeight="1">
      <c r="A11" s="247"/>
      <c r="B11" s="243"/>
      <c r="C11" s="137" t="str">
        <v>Phonics</v>
      </c>
      <c r="D11" s="138">
        <v>10</v>
      </c>
      <c r="E11" s="139">
        <v>9</v>
      </c>
      <c r="F11" s="140" t="str">
        <f t="shared" si="0"/>
        <v/>
      </c>
      <c r="H11" s="108">
        <f>IF('(4).Midterm Results'!A11=0,"",'(4).Midterm Results'!A11)</f>
        <v>5</v>
      </c>
      <c r="I11" s="108" t="str">
        <f>IF('(4).Midterm Results'!B11=0,"",'(4).Midterm Results'!B11)</f>
        <v>Dy Meyly</v>
      </c>
      <c r="J11" s="108" t="str">
        <f>IF('(4).Midterm Results'!C11=0,"",'(4).Midterm Results'!C11)</f>
        <v>F</v>
      </c>
      <c r="K11" s="108">
        <f>IF('(4).Midterm Results'!D11=0,"",'(4).Midterm Results'!D11)</f>
        <v>96.625</v>
      </c>
      <c r="L11" s="108">
        <f>IF('(4).Midterm Results'!E11=0,"",'(4).Midterm Results'!E11)</f>
        <v>10</v>
      </c>
      <c r="M11" s="108">
        <f>IF('(4).Midterm Results'!F11=0,"",'(4).Midterm Results'!F11)</f>
        <v>10</v>
      </c>
      <c r="N11" s="108">
        <f>IF('(4).Midterm Results'!G11=0,"",'(4).Midterm Results'!G11)</f>
        <v>10</v>
      </c>
      <c r="O11" s="108">
        <f>IF('(4).Midterm Results'!H11=0,"",'(4).Midterm Results'!H11)</f>
        <v>10</v>
      </c>
      <c r="P11" s="108">
        <f>IF('(4).Midterm Results'!I11=0,"",'(4).Midterm Results'!I11)</f>
        <v>10</v>
      </c>
      <c r="Q11" s="108">
        <f>IF('(4).Midterm Results'!J11=0,"",'(4).Midterm Results'!J11)</f>
        <v>10</v>
      </c>
      <c r="R11" s="108">
        <f>IF('(4).Midterm Results'!K11=0,"",'(4).Midterm Results'!K11)</f>
        <v>10</v>
      </c>
      <c r="S11" s="108">
        <f>IF('(4).Midterm Results'!L11=0,"",'(4).Midterm Results'!L11)</f>
        <v>10</v>
      </c>
      <c r="T11" s="108">
        <f>IF('(4).Midterm Results'!M11=0,"",'(4).Midterm Results'!M11)</f>
        <v>10</v>
      </c>
      <c r="U11" s="108">
        <f>IF('(4).Midterm Results'!N11=0,"",'(4).Midterm Results'!N11)</f>
        <v>10</v>
      </c>
      <c r="V11" s="108">
        <f>IF('(4).Midterm Results'!O11=0,"",'(4).Midterm Results'!O11)</f>
        <v>99.325000000000003</v>
      </c>
    </row>
    <row r="12" spans="1:22" ht="12.4" customHeight="1">
      <c r="A12" s="247"/>
      <c r="B12" s="243"/>
      <c r="C12" s="137" t="str">
        <v>Math</v>
      </c>
      <c r="D12" s="138">
        <v>10</v>
      </c>
      <c r="E12" s="139">
        <v>10</v>
      </c>
      <c r="F12" s="140" t="str">
        <f t="shared" si="0"/>
        <v/>
      </c>
      <c r="H12" s="108">
        <f>IF('(4).Midterm Results'!A12=0,"",'(4).Midterm Results'!A12)</f>
        <v>6</v>
      </c>
      <c r="I12" s="108" t="str">
        <f>IF('(4).Midterm Results'!B12=0,"",'(4).Midterm Results'!B12)</f>
        <v>Heang Limhak</v>
      </c>
      <c r="J12" s="108" t="str">
        <f>IF('(4).Midterm Results'!C12=0,"",'(4).Midterm Results'!C12)</f>
        <v>M</v>
      </c>
      <c r="K12" s="108">
        <f>IF('(4).Midterm Results'!D12=0,"",'(4).Midterm Results'!D12)</f>
        <v>83.25</v>
      </c>
      <c r="L12" s="108">
        <f>IF('(4).Midterm Results'!E12=0,"",'(4).Midterm Results'!E12)</f>
        <v>9.75</v>
      </c>
      <c r="M12" s="108">
        <f>IF('(4).Midterm Results'!F12=0,"",'(4).Midterm Results'!F12)</f>
        <v>8.75</v>
      </c>
      <c r="N12" s="108">
        <f>IF('(4).Midterm Results'!G12=0,"",'(4).Midterm Results'!G12)</f>
        <v>9.5</v>
      </c>
      <c r="O12" s="108">
        <f>IF('(4).Midterm Results'!H12=0,"",'(4).Midterm Results'!H12)</f>
        <v>8</v>
      </c>
      <c r="P12" s="108">
        <f>IF('(4).Midterm Results'!I12=0,"",'(4).Midterm Results'!I12)</f>
        <v>5</v>
      </c>
      <c r="Q12" s="108">
        <f>IF('(4).Midterm Results'!J12=0,"",'(4).Midterm Results'!J12)</f>
        <v>10</v>
      </c>
      <c r="R12" s="108">
        <f>IF('(4).Midterm Results'!K12=0,"",'(4).Midterm Results'!K12)</f>
        <v>7</v>
      </c>
      <c r="S12" s="108">
        <f>IF('(4).Midterm Results'!L12=0,"",'(4).Midterm Results'!L12)</f>
        <v>7</v>
      </c>
      <c r="T12" s="108">
        <f>IF('(4).Midterm Results'!M12=0,"",'(4).Midterm Results'!M12)</f>
        <v>9</v>
      </c>
      <c r="U12" s="108">
        <f>IF('(4).Midterm Results'!N12=0,"",'(4).Midterm Results'!N12)</f>
        <v>9.5</v>
      </c>
      <c r="V12" s="108">
        <f>IF('(4).Midterm Results'!O12=0,"",'(4).Midterm Results'!O12)</f>
        <v>83.45</v>
      </c>
    </row>
    <row r="13" spans="1:22" ht="12.4" customHeight="1">
      <c r="A13" s="247"/>
      <c r="B13" s="243"/>
      <c r="C13" s="137" t="str">
        <v>Shape</v>
      </c>
      <c r="D13" s="138">
        <v>10</v>
      </c>
      <c r="E13" s="139">
        <v>10</v>
      </c>
      <c r="F13" s="140" t="str">
        <f t="shared" si="0"/>
        <v/>
      </c>
      <c r="H13" s="108">
        <f>IF('(4).Midterm Results'!A13=0,"",'(4).Midterm Results'!A13)</f>
        <v>7</v>
      </c>
      <c r="I13" s="108" t="str">
        <f>IF('(4).Midterm Results'!B13=0,"",'(4).Midterm Results'!B13)</f>
        <v>Keo Tepsatsjak</v>
      </c>
      <c r="J13" s="108" t="str">
        <f>IF('(4).Midterm Results'!C13=0,"",'(4).Midterm Results'!C13)</f>
        <v>M</v>
      </c>
      <c r="K13" s="108">
        <f>IF('(4).Midterm Results'!D13=0,"",'(4).Midterm Results'!D13)</f>
        <v>91.5</v>
      </c>
      <c r="L13" s="108">
        <f>IF('(4).Midterm Results'!E13=0,"",'(4).Midterm Results'!E13)</f>
        <v>9</v>
      </c>
      <c r="M13" s="108">
        <f>IF('(4).Midterm Results'!F13=0,"",'(4).Midterm Results'!F13)</f>
        <v>8.5</v>
      </c>
      <c r="N13" s="108">
        <f>IF('(4).Midterm Results'!G13=0,"",'(4).Midterm Results'!G13)</f>
        <v>10</v>
      </c>
      <c r="O13" s="108">
        <f>IF('(4).Midterm Results'!H13=0,"",'(4).Midterm Results'!H13)</f>
        <v>9.5</v>
      </c>
      <c r="P13" s="108">
        <f>IF('(4).Midterm Results'!I13=0,"",'(4).Midterm Results'!I13)</f>
        <v>9</v>
      </c>
      <c r="Q13" s="108">
        <f>IF('(4).Midterm Results'!J13=0,"",'(4).Midterm Results'!J13)</f>
        <v>10</v>
      </c>
      <c r="R13" s="108">
        <f>IF('(4).Midterm Results'!K13=0,"",'(4).Midterm Results'!K13)</f>
        <v>10</v>
      </c>
      <c r="S13" s="108">
        <f>IF('(4).Midterm Results'!L13=0,"",'(4).Midterm Results'!L13)</f>
        <v>10</v>
      </c>
      <c r="T13" s="108">
        <f>IF('(4).Midterm Results'!M13=0,"",'(4).Midterm Results'!M13)</f>
        <v>10</v>
      </c>
      <c r="U13" s="108">
        <f>IF('(4).Midterm Results'!N13=0,"",'(4).Midterm Results'!N13)</f>
        <v>9.75</v>
      </c>
      <c r="V13" s="108">
        <f>IF('(4).Midterm Results'!O13=0,"",'(4).Midterm Results'!O13)</f>
        <v>94.9</v>
      </c>
    </row>
    <row r="14" spans="1:22" ht="12.4" customHeight="1">
      <c r="A14" s="247"/>
      <c r="B14" s="243"/>
      <c r="C14" s="137" t="str">
        <v>Science</v>
      </c>
      <c r="D14" s="138">
        <v>10</v>
      </c>
      <c r="E14" s="139">
        <v>10</v>
      </c>
      <c r="F14" s="140" t="str">
        <f t="shared" si="0"/>
        <v/>
      </c>
      <c r="H14" s="108">
        <f>IF('(4).Midterm Results'!A14=0,"",'(4).Midterm Results'!A14)</f>
        <v>8</v>
      </c>
      <c r="I14" s="108" t="str">
        <f>IF('(4).Midterm Results'!B14=0,"",'(4).Midterm Results'!B14)</f>
        <v>Kong Yonghae</v>
      </c>
      <c r="J14" s="108" t="str">
        <f>IF('(4).Midterm Results'!C14=0,"",'(4).Midterm Results'!C14)</f>
        <v>M</v>
      </c>
      <c r="K14" s="108">
        <f>IF('(4).Midterm Results'!D14=0,"",'(4).Midterm Results'!D14)</f>
        <v>91</v>
      </c>
      <c r="L14" s="108">
        <f>IF('(4).Midterm Results'!E14=0,"",'(4).Midterm Results'!E14)</f>
        <v>10</v>
      </c>
      <c r="M14" s="108">
        <f>IF('(4).Midterm Results'!F14=0,"",'(4).Midterm Results'!F14)</f>
        <v>9.25</v>
      </c>
      <c r="N14" s="108">
        <f>IF('(4).Midterm Results'!G14=0,"",'(4).Midterm Results'!G14)</f>
        <v>9.75</v>
      </c>
      <c r="O14" s="108">
        <f>IF('(4).Midterm Results'!H14=0,"",'(4).Midterm Results'!H14)</f>
        <v>10</v>
      </c>
      <c r="P14" s="108">
        <f>IF('(4).Midterm Results'!I14=0,"",'(4).Midterm Results'!I14)</f>
        <v>9</v>
      </c>
      <c r="Q14" s="108">
        <f>IF('(4).Midterm Results'!J14=0,"",'(4).Midterm Results'!J14)</f>
        <v>10</v>
      </c>
      <c r="R14" s="108">
        <f>IF('(4).Midterm Results'!K14=0,"",'(4).Midterm Results'!K14)</f>
        <v>10</v>
      </c>
      <c r="S14" s="108">
        <f>IF('(4).Midterm Results'!L14=0,"",'(4).Midterm Results'!L14)</f>
        <v>10</v>
      </c>
      <c r="T14" s="108">
        <f>IF('(4).Midterm Results'!M14=0,"",'(4).Midterm Results'!M14)</f>
        <v>10</v>
      </c>
      <c r="U14" s="108">
        <f>IF('(4).Midterm Results'!N14=0,"",'(4).Midterm Results'!N14)</f>
        <v>10</v>
      </c>
      <c r="V14" s="108">
        <f>IF('(4).Midterm Results'!O14=0,"",'(4).Midterm Results'!O14)</f>
        <v>96.600000000000009</v>
      </c>
    </row>
    <row r="15" spans="1:22" ht="12.4" customHeight="1">
      <c r="A15" s="247"/>
      <c r="B15" s="244"/>
      <c r="C15" s="141" t="str">
        <v>Tracing</v>
      </c>
      <c r="D15" s="142">
        <v>10</v>
      </c>
      <c r="E15" s="143">
        <v>8</v>
      </c>
      <c r="F15" s="144" t="str">
        <f t="shared" si="0"/>
        <v/>
      </c>
      <c r="H15" s="108">
        <f>IF('(4).Midterm Results'!A15=0,"",'(4).Midterm Results'!A15)</f>
        <v>9</v>
      </c>
      <c r="I15" s="108" t="str">
        <f>IF('(4).Midterm Results'!B15=0,"",'(4).Midterm Results'!B15)</f>
        <v>Lim Davymulika</v>
      </c>
      <c r="J15" s="108" t="str">
        <f>IF('(4).Midterm Results'!C15=0,"",'(4).Midterm Results'!C15)</f>
        <v>F</v>
      </c>
      <c r="K15" s="108">
        <f>IF('(4).Midterm Results'!D15=0,"",'(4).Midterm Results'!D15)</f>
        <v>60.875</v>
      </c>
      <c r="L15" s="108">
        <f>IF('(4).Midterm Results'!E15=0,"",'(4).Midterm Results'!E15)</f>
        <v>9.5</v>
      </c>
      <c r="M15" s="108">
        <f>IF('(4).Midterm Results'!F15=0,"",'(4).Midterm Results'!F15)</f>
        <v>7</v>
      </c>
      <c r="N15" s="108">
        <f>IF('(4).Midterm Results'!G15=0,"",'(4).Midterm Results'!G15)</f>
        <v>9</v>
      </c>
      <c r="O15" s="108">
        <f>IF('(4).Midterm Results'!H15=0,"",'(4).Midterm Results'!H15)</f>
        <v>6</v>
      </c>
      <c r="P15" s="108">
        <f>IF('(4).Midterm Results'!I15=0,"",'(4).Midterm Results'!I15)</f>
        <v>7.75</v>
      </c>
      <c r="Q15" s="108">
        <f>IF('(4).Midterm Results'!J15=0,"",'(4).Midterm Results'!J15)</f>
        <v>7</v>
      </c>
      <c r="R15" s="108">
        <f>IF('(4).Midterm Results'!K15=0,"",'(4).Midterm Results'!K15)</f>
        <v>10</v>
      </c>
      <c r="S15" s="108">
        <f>IF('(4).Midterm Results'!L15=0,"",'(4).Midterm Results'!L15)</f>
        <v>7</v>
      </c>
      <c r="T15" s="108">
        <f>IF('(4).Midterm Results'!M15=0,"",'(4).Midterm Results'!M15)</f>
        <v>10</v>
      </c>
      <c r="U15" s="108">
        <f>IF('(4).Midterm Results'!N15=0,"",'(4).Midterm Results'!N15)</f>
        <v>9</v>
      </c>
      <c r="V15" s="108">
        <f>IF('(4).Midterm Results'!O15=0,"",'(4).Midterm Results'!O15)</f>
        <v>77.974999999999994</v>
      </c>
    </row>
    <row r="16" spans="1:22" ht="12.4" customHeight="1">
      <c r="A16" s="248"/>
      <c r="B16" s="240" t="s">
        <v>133</v>
      </c>
      <c r="C16" s="241"/>
      <c r="D16" s="103">
        <f>D5*20%+SUM(D6:D15)*80%</f>
        <v>100</v>
      </c>
      <c r="E16" s="110">
        <v>87.174999999999997</v>
      </c>
      <c r="F16" s="104" t="str">
        <f t="shared" si="0"/>
        <v/>
      </c>
      <c r="H16" s="108">
        <f>IF('(4).Midterm Results'!A16=0,"",'(4).Midterm Results'!A16)</f>
        <v>10</v>
      </c>
      <c r="I16" s="108" t="str">
        <f>IF('(4).Midterm Results'!B16=0,"",'(4).Midterm Results'!B16)</f>
        <v>Lot SamAngvichara</v>
      </c>
      <c r="J16" s="108" t="str">
        <f>IF('(4).Midterm Results'!C16=0,"",'(4).Midterm Results'!C16)</f>
        <v>F</v>
      </c>
      <c r="K16" s="108">
        <f>IF('(4).Midterm Results'!D16=0,"",'(4).Midterm Results'!D16)</f>
        <v>93.5</v>
      </c>
      <c r="L16" s="108">
        <f>IF('(4).Midterm Results'!E16=0,"",'(4).Midterm Results'!E16)</f>
        <v>9</v>
      </c>
      <c r="M16" s="108">
        <f>IF('(4).Midterm Results'!F16=0,"",'(4).Midterm Results'!F16)</f>
        <v>9.5</v>
      </c>
      <c r="N16" s="108">
        <f>IF('(4).Midterm Results'!G16=0,"",'(4).Midterm Results'!G16)</f>
        <v>10</v>
      </c>
      <c r="O16" s="108">
        <f>IF('(4).Midterm Results'!H16=0,"",'(4).Midterm Results'!H16)</f>
        <v>10</v>
      </c>
      <c r="P16" s="108">
        <f>IF('(4).Midterm Results'!I16=0,"",'(4).Midterm Results'!I16)</f>
        <v>10</v>
      </c>
      <c r="Q16" s="108">
        <f>IF('(4).Midterm Results'!J16=0,"",'(4).Midterm Results'!J16)</f>
        <v>10</v>
      </c>
      <c r="R16" s="108">
        <f>IF('(4).Midterm Results'!K16=0,"",'(4).Midterm Results'!K16)</f>
        <v>10</v>
      </c>
      <c r="S16" s="108">
        <f>IF('(4).Midterm Results'!L16=0,"",'(4).Midterm Results'!L16)</f>
        <v>10</v>
      </c>
      <c r="T16" s="108">
        <f>IF('(4).Midterm Results'!M16=0,"",'(4).Midterm Results'!M16)</f>
        <v>10</v>
      </c>
      <c r="U16" s="108">
        <f>IF('(4).Midterm Results'!N16=0,"",'(4).Midterm Results'!N16)</f>
        <v>9</v>
      </c>
      <c r="V16" s="108">
        <f>IF('(4).Midterm Results'!O16=0,"",'(4).Midterm Results'!O16)</f>
        <v>96.7</v>
      </c>
    </row>
    <row r="17" spans="1:22" ht="12.4" customHeight="1">
      <c r="H17" s="108">
        <f>IF('(4).Midterm Results'!A17=0,"",'(4).Midterm Results'!A17)</f>
        <v>11</v>
      </c>
      <c r="I17" s="108" t="str">
        <f>IF('(4).Midterm Results'!B17=0,"",'(4).Midterm Results'!B17)</f>
        <v>Lot Vichheka</v>
      </c>
      <c r="J17" s="108" t="str">
        <f>IF('(4).Midterm Results'!C17=0,"",'(4).Midterm Results'!C17)</f>
        <v>M</v>
      </c>
      <c r="K17" s="108">
        <f>IF('(4).Midterm Results'!D17=0,"",'(4).Midterm Results'!D17)</f>
        <v>92</v>
      </c>
      <c r="L17" s="108">
        <f>IF('(4).Midterm Results'!E17=0,"",'(4).Midterm Results'!E17)</f>
        <v>9.5</v>
      </c>
      <c r="M17" s="108">
        <f>IF('(4).Midterm Results'!F17=0,"",'(4).Midterm Results'!F17)</f>
        <v>10</v>
      </c>
      <c r="N17" s="108">
        <f>IF('(4).Midterm Results'!G17=0,"",'(4).Midterm Results'!G17)</f>
        <v>10</v>
      </c>
      <c r="O17" s="108">
        <f>IF('(4).Midterm Results'!H17=0,"",'(4).Midterm Results'!H17)</f>
        <v>10</v>
      </c>
      <c r="P17" s="108">
        <f>IF('(4).Midterm Results'!I17=0,"",'(4).Midterm Results'!I17)</f>
        <v>10</v>
      </c>
      <c r="Q17" s="108">
        <f>IF('(4).Midterm Results'!J17=0,"",'(4).Midterm Results'!J17)</f>
        <v>10</v>
      </c>
      <c r="R17" s="108">
        <f>IF('(4).Midterm Results'!K17=0,"",'(4).Midterm Results'!K17)</f>
        <v>10</v>
      </c>
      <c r="S17" s="108">
        <f>IF('(4).Midterm Results'!L17=0,"",'(4).Midterm Results'!L17)</f>
        <v>10</v>
      </c>
      <c r="T17" s="108">
        <f>IF('(4).Midterm Results'!M17=0,"",'(4).Midterm Results'!M17)</f>
        <v>10</v>
      </c>
      <c r="U17" s="108">
        <f>IF('(4).Midterm Results'!N17=0,"",'(4).Midterm Results'!N17)</f>
        <v>9.75</v>
      </c>
      <c r="V17" s="108">
        <f>IF('(4).Midterm Results'!O17=0,"",'(4).Midterm Results'!O17)</f>
        <v>97.800000000000011</v>
      </c>
    </row>
    <row r="18" spans="1:22" ht="12.4" customHeight="1">
      <c r="A18" s="230" t="s">
        <v>121</v>
      </c>
      <c r="B18" s="231"/>
      <c r="C18" s="231"/>
      <c r="D18" s="107" t="s">
        <v>123</v>
      </c>
      <c r="E18" s="232" t="str">
        <f>I8</f>
        <v>Chhout Senghour</v>
      </c>
      <c r="F18" s="233"/>
      <c r="G18" s="101">
        <v>8</v>
      </c>
      <c r="H18" s="108">
        <f>IF('(4).Midterm Results'!A18=0,"",'(4).Midterm Results'!A18)</f>
        <v>12</v>
      </c>
      <c r="I18" s="108" t="str">
        <f>IF('(4).Midterm Results'!B18=0,"",'(4).Midterm Results'!B18)</f>
        <v>Ly Kanha</v>
      </c>
      <c r="J18" s="108" t="str">
        <f>IF('(4).Midterm Results'!C18=0,"",'(4).Midterm Results'!C18)</f>
        <v>F</v>
      </c>
      <c r="K18" s="108">
        <f>IF('(4).Midterm Results'!D18=0,"",'(4).Midterm Results'!D18)</f>
        <v>89.5</v>
      </c>
      <c r="L18" s="108">
        <f>IF('(4).Midterm Results'!E18=0,"",'(4).Midterm Results'!E18)</f>
        <v>8</v>
      </c>
      <c r="M18" s="108">
        <f>IF('(4).Midterm Results'!F18=0,"",'(4).Midterm Results'!F18)</f>
        <v>8.5</v>
      </c>
      <c r="N18" s="108">
        <f>IF('(4).Midterm Results'!G18=0,"",'(4).Midterm Results'!G18)</f>
        <v>10</v>
      </c>
      <c r="O18" s="108">
        <f>IF('(4).Midterm Results'!H18=0,"",'(4).Midterm Results'!H18)</f>
        <v>9</v>
      </c>
      <c r="P18" s="108">
        <f>IF('(4).Midterm Results'!I18=0,"",'(4).Midterm Results'!I18)</f>
        <v>9</v>
      </c>
      <c r="Q18" s="108">
        <f>IF('(4).Midterm Results'!J18=0,"",'(4).Midterm Results'!J18)</f>
        <v>9</v>
      </c>
      <c r="R18" s="108">
        <f>IF('(4).Midterm Results'!K18=0,"",'(4).Midterm Results'!K18)</f>
        <v>10</v>
      </c>
      <c r="S18" s="108">
        <f>IF('(4).Midterm Results'!L18=0,"",'(4).Midterm Results'!L18)</f>
        <v>10</v>
      </c>
      <c r="T18" s="108">
        <f>IF('(4).Midterm Results'!M18=0,"",'(4).Midterm Results'!M18)</f>
        <v>8</v>
      </c>
      <c r="U18" s="108">
        <f>IF('(4).Midterm Results'!N18=0,"",'(4).Midterm Results'!N18)</f>
        <v>10</v>
      </c>
      <c r="V18" s="108">
        <f>IF('(4).Midterm Results'!O18=0,"",'(4).Midterm Results'!O18)</f>
        <v>91.100000000000009</v>
      </c>
    </row>
    <row r="19" spans="1:22" ht="12.4" customHeight="1">
      <c r="A19" s="105" t="s">
        <v>122</v>
      </c>
      <c r="B19" s="234" t="str">
        <f>$K$2</f>
        <v>FEBRUARY - JULY 2026</v>
      </c>
      <c r="C19" s="234"/>
      <c r="D19" s="106" t="s">
        <v>124</v>
      </c>
      <c r="E19" s="235" t="str">
        <f>$I$2</f>
        <v>K1B</v>
      </c>
      <c r="F19" s="236"/>
      <c r="H19" s="108">
        <f>IF('(4).Midterm Results'!A19=0,"",'(4).Midterm Results'!A19)</f>
        <v>13</v>
      </c>
      <c r="I19" s="108" t="str">
        <f>IF('(4).Midterm Results'!B19=0,"",'(4).Midterm Results'!B19)</f>
        <v>Ly Sanmoniroth</v>
      </c>
      <c r="J19" s="108" t="str">
        <f>IF('(4).Midterm Results'!C19=0,"",'(4).Midterm Results'!C19)</f>
        <v>F</v>
      </c>
      <c r="K19" s="108">
        <f>IF('(4).Midterm Results'!D19=0,"",'(4).Midterm Results'!D19)</f>
        <v>69</v>
      </c>
      <c r="L19" s="108">
        <f>IF('(4).Midterm Results'!E19=0,"",'(4).Midterm Results'!E19)</f>
        <v>8</v>
      </c>
      <c r="M19" s="108">
        <f>IF('(4).Midterm Results'!F19=0,"",'(4).Midterm Results'!F19)</f>
        <v>7.75</v>
      </c>
      <c r="N19" s="108">
        <f>IF('(4).Midterm Results'!G19=0,"",'(4).Midterm Results'!G19)</f>
        <v>9.5</v>
      </c>
      <c r="O19" s="108">
        <f>IF('(4).Midterm Results'!H19=0,"",'(4).Midterm Results'!H19)</f>
        <v>8</v>
      </c>
      <c r="P19" s="108">
        <f>IF('(4).Midterm Results'!I19=0,"",'(4).Midterm Results'!I19)</f>
        <v>7</v>
      </c>
      <c r="Q19" s="108">
        <f>IF('(4).Midterm Results'!J19=0,"",'(4).Midterm Results'!J19)</f>
        <v>9</v>
      </c>
      <c r="R19" s="108">
        <f>IF('(4).Midterm Results'!K19=0,"",'(4).Midterm Results'!K19)</f>
        <v>9.5</v>
      </c>
      <c r="S19" s="108">
        <f>IF('(4).Midterm Results'!L19=0,"",'(4).Midterm Results'!L19)</f>
        <v>6</v>
      </c>
      <c r="T19" s="108">
        <f>IF('(4).Midterm Results'!M19=0,"",'(4).Midterm Results'!M19)</f>
        <v>9</v>
      </c>
      <c r="U19" s="108">
        <f>IF('(4).Midterm Results'!N19=0,"",'(4).Midterm Results'!N19)</f>
        <v>9</v>
      </c>
      <c r="V19" s="108">
        <f>IF('(4).Midterm Results'!O19=0,"",'(4).Midterm Results'!O19)</f>
        <v>80</v>
      </c>
    </row>
    <row r="20" spans="1:22" ht="12.4" customHeight="1">
      <c r="A20" s="237" t="s">
        <v>130</v>
      </c>
      <c r="B20" s="238"/>
      <c r="C20" s="238"/>
      <c r="D20" s="238"/>
      <c r="E20" s="238"/>
      <c r="F20" s="239"/>
      <c r="H20" s="108">
        <f>IF('(4).Midterm Results'!A20=0,"",'(4).Midterm Results'!A20)</f>
        <v>14</v>
      </c>
      <c r="I20" s="108" t="str">
        <f>IF('(4).Midterm Results'!B20=0,"",'(4).Midterm Results'!B20)</f>
        <v>Noun Thoreakrith</v>
      </c>
      <c r="J20" s="108" t="str">
        <f>IF('(4).Midterm Results'!C20=0,"",'(4).Midterm Results'!C20)</f>
        <v>M</v>
      </c>
      <c r="K20" s="108">
        <f>IF('(4).Midterm Results'!D20=0,"",'(4).Midterm Results'!D20)</f>
        <v>85</v>
      </c>
      <c r="L20" s="108">
        <f>IF('(4).Midterm Results'!E20=0,"",'(4).Midterm Results'!E20)</f>
        <v>9</v>
      </c>
      <c r="M20" s="108">
        <f>IF('(4).Midterm Results'!F20=0,"",'(4).Midterm Results'!F20)</f>
        <v>8</v>
      </c>
      <c r="N20" s="108">
        <f>IF('(4).Midterm Results'!G20=0,"",'(4).Midterm Results'!G20)</f>
        <v>8.5</v>
      </c>
      <c r="O20" s="108">
        <f>IF('(4).Midterm Results'!H20=0,"",'(4).Midterm Results'!H20)</f>
        <v>8</v>
      </c>
      <c r="P20" s="108">
        <f>IF('(4).Midterm Results'!I20=0,"",'(4).Midterm Results'!I20)</f>
        <v>7.5</v>
      </c>
      <c r="Q20" s="108">
        <f>IF('(4).Midterm Results'!J20=0,"",'(4).Midterm Results'!J20)</f>
        <v>10</v>
      </c>
      <c r="R20" s="108">
        <f>IF('(4).Midterm Results'!K20=0,"",'(4).Midterm Results'!K20)</f>
        <v>10</v>
      </c>
      <c r="S20" s="108">
        <f>IF('(4).Midterm Results'!L20=0,"",'(4).Midterm Results'!L20)</f>
        <v>10</v>
      </c>
      <c r="T20" s="108">
        <f>IF('(4).Midterm Results'!M20=0,"",'(4).Midterm Results'!M20)</f>
        <v>10</v>
      </c>
      <c r="U20" s="108">
        <f>IF('(4).Midterm Results'!N20=0,"",'(4).Midterm Results'!N20)</f>
        <v>9.5</v>
      </c>
      <c r="V20" s="108">
        <f>IF('(4).Midterm Results'!O20=0,"",'(4).Midterm Results'!O20)</f>
        <v>89.4</v>
      </c>
    </row>
    <row r="21" spans="1:22" ht="12.4" customHeight="1">
      <c r="A21" s="245" t="s">
        <v>14</v>
      </c>
      <c r="B21" s="240" t="s">
        <v>125</v>
      </c>
      <c r="C21" s="241"/>
      <c r="D21" s="102" t="s">
        <v>126</v>
      </c>
      <c r="E21" s="109" t="s">
        <v>127</v>
      </c>
      <c r="F21" s="102" t="s">
        <v>128</v>
      </c>
      <c r="H21" s="108">
        <f>IF('(4).Midterm Results'!A21=0,"",'(4).Midterm Results'!A21)</f>
        <v>15</v>
      </c>
      <c r="I21" s="108" t="str">
        <f>IF('(4).Midterm Results'!B21=0,"",'(4).Midterm Results'!B21)</f>
        <v>OL Amara</v>
      </c>
      <c r="J21" s="108" t="str">
        <f>IF('(4).Midterm Results'!C21=0,"",'(4).Midterm Results'!C21)</f>
        <v>F</v>
      </c>
      <c r="K21" s="108">
        <f>IF('(4).Midterm Results'!D21=0,"",'(4).Midterm Results'!D21)</f>
        <v>93.75</v>
      </c>
      <c r="L21" s="108">
        <f>IF('(4).Midterm Results'!E21=0,"",'(4).Midterm Results'!E21)</f>
        <v>10</v>
      </c>
      <c r="M21" s="108">
        <f>IF('(4).Midterm Results'!F21=0,"",'(4).Midterm Results'!F21)</f>
        <v>9</v>
      </c>
      <c r="N21" s="108">
        <f>IF('(4).Midterm Results'!G21=0,"",'(4).Midterm Results'!G21)</f>
        <v>10</v>
      </c>
      <c r="O21" s="108">
        <f>IF('(4).Midterm Results'!H21=0,"",'(4).Midterm Results'!H21)</f>
        <v>10</v>
      </c>
      <c r="P21" s="108">
        <f>IF('(4).Midterm Results'!I21=0,"",'(4).Midterm Results'!I21)</f>
        <v>9</v>
      </c>
      <c r="Q21" s="108">
        <f>IF('(4).Midterm Results'!J21=0,"",'(4).Midterm Results'!J21)</f>
        <v>10</v>
      </c>
      <c r="R21" s="108">
        <f>IF('(4).Midterm Results'!K21=0,"",'(4).Midterm Results'!K21)</f>
        <v>10</v>
      </c>
      <c r="S21" s="108">
        <f>IF('(4).Midterm Results'!L21=0,"",'(4).Midterm Results'!L21)</f>
        <v>10</v>
      </c>
      <c r="T21" s="108">
        <f>IF('(4).Midterm Results'!M21=0,"",'(4).Midterm Results'!M21)</f>
        <v>10</v>
      </c>
      <c r="U21" s="108">
        <f>IF('(4).Midterm Results'!N21=0,"",'(4).Midterm Results'!N21)</f>
        <v>10</v>
      </c>
      <c r="V21" s="108">
        <f>IF('(4).Midterm Results'!O21=0,"",'(4).Midterm Results'!O21)</f>
        <v>97.15</v>
      </c>
    </row>
    <row r="22" spans="1:22" ht="12.4" customHeight="1">
      <c r="A22" s="246"/>
      <c r="B22" s="240" t="s">
        <v>129</v>
      </c>
      <c r="C22" s="241"/>
      <c r="D22" s="102">
        <v>100</v>
      </c>
      <c r="E22" s="110" cm="1">
        <f t="array" ref="E22:E33">TRANSPOSE(K8:V8)</f>
        <v>67.25</v>
      </c>
      <c r="F22" s="104" t="str">
        <f>IF(E22="","",IF(E22&lt;D22*60%,"Try harder",""))</f>
        <v/>
      </c>
      <c r="H22" s="108">
        <f>IF('(4).Midterm Results'!A22=0,"",'(4).Midterm Results'!A22)</f>
        <v>16</v>
      </c>
      <c r="I22" s="108" t="str">
        <f>IF('(4).Midterm Results'!B22=0,"",'(4).Midterm Results'!B22)</f>
        <v>Prom Monometa</v>
      </c>
      <c r="J22" s="108" t="str">
        <f>IF('(4).Midterm Results'!C22=0,"",'(4).Midterm Results'!C22)</f>
        <v>M</v>
      </c>
      <c r="K22" s="108">
        <f>IF('(4).Midterm Results'!D22=0,"",'(4).Midterm Results'!D22)</f>
        <v>77.25</v>
      </c>
      <c r="L22" s="108">
        <f>IF('(4).Midterm Results'!E22=0,"",'(4).Midterm Results'!E22)</f>
        <v>9.5</v>
      </c>
      <c r="M22" s="108">
        <f>IF('(4).Midterm Results'!F22=0,"",'(4).Midterm Results'!F22)</f>
        <v>7.5</v>
      </c>
      <c r="N22" s="108">
        <f>IF('(4).Midterm Results'!G22=0,"",'(4).Midterm Results'!G22)</f>
        <v>8.5</v>
      </c>
      <c r="O22" s="108">
        <f>IF('(4).Midterm Results'!H22=0,"",'(4).Midterm Results'!H22)</f>
        <v>5</v>
      </c>
      <c r="P22" s="108">
        <f>IF('(4).Midterm Results'!I22=0,"",'(4).Midterm Results'!I22)</f>
        <v>6</v>
      </c>
      <c r="Q22" s="108">
        <f>IF('(4).Midterm Results'!J22=0,"",'(4).Midterm Results'!J22)</f>
        <v>9</v>
      </c>
      <c r="R22" s="108">
        <f>IF('(4).Midterm Results'!K22=0,"",'(4).Midterm Results'!K22)</f>
        <v>10</v>
      </c>
      <c r="S22" s="108">
        <f>IF('(4).Midterm Results'!L22=0,"",'(4).Midterm Results'!L22)</f>
        <v>8</v>
      </c>
      <c r="T22" s="108">
        <f>IF('(4).Midterm Results'!M22=0,"",'(4).Midterm Results'!M22)</f>
        <v>9</v>
      </c>
      <c r="U22" s="108">
        <f>IF('(4).Midterm Results'!N22=0,"",'(4).Midterm Results'!N22)</f>
        <v>9</v>
      </c>
      <c r="V22" s="108">
        <f>IF('(4).Midterm Results'!O22=0,"",'(4).Midterm Results'!O22)</f>
        <v>80.650000000000006</v>
      </c>
    </row>
    <row r="23" spans="1:22" ht="12.4" customHeight="1">
      <c r="A23" s="246"/>
      <c r="B23" s="242" t="s">
        <v>132</v>
      </c>
      <c r="C23" s="133" t="str" cm="1">
        <f t="array" ref="C23:C32">TRANSPOSE($L$5:$U$5)</f>
        <v>Up-Low C</v>
      </c>
      <c r="D23" s="134">
        <v>10</v>
      </c>
      <c r="E23" s="135">
        <v>6.5</v>
      </c>
      <c r="F23" s="136" t="str">
        <f t="shared" ref="F23:F33" si="1">IF(E23="","",IF(E23&lt;D23*60%,"Try harder",""))</f>
        <v/>
      </c>
      <c r="H23" s="108">
        <f>IF('(4).Midterm Results'!A23=0,"",'(4).Midterm Results'!A23)</f>
        <v>17</v>
      </c>
      <c r="I23" s="108" t="str">
        <f>IF('(4).Midterm Results'!B23=0,"",'(4).Midterm Results'!B23)</f>
        <v>Seng Moamunyriangsey</v>
      </c>
      <c r="J23" s="108" t="str">
        <f>IF('(4).Midterm Results'!C23=0,"",'(4).Midterm Results'!C23)</f>
        <v>F</v>
      </c>
      <c r="K23" s="108">
        <f>IF('(4).Midterm Results'!D23=0,"",'(4).Midterm Results'!D23)</f>
        <v>73.625</v>
      </c>
      <c r="L23" s="108">
        <f>IF('(4).Midterm Results'!E23=0,"",'(4).Midterm Results'!E23)</f>
        <v>8</v>
      </c>
      <c r="M23" s="108">
        <f>IF('(4).Midterm Results'!F23=0,"",'(4).Midterm Results'!F23)</f>
        <v>8.5</v>
      </c>
      <c r="N23" s="108">
        <f>IF('(4).Midterm Results'!G23=0,"",'(4).Midterm Results'!G23)</f>
        <v>8</v>
      </c>
      <c r="O23" s="108">
        <f>IF('(4).Midterm Results'!H23=0,"",'(4).Midterm Results'!H23)</f>
        <v>5</v>
      </c>
      <c r="P23" s="108">
        <f>IF('(4).Midterm Results'!I23=0,"",'(4).Midterm Results'!I23)</f>
        <v>6</v>
      </c>
      <c r="Q23" s="108">
        <f>IF('(4).Midterm Results'!J23=0,"",'(4).Midterm Results'!J23)</f>
        <v>8</v>
      </c>
      <c r="R23" s="108">
        <f>IF('(4).Midterm Results'!K23=0,"",'(4).Midterm Results'!K23)</f>
        <v>10</v>
      </c>
      <c r="S23" s="108">
        <f>IF('(4).Midterm Results'!L23=0,"",'(4).Midterm Results'!L23)</f>
        <v>8</v>
      </c>
      <c r="T23" s="108">
        <f>IF('(4).Midterm Results'!M23=0,"",'(4).Midterm Results'!M23)</f>
        <v>9</v>
      </c>
      <c r="U23" s="108">
        <f>IF('(4).Midterm Results'!N23=0,"",'(4).Midterm Results'!N23)</f>
        <v>8.5</v>
      </c>
      <c r="V23" s="108">
        <f>IF('(4).Midterm Results'!O23=0,"",'(4).Midterm Results'!O23)</f>
        <v>77.925000000000011</v>
      </c>
    </row>
    <row r="24" spans="1:22" ht="12.4" customHeight="1">
      <c r="A24" s="246"/>
      <c r="B24" s="243"/>
      <c r="C24" s="137" t="str">
        <v>Alphabet N</v>
      </c>
      <c r="D24" s="138">
        <v>10</v>
      </c>
      <c r="E24" s="139">
        <v>6.75</v>
      </c>
      <c r="F24" s="140" t="str">
        <f t="shared" si="1"/>
        <v/>
      </c>
      <c r="H24" s="108">
        <f>IF('(4).Midterm Results'!A24=0,"",'(4).Midterm Results'!A24)</f>
        <v>18</v>
      </c>
      <c r="I24" s="108" t="str">
        <f>IF('(4).Midterm Results'!B24=0,"",'(4).Midterm Results'!B24)</f>
        <v>Thuy Chanmeylinh</v>
      </c>
      <c r="J24" s="108" t="str">
        <f>IF('(4).Midterm Results'!C24=0,"",'(4).Midterm Results'!C24)</f>
        <v>F</v>
      </c>
      <c r="K24" s="108">
        <f>IF('(4).Midterm Results'!D24=0,"",'(4).Midterm Results'!D24)</f>
        <v>97</v>
      </c>
      <c r="L24" s="108">
        <f>IF('(4).Midterm Results'!E24=0,"",'(4).Midterm Results'!E24)</f>
        <v>9</v>
      </c>
      <c r="M24" s="108">
        <f>IF('(4).Midterm Results'!F24=0,"",'(4).Midterm Results'!F24)</f>
        <v>9.75</v>
      </c>
      <c r="N24" s="108">
        <f>IF('(4).Midterm Results'!G24=0,"",'(4).Midterm Results'!G24)</f>
        <v>10</v>
      </c>
      <c r="O24" s="108">
        <f>IF('(4).Midterm Results'!H24=0,"",'(4).Midterm Results'!H24)</f>
        <v>9</v>
      </c>
      <c r="P24" s="108">
        <f>IF('(4).Midterm Results'!I24=0,"",'(4).Midterm Results'!I24)</f>
        <v>10</v>
      </c>
      <c r="Q24" s="108">
        <f>IF('(4).Midterm Results'!J24=0,"",'(4).Midterm Results'!J24)</f>
        <v>10</v>
      </c>
      <c r="R24" s="108">
        <f>IF('(4).Midterm Results'!K24=0,"",'(4).Midterm Results'!K24)</f>
        <v>10</v>
      </c>
      <c r="S24" s="108">
        <f>IF('(4).Midterm Results'!L24=0,"",'(4).Midterm Results'!L24)</f>
        <v>10</v>
      </c>
      <c r="T24" s="108">
        <f>IF('(4).Midterm Results'!M24=0,"",'(4).Midterm Results'!M24)</f>
        <v>10</v>
      </c>
      <c r="U24" s="108">
        <f>IF('(4).Midterm Results'!N24=0,"",'(4).Midterm Results'!N24)</f>
        <v>10</v>
      </c>
      <c r="V24" s="108">
        <f>IF('(4).Midterm Results'!O24=0,"",'(4).Midterm Results'!O24)</f>
        <v>97.600000000000009</v>
      </c>
    </row>
    <row r="25" spans="1:22" ht="12.4" customHeight="1">
      <c r="A25" s="246"/>
      <c r="B25" s="243"/>
      <c r="C25" s="137" t="str">
        <v>Alphabet S</v>
      </c>
      <c r="D25" s="138">
        <v>10</v>
      </c>
      <c r="E25" s="139">
        <v>3</v>
      </c>
      <c r="F25" s="140" t="str">
        <f t="shared" si="1"/>
        <v>Try harder</v>
      </c>
      <c r="H25" s="108">
        <f>IF('(4).Midterm Results'!A25=0,"",'(4).Midterm Results'!A25)</f>
        <v>19</v>
      </c>
      <c r="I25" s="108" t="str">
        <f>IF('(4).Midterm Results'!B25=0,"",'(4).Midterm Results'!B25)</f>
        <v>Vy Monineath</v>
      </c>
      <c r="J25" s="108" t="str">
        <f>IF('(4).Midterm Results'!C25=0,"",'(4).Midterm Results'!C25)</f>
        <v>F</v>
      </c>
      <c r="K25" s="108">
        <f>IF('(4).Midterm Results'!D25=0,"",'(4).Midterm Results'!D25)</f>
        <v>96.625</v>
      </c>
      <c r="L25" s="108">
        <f>IF('(4).Midterm Results'!E25=0,"",'(4).Midterm Results'!E25)</f>
        <v>9</v>
      </c>
      <c r="M25" s="108">
        <f>IF('(4).Midterm Results'!F25=0,"",'(4).Midterm Results'!F25)</f>
        <v>10</v>
      </c>
      <c r="N25" s="108">
        <f>IF('(4).Midterm Results'!G25=0,"",'(4).Midterm Results'!G25)</f>
        <v>10</v>
      </c>
      <c r="O25" s="108">
        <f>IF('(4).Midterm Results'!H25=0,"",'(4).Midterm Results'!H25)</f>
        <v>10</v>
      </c>
      <c r="P25" s="108">
        <f>IF('(4).Midterm Results'!I25=0,"",'(4).Midterm Results'!I25)</f>
        <v>9</v>
      </c>
      <c r="Q25" s="108">
        <f>IF('(4).Midterm Results'!J25=0,"",'(4).Midterm Results'!J25)</f>
        <v>10</v>
      </c>
      <c r="R25" s="108">
        <f>IF('(4).Midterm Results'!K25=0,"",'(4).Midterm Results'!K25)</f>
        <v>10</v>
      </c>
      <c r="S25" s="108">
        <f>IF('(4).Midterm Results'!L25=0,"",'(4).Midterm Results'!L25)</f>
        <v>10</v>
      </c>
      <c r="T25" s="108">
        <f>IF('(4).Midterm Results'!M25=0,"",'(4).Midterm Results'!M25)</f>
        <v>10</v>
      </c>
      <c r="U25" s="108">
        <f>IF('(4).Midterm Results'!N25=0,"",'(4).Midterm Results'!N25)</f>
        <v>10</v>
      </c>
      <c r="V25" s="108">
        <f>IF('(4).Midterm Results'!O25=0,"",'(4).Midterm Results'!O25)</f>
        <v>97.725000000000009</v>
      </c>
    </row>
    <row r="26" spans="1:22" ht="12.4" customHeight="1">
      <c r="A26" s="246"/>
      <c r="B26" s="243"/>
      <c r="C26" s="137" t="str">
        <v>Vocabulary</v>
      </c>
      <c r="D26" s="138">
        <v>10</v>
      </c>
      <c r="E26" s="139">
        <v>5</v>
      </c>
      <c r="F26" s="140" t="str">
        <f t="shared" si="1"/>
        <v>Try harder</v>
      </c>
      <c r="H26" s="108">
        <f>IF('(4).Midterm Results'!A26=0,"",'(4).Midterm Results'!A26)</f>
        <v>20</v>
      </c>
      <c r="I26" s="108" t="str">
        <f>IF('(4).Midterm Results'!B26=0,"",'(4).Midterm Results'!B26)</f>
        <v/>
      </c>
      <c r="J26" s="108" t="str">
        <f>IF('(4).Midterm Results'!C26=0,"",'(4).Midterm Results'!C26)</f>
        <v/>
      </c>
      <c r="K26" s="108" t="str">
        <f>IF('(4).Midterm Results'!D26=0,"",'(4).Midterm Results'!D26)</f>
        <v/>
      </c>
      <c r="L26" s="108" t="str">
        <f>IF('(4).Midterm Results'!E26=0,"",'(4).Midterm Results'!E26)</f>
        <v/>
      </c>
      <c r="M26" s="108" t="str">
        <f>IF('(4).Midterm Results'!F26=0,"",'(4).Midterm Results'!F26)</f>
        <v/>
      </c>
      <c r="N26" s="108" t="str">
        <f>IF('(4).Midterm Results'!G26=0,"",'(4).Midterm Results'!G26)</f>
        <v/>
      </c>
      <c r="O26" s="108" t="str">
        <f>IF('(4).Midterm Results'!H26=0,"",'(4).Midterm Results'!H26)</f>
        <v/>
      </c>
      <c r="P26" s="108" t="str">
        <f>IF('(4).Midterm Results'!I26=0,"",'(4).Midterm Results'!I26)</f>
        <v/>
      </c>
      <c r="Q26" s="108" t="str">
        <f>IF('(4).Midterm Results'!J26=0,"",'(4).Midterm Results'!J26)</f>
        <v/>
      </c>
      <c r="R26" s="108" t="str">
        <f>IF('(4).Midterm Results'!K26=0,"",'(4).Midterm Results'!K26)</f>
        <v/>
      </c>
      <c r="S26" s="108" t="str">
        <f>IF('(4).Midterm Results'!L26=0,"",'(4).Midterm Results'!L26)</f>
        <v/>
      </c>
      <c r="T26" s="108" t="str">
        <f>IF('(4).Midterm Results'!M26=0,"",'(4).Midterm Results'!M26)</f>
        <v/>
      </c>
      <c r="U26" s="108" t="str">
        <f>IF('(4).Midterm Results'!N26=0,"",'(4).Midterm Results'!N26)</f>
        <v/>
      </c>
      <c r="V26" s="108" t="str">
        <f>IF('(4).Midterm Results'!O26=0,"",'(4).Midterm Results'!O26)</f>
        <v/>
      </c>
    </row>
    <row r="27" spans="1:22" ht="12.4" customHeight="1">
      <c r="A27" s="247" t="s">
        <v>131</v>
      </c>
      <c r="B27" s="243"/>
      <c r="C27" s="137" t="str">
        <v>Sprouts</v>
      </c>
      <c r="D27" s="138">
        <v>10</v>
      </c>
      <c r="E27" s="139">
        <v>2</v>
      </c>
      <c r="F27" s="140" t="str">
        <f t="shared" si="1"/>
        <v>Try harder</v>
      </c>
      <c r="H27" s="108">
        <f>IF('(4).Midterm Results'!A27=0,"",'(4).Midterm Results'!A27)</f>
        <v>21</v>
      </c>
      <c r="I27" s="108" t="str">
        <f>IF('(4).Midterm Results'!B27=0,"",'(4).Midterm Results'!B27)</f>
        <v/>
      </c>
      <c r="J27" s="108" t="str">
        <f>IF('(4).Midterm Results'!C27=0,"",'(4).Midterm Results'!C27)</f>
        <v/>
      </c>
      <c r="K27" s="108" t="str">
        <f>IF('(4).Midterm Results'!D27=0,"",'(4).Midterm Results'!D27)</f>
        <v/>
      </c>
      <c r="L27" s="108" t="str">
        <f>IF('(4).Midterm Results'!E27=0,"",'(4).Midterm Results'!E27)</f>
        <v/>
      </c>
      <c r="M27" s="108" t="str">
        <f>IF('(4).Midterm Results'!F27=0,"",'(4).Midterm Results'!F27)</f>
        <v/>
      </c>
      <c r="N27" s="108" t="str">
        <f>IF('(4).Midterm Results'!G27=0,"",'(4).Midterm Results'!G27)</f>
        <v/>
      </c>
      <c r="O27" s="108" t="str">
        <f>IF('(4).Midterm Results'!H27=0,"",'(4).Midterm Results'!H27)</f>
        <v/>
      </c>
      <c r="P27" s="108" t="str">
        <f>IF('(4).Midterm Results'!I27=0,"",'(4).Midterm Results'!I27)</f>
        <v/>
      </c>
      <c r="Q27" s="108" t="str">
        <f>IF('(4).Midterm Results'!J27=0,"",'(4).Midterm Results'!J27)</f>
        <v/>
      </c>
      <c r="R27" s="108" t="str">
        <f>IF('(4).Midterm Results'!K27=0,"",'(4).Midterm Results'!K27)</f>
        <v/>
      </c>
      <c r="S27" s="108" t="str">
        <f>IF('(4).Midterm Results'!L27=0,"",'(4).Midterm Results'!L27)</f>
        <v/>
      </c>
      <c r="T27" s="108" t="str">
        <f>IF('(4).Midterm Results'!M27=0,"",'(4).Midterm Results'!M27)</f>
        <v/>
      </c>
      <c r="U27" s="108" t="str">
        <f>IF('(4).Midterm Results'!N27=0,"",'(4).Midterm Results'!N27)</f>
        <v/>
      </c>
      <c r="V27" s="108" t="str">
        <f>IF('(4).Midterm Results'!O27=0,"",'(4).Midterm Results'!O27)</f>
        <v/>
      </c>
    </row>
    <row r="28" spans="1:22" ht="12.4" customHeight="1">
      <c r="A28" s="247"/>
      <c r="B28" s="243"/>
      <c r="C28" s="137" t="str">
        <v>Phonics</v>
      </c>
      <c r="D28" s="138">
        <v>10</v>
      </c>
      <c r="E28" s="139">
        <v>6</v>
      </c>
      <c r="F28" s="140" t="str">
        <f t="shared" si="1"/>
        <v/>
      </c>
      <c r="H28" s="108">
        <f>IF('(4).Midterm Results'!A28=0,"",'(4).Midterm Results'!A28)</f>
        <v>22</v>
      </c>
      <c r="I28" s="108" t="str">
        <f>IF('(4).Midterm Results'!B28=0,"",'(4).Midterm Results'!B28)</f>
        <v/>
      </c>
      <c r="J28" s="108" t="str">
        <f>IF('(4).Midterm Results'!C28=0,"",'(4).Midterm Results'!C28)</f>
        <v/>
      </c>
      <c r="K28" s="108" t="str">
        <f>IF('(4).Midterm Results'!D28=0,"",'(4).Midterm Results'!D28)</f>
        <v/>
      </c>
      <c r="L28" s="108" t="str">
        <f>IF('(4).Midterm Results'!E28=0,"",'(4).Midterm Results'!E28)</f>
        <v/>
      </c>
      <c r="M28" s="108" t="str">
        <f>IF('(4).Midterm Results'!F28=0,"",'(4).Midterm Results'!F28)</f>
        <v/>
      </c>
      <c r="N28" s="108" t="str">
        <f>IF('(4).Midterm Results'!G28=0,"",'(4).Midterm Results'!G28)</f>
        <v/>
      </c>
      <c r="O28" s="108" t="str">
        <f>IF('(4).Midterm Results'!H28=0,"",'(4).Midterm Results'!H28)</f>
        <v/>
      </c>
      <c r="P28" s="108" t="str">
        <f>IF('(4).Midterm Results'!I28=0,"",'(4).Midterm Results'!I28)</f>
        <v/>
      </c>
      <c r="Q28" s="108" t="str">
        <f>IF('(4).Midterm Results'!J28=0,"",'(4).Midterm Results'!J28)</f>
        <v/>
      </c>
      <c r="R28" s="108" t="str">
        <f>IF('(4).Midterm Results'!K28=0,"",'(4).Midterm Results'!K28)</f>
        <v/>
      </c>
      <c r="S28" s="108" t="str">
        <f>IF('(4).Midterm Results'!L28=0,"",'(4).Midterm Results'!L28)</f>
        <v/>
      </c>
      <c r="T28" s="108" t="str">
        <f>IF('(4).Midterm Results'!M28=0,"",'(4).Midterm Results'!M28)</f>
        <v/>
      </c>
      <c r="U28" s="108" t="str">
        <f>IF('(4).Midterm Results'!N28=0,"",'(4).Midterm Results'!N28)</f>
        <v/>
      </c>
      <c r="V28" s="108" t="str">
        <f>IF('(4).Midterm Results'!O28=0,"",'(4).Midterm Results'!O28)</f>
        <v/>
      </c>
    </row>
    <row r="29" spans="1:22" ht="12.4" customHeight="1">
      <c r="A29" s="247"/>
      <c r="B29" s="243"/>
      <c r="C29" s="137" t="str">
        <v>Math</v>
      </c>
      <c r="D29" s="138">
        <v>10</v>
      </c>
      <c r="E29" s="139">
        <v>10</v>
      </c>
      <c r="F29" s="140" t="str">
        <f t="shared" si="1"/>
        <v/>
      </c>
      <c r="H29" s="108">
        <f>IF('(4).Midterm Results'!A29=0,"",'(4).Midterm Results'!A29)</f>
        <v>23</v>
      </c>
      <c r="I29" s="108" t="str">
        <f>IF('(4).Midterm Results'!B29=0,"",'(4).Midterm Results'!B29)</f>
        <v/>
      </c>
      <c r="J29" s="108" t="str">
        <f>IF('(4).Midterm Results'!C29=0,"",'(4).Midterm Results'!C29)</f>
        <v/>
      </c>
      <c r="K29" s="108" t="str">
        <f>IF('(4).Midterm Results'!D29=0,"",'(4).Midterm Results'!D29)</f>
        <v/>
      </c>
      <c r="L29" s="108" t="str">
        <f>IF('(4).Midterm Results'!E29=0,"",'(4).Midterm Results'!E29)</f>
        <v/>
      </c>
      <c r="M29" s="108" t="str">
        <f>IF('(4).Midterm Results'!F29=0,"",'(4).Midterm Results'!F29)</f>
        <v/>
      </c>
      <c r="N29" s="108" t="str">
        <f>IF('(4).Midterm Results'!G29=0,"",'(4).Midterm Results'!G29)</f>
        <v/>
      </c>
      <c r="O29" s="108" t="str">
        <f>IF('(4).Midterm Results'!H29=0,"",'(4).Midterm Results'!H29)</f>
        <v/>
      </c>
      <c r="P29" s="108" t="str">
        <f>IF('(4).Midterm Results'!I29=0,"",'(4).Midterm Results'!I29)</f>
        <v/>
      </c>
      <c r="Q29" s="108" t="str">
        <f>IF('(4).Midterm Results'!J29=0,"",'(4).Midterm Results'!J29)</f>
        <v/>
      </c>
      <c r="R29" s="108" t="str">
        <f>IF('(4).Midterm Results'!K29=0,"",'(4).Midterm Results'!K29)</f>
        <v/>
      </c>
      <c r="S29" s="108" t="str">
        <f>IF('(4).Midterm Results'!L29=0,"",'(4).Midterm Results'!L29)</f>
        <v/>
      </c>
      <c r="T29" s="108" t="str">
        <f>IF('(4).Midterm Results'!M29=0,"",'(4).Midterm Results'!M29)</f>
        <v/>
      </c>
      <c r="U29" s="108" t="str">
        <f>IF('(4).Midterm Results'!N29=0,"",'(4).Midterm Results'!N29)</f>
        <v/>
      </c>
      <c r="V29" s="108" t="str">
        <f>IF('(4).Midterm Results'!O29=0,"",'(4).Midterm Results'!O29)</f>
        <v/>
      </c>
    </row>
    <row r="30" spans="1:22" ht="12.4" customHeight="1">
      <c r="A30" s="247"/>
      <c r="B30" s="243"/>
      <c r="C30" s="137" t="str">
        <v>Shape</v>
      </c>
      <c r="D30" s="138">
        <v>10</v>
      </c>
      <c r="E30" s="139">
        <v>7</v>
      </c>
      <c r="F30" s="140" t="str">
        <f t="shared" si="1"/>
        <v/>
      </c>
      <c r="H30" s="108">
        <f>IF('(4).Midterm Results'!A30=0,"",'(4).Midterm Results'!A30)</f>
        <v>24</v>
      </c>
      <c r="I30" s="108" t="str">
        <f>IF('(4).Midterm Results'!B30=0,"",'(4).Midterm Results'!B30)</f>
        <v/>
      </c>
      <c r="J30" s="108" t="str">
        <f>IF('(4).Midterm Results'!C30=0,"",'(4).Midterm Results'!C30)</f>
        <v/>
      </c>
      <c r="K30" s="108" t="str">
        <f>IF('(4).Midterm Results'!D30=0,"",'(4).Midterm Results'!D30)</f>
        <v/>
      </c>
      <c r="L30" s="108" t="str">
        <f>IF('(4).Midterm Results'!E30=0,"",'(4).Midterm Results'!E30)</f>
        <v/>
      </c>
      <c r="M30" s="108" t="str">
        <f>IF('(4).Midterm Results'!F30=0,"",'(4).Midterm Results'!F30)</f>
        <v/>
      </c>
      <c r="N30" s="108" t="str">
        <f>IF('(4).Midterm Results'!G30=0,"",'(4).Midterm Results'!G30)</f>
        <v/>
      </c>
      <c r="O30" s="108" t="str">
        <f>IF('(4).Midterm Results'!H30=0,"",'(4).Midterm Results'!H30)</f>
        <v/>
      </c>
      <c r="P30" s="108" t="str">
        <f>IF('(4).Midterm Results'!I30=0,"",'(4).Midterm Results'!I30)</f>
        <v/>
      </c>
      <c r="Q30" s="108" t="str">
        <f>IF('(4).Midterm Results'!J30=0,"",'(4).Midterm Results'!J30)</f>
        <v/>
      </c>
      <c r="R30" s="108" t="str">
        <f>IF('(4).Midterm Results'!K30=0,"",'(4).Midterm Results'!K30)</f>
        <v/>
      </c>
      <c r="S30" s="108" t="str">
        <f>IF('(4).Midterm Results'!L30=0,"",'(4).Midterm Results'!L30)</f>
        <v/>
      </c>
      <c r="T30" s="108" t="str">
        <f>IF('(4).Midterm Results'!M30=0,"",'(4).Midterm Results'!M30)</f>
        <v/>
      </c>
      <c r="U30" s="108" t="str">
        <f>IF('(4).Midterm Results'!N30=0,"",'(4).Midterm Results'!N30)</f>
        <v/>
      </c>
      <c r="V30" s="108" t="str">
        <f>IF('(4).Midterm Results'!O30=0,"",'(4).Midterm Results'!O30)</f>
        <v/>
      </c>
    </row>
    <row r="31" spans="1:22" ht="12.4" customHeight="1">
      <c r="A31" s="247"/>
      <c r="B31" s="243"/>
      <c r="C31" s="137" t="str">
        <v>Science</v>
      </c>
      <c r="D31" s="138">
        <v>10</v>
      </c>
      <c r="E31" s="139">
        <v>6</v>
      </c>
      <c r="F31" s="140" t="str">
        <f t="shared" si="1"/>
        <v/>
      </c>
      <c r="H31" s="108">
        <f>IF('(4).Midterm Results'!A31=0,"",'(4).Midterm Results'!A31)</f>
        <v>25</v>
      </c>
      <c r="I31" s="108" t="str">
        <f>IF('(4).Midterm Results'!B31=0,"",'(4).Midterm Results'!B31)</f>
        <v/>
      </c>
      <c r="J31" s="108" t="str">
        <f>IF('(4).Midterm Results'!C31=0,"",'(4).Midterm Results'!C31)</f>
        <v/>
      </c>
      <c r="K31" s="108" t="str">
        <f>IF('(4).Midterm Results'!D31=0,"",'(4).Midterm Results'!D31)</f>
        <v/>
      </c>
      <c r="L31" s="108" t="str">
        <f>IF('(4).Midterm Results'!E31=0,"",'(4).Midterm Results'!E31)</f>
        <v/>
      </c>
      <c r="M31" s="108" t="str">
        <f>IF('(4).Midterm Results'!F31=0,"",'(4).Midterm Results'!F31)</f>
        <v/>
      </c>
      <c r="N31" s="108" t="str">
        <f>IF('(4).Midterm Results'!G31=0,"",'(4).Midterm Results'!G31)</f>
        <v/>
      </c>
      <c r="O31" s="108" t="str">
        <f>IF('(4).Midterm Results'!H31=0,"",'(4).Midterm Results'!H31)</f>
        <v/>
      </c>
      <c r="P31" s="108" t="str">
        <f>IF('(4).Midterm Results'!I31=0,"",'(4).Midterm Results'!I31)</f>
        <v/>
      </c>
      <c r="Q31" s="108" t="str">
        <f>IF('(4).Midterm Results'!J31=0,"",'(4).Midterm Results'!J31)</f>
        <v/>
      </c>
      <c r="R31" s="108" t="str">
        <f>IF('(4).Midterm Results'!K31=0,"",'(4).Midterm Results'!K31)</f>
        <v/>
      </c>
      <c r="S31" s="108" t="str">
        <f>IF('(4).Midterm Results'!L31=0,"",'(4).Midterm Results'!L31)</f>
        <v/>
      </c>
      <c r="T31" s="108" t="str">
        <f>IF('(4).Midterm Results'!M31=0,"",'(4).Midterm Results'!M31)</f>
        <v/>
      </c>
      <c r="U31" s="108" t="str">
        <f>IF('(4).Midterm Results'!N31=0,"",'(4).Midterm Results'!N31)</f>
        <v/>
      </c>
      <c r="V31" s="108" t="str">
        <f>IF('(4).Midterm Results'!O31=0,"",'(4).Midterm Results'!O31)</f>
        <v/>
      </c>
    </row>
    <row r="32" spans="1:22" ht="12.4" customHeight="1">
      <c r="A32" s="247"/>
      <c r="B32" s="244"/>
      <c r="C32" s="141" t="str">
        <v>Tracing</v>
      </c>
      <c r="D32" s="142">
        <v>10</v>
      </c>
      <c r="E32" s="143">
        <v>8</v>
      </c>
      <c r="F32" s="144" t="str">
        <f t="shared" si="1"/>
        <v/>
      </c>
      <c r="H32" s="108">
        <f>IF('(4).Midterm Results'!A32=0,"",'(4).Midterm Results'!A32)</f>
        <v>26</v>
      </c>
      <c r="I32" s="108" t="str">
        <f>IF('(4).Midterm Results'!B32=0,"",'(4).Midterm Results'!B32)</f>
        <v/>
      </c>
      <c r="J32" s="108" t="str">
        <f>IF('(4).Midterm Results'!C32=0,"",'(4).Midterm Results'!C32)</f>
        <v/>
      </c>
      <c r="K32" s="108" t="str">
        <f>IF('(4).Midterm Results'!D32=0,"",'(4).Midterm Results'!D32)</f>
        <v/>
      </c>
      <c r="L32" s="108" t="str">
        <f>IF('(4).Midterm Results'!E32=0,"",'(4).Midterm Results'!E32)</f>
        <v/>
      </c>
      <c r="M32" s="108" t="str">
        <f>IF('(4).Midterm Results'!F32=0,"",'(4).Midterm Results'!F32)</f>
        <v/>
      </c>
      <c r="N32" s="108" t="str">
        <f>IF('(4).Midterm Results'!G32=0,"",'(4).Midterm Results'!G32)</f>
        <v/>
      </c>
      <c r="O32" s="108" t="str">
        <f>IF('(4).Midterm Results'!H32=0,"",'(4).Midterm Results'!H32)</f>
        <v/>
      </c>
      <c r="P32" s="108" t="str">
        <f>IF('(4).Midterm Results'!I32=0,"",'(4).Midterm Results'!I32)</f>
        <v/>
      </c>
      <c r="Q32" s="108" t="str">
        <f>IF('(4).Midterm Results'!J32=0,"",'(4).Midterm Results'!J32)</f>
        <v/>
      </c>
      <c r="R32" s="108" t="str">
        <f>IF('(4).Midterm Results'!K32=0,"",'(4).Midterm Results'!K32)</f>
        <v/>
      </c>
      <c r="S32" s="108" t="str">
        <f>IF('(4).Midterm Results'!L32=0,"",'(4).Midterm Results'!L32)</f>
        <v/>
      </c>
      <c r="T32" s="108" t="str">
        <f>IF('(4).Midterm Results'!M32=0,"",'(4).Midterm Results'!M32)</f>
        <v/>
      </c>
      <c r="U32" s="108" t="str">
        <f>IF('(4).Midterm Results'!N32=0,"",'(4).Midterm Results'!N32)</f>
        <v/>
      </c>
      <c r="V32" s="108" t="str">
        <f>IF('(4).Midterm Results'!O32=0,"",'(4).Midterm Results'!O32)</f>
        <v/>
      </c>
    </row>
    <row r="33" spans="1:22" ht="12.4" customHeight="1">
      <c r="A33" s="248"/>
      <c r="B33" s="240" t="s">
        <v>133</v>
      </c>
      <c r="C33" s="241"/>
      <c r="D33" s="103">
        <f>D22*20%+SUM(D23:D32)*80%</f>
        <v>100</v>
      </c>
      <c r="E33" s="110">
        <v>61.650000000000006</v>
      </c>
      <c r="F33" s="104" t="str">
        <f t="shared" si="1"/>
        <v/>
      </c>
      <c r="H33" s="108">
        <f>IF('(4).Midterm Results'!A33=0,"",'(4).Midterm Results'!A33)</f>
        <v>27</v>
      </c>
      <c r="I33" s="108" t="str">
        <f>IF('(4).Midterm Results'!B33=0,"",'(4).Midterm Results'!B33)</f>
        <v/>
      </c>
      <c r="J33" s="108" t="str">
        <f>IF('(4).Midterm Results'!C33=0,"",'(4).Midterm Results'!C33)</f>
        <v/>
      </c>
      <c r="K33" s="108" t="str">
        <f>IF('(4).Midterm Results'!D33=0,"",'(4).Midterm Results'!D33)</f>
        <v/>
      </c>
      <c r="L33" s="108" t="str">
        <f>IF('(4).Midterm Results'!E33=0,"",'(4).Midterm Results'!E33)</f>
        <v/>
      </c>
      <c r="M33" s="108" t="str">
        <f>IF('(4).Midterm Results'!F33=0,"",'(4).Midterm Results'!F33)</f>
        <v/>
      </c>
      <c r="N33" s="108" t="str">
        <f>IF('(4).Midterm Results'!G33=0,"",'(4).Midterm Results'!G33)</f>
        <v/>
      </c>
      <c r="O33" s="108" t="str">
        <f>IF('(4).Midterm Results'!H33=0,"",'(4).Midterm Results'!H33)</f>
        <v/>
      </c>
      <c r="P33" s="108" t="str">
        <f>IF('(4).Midterm Results'!I33=0,"",'(4).Midterm Results'!I33)</f>
        <v/>
      </c>
      <c r="Q33" s="108" t="str">
        <f>IF('(4).Midterm Results'!J33=0,"",'(4).Midterm Results'!J33)</f>
        <v/>
      </c>
      <c r="R33" s="108" t="str">
        <f>IF('(4).Midterm Results'!K33=0,"",'(4).Midterm Results'!K33)</f>
        <v/>
      </c>
      <c r="S33" s="108" t="str">
        <f>IF('(4).Midterm Results'!L33=0,"",'(4).Midterm Results'!L33)</f>
        <v/>
      </c>
      <c r="T33" s="108" t="str">
        <f>IF('(4).Midterm Results'!M33=0,"",'(4).Midterm Results'!M33)</f>
        <v/>
      </c>
      <c r="U33" s="108" t="str">
        <f>IF('(4).Midterm Results'!N33=0,"",'(4).Midterm Results'!N33)</f>
        <v/>
      </c>
      <c r="V33" s="108" t="str">
        <f>IF('(4).Midterm Results'!O33=0,"",'(4).Midterm Results'!O33)</f>
        <v/>
      </c>
    </row>
    <row r="34" spans="1:22" ht="12.4" customHeight="1">
      <c r="H34" s="108">
        <f>IF('(4).Midterm Results'!A34=0,"",'(4).Midterm Results'!A34)</f>
        <v>28</v>
      </c>
      <c r="I34" s="108" t="str">
        <f>IF('(4).Midterm Results'!B34=0,"",'(4).Midterm Results'!B34)</f>
        <v/>
      </c>
      <c r="J34" s="108" t="str">
        <f>IF('(4).Midterm Results'!C34=0,"",'(4).Midterm Results'!C34)</f>
        <v/>
      </c>
      <c r="K34" s="108" t="str">
        <f>IF('(4).Midterm Results'!D34=0,"",'(4).Midterm Results'!D34)</f>
        <v/>
      </c>
      <c r="L34" s="108" t="str">
        <f>IF('(4).Midterm Results'!E34=0,"",'(4).Midterm Results'!E34)</f>
        <v/>
      </c>
      <c r="M34" s="108" t="str">
        <f>IF('(4).Midterm Results'!F34=0,"",'(4).Midterm Results'!F34)</f>
        <v/>
      </c>
      <c r="N34" s="108" t="str">
        <f>IF('(4).Midterm Results'!G34=0,"",'(4).Midterm Results'!G34)</f>
        <v/>
      </c>
      <c r="O34" s="108" t="str">
        <f>IF('(4).Midterm Results'!H34=0,"",'(4).Midterm Results'!H34)</f>
        <v/>
      </c>
      <c r="P34" s="108" t="str">
        <f>IF('(4).Midterm Results'!I34=0,"",'(4).Midterm Results'!I34)</f>
        <v/>
      </c>
      <c r="Q34" s="108" t="str">
        <f>IF('(4).Midterm Results'!J34=0,"",'(4).Midterm Results'!J34)</f>
        <v/>
      </c>
      <c r="R34" s="108" t="str">
        <f>IF('(4).Midterm Results'!K34=0,"",'(4).Midterm Results'!K34)</f>
        <v/>
      </c>
      <c r="S34" s="108" t="str">
        <f>IF('(4).Midterm Results'!L34=0,"",'(4).Midterm Results'!L34)</f>
        <v/>
      </c>
      <c r="T34" s="108" t="str">
        <f>IF('(4).Midterm Results'!M34=0,"",'(4).Midterm Results'!M34)</f>
        <v/>
      </c>
      <c r="U34" s="108" t="str">
        <f>IF('(4).Midterm Results'!N34=0,"",'(4).Midterm Results'!N34)</f>
        <v/>
      </c>
      <c r="V34" s="108" t="str">
        <f>IF('(4).Midterm Results'!O34=0,"",'(4).Midterm Results'!O34)</f>
        <v/>
      </c>
    </row>
    <row r="35" spans="1:22" ht="12.4" customHeight="1">
      <c r="A35" s="230" t="s">
        <v>121</v>
      </c>
      <c r="B35" s="231"/>
      <c r="C35" s="231"/>
      <c r="D35" s="107" t="s">
        <v>123</v>
      </c>
      <c r="E35" s="232" t="str">
        <f>I9</f>
        <v>Det Phouri</v>
      </c>
      <c r="F35" s="233"/>
      <c r="G35" s="101">
        <v>9</v>
      </c>
      <c r="H35" s="108">
        <f>IF('(4).Midterm Results'!A35=0,"",'(4).Midterm Results'!A35)</f>
        <v>29</v>
      </c>
      <c r="I35" s="108" t="str">
        <f>IF('(4).Midterm Results'!B35=0,"",'(4).Midterm Results'!B35)</f>
        <v/>
      </c>
      <c r="J35" s="108" t="str">
        <f>IF('(4).Midterm Results'!C35=0,"",'(4).Midterm Results'!C35)</f>
        <v/>
      </c>
      <c r="K35" s="108" t="str">
        <f>IF('(4).Midterm Results'!D35=0,"",'(4).Midterm Results'!D35)</f>
        <v/>
      </c>
      <c r="L35" s="108" t="str">
        <f>IF('(4).Midterm Results'!E35=0,"",'(4).Midterm Results'!E35)</f>
        <v/>
      </c>
      <c r="M35" s="108" t="str">
        <f>IF('(4).Midterm Results'!F35=0,"",'(4).Midterm Results'!F35)</f>
        <v/>
      </c>
      <c r="N35" s="108" t="str">
        <f>IF('(4).Midterm Results'!G35=0,"",'(4).Midterm Results'!G35)</f>
        <v/>
      </c>
      <c r="O35" s="108" t="str">
        <f>IF('(4).Midterm Results'!H35=0,"",'(4).Midterm Results'!H35)</f>
        <v/>
      </c>
      <c r="P35" s="108" t="str">
        <f>IF('(4).Midterm Results'!I35=0,"",'(4).Midterm Results'!I35)</f>
        <v/>
      </c>
      <c r="Q35" s="108" t="str">
        <f>IF('(4).Midterm Results'!J35=0,"",'(4).Midterm Results'!J35)</f>
        <v/>
      </c>
      <c r="R35" s="108" t="str">
        <f>IF('(4).Midterm Results'!K35=0,"",'(4).Midterm Results'!K35)</f>
        <v/>
      </c>
      <c r="S35" s="108" t="str">
        <f>IF('(4).Midterm Results'!L35=0,"",'(4).Midterm Results'!L35)</f>
        <v/>
      </c>
      <c r="T35" s="108" t="str">
        <f>IF('(4).Midterm Results'!M35=0,"",'(4).Midterm Results'!M35)</f>
        <v/>
      </c>
      <c r="U35" s="108" t="str">
        <f>IF('(4).Midterm Results'!N35=0,"",'(4).Midterm Results'!N35)</f>
        <v/>
      </c>
      <c r="V35" s="108" t="str">
        <f>IF('(4).Midterm Results'!O35=0,"",'(4).Midterm Results'!O35)</f>
        <v/>
      </c>
    </row>
    <row r="36" spans="1:22" ht="12.4" customHeight="1">
      <c r="A36" s="105" t="s">
        <v>122</v>
      </c>
      <c r="B36" s="234" t="str">
        <f>$K$2</f>
        <v>FEBRUARY - JULY 2026</v>
      </c>
      <c r="C36" s="234"/>
      <c r="D36" s="106" t="s">
        <v>124</v>
      </c>
      <c r="E36" s="235" t="str">
        <f>$I$2</f>
        <v>K1B</v>
      </c>
      <c r="F36" s="236"/>
      <c r="H36" s="108">
        <f>IF('(4).Midterm Results'!A36=0,"",'(4).Midterm Results'!A36)</f>
        <v>30</v>
      </c>
      <c r="I36" s="108" t="str">
        <f>IF('(4).Midterm Results'!B36=0,"",'(4).Midterm Results'!B36)</f>
        <v/>
      </c>
      <c r="J36" s="108" t="str">
        <f>IF('(4).Midterm Results'!C36=0,"",'(4).Midterm Results'!C36)</f>
        <v/>
      </c>
      <c r="K36" s="108" t="str">
        <f>IF('(4).Midterm Results'!D36=0,"",'(4).Midterm Results'!D36)</f>
        <v/>
      </c>
      <c r="L36" s="108" t="str">
        <f>IF('(4).Midterm Results'!E36=0,"",'(4).Midterm Results'!E36)</f>
        <v/>
      </c>
      <c r="M36" s="108" t="str">
        <f>IF('(4).Midterm Results'!F36=0,"",'(4).Midterm Results'!F36)</f>
        <v/>
      </c>
      <c r="N36" s="108" t="str">
        <f>IF('(4).Midterm Results'!G36=0,"",'(4).Midterm Results'!G36)</f>
        <v/>
      </c>
      <c r="O36" s="108" t="str">
        <f>IF('(4).Midterm Results'!H36=0,"",'(4).Midterm Results'!H36)</f>
        <v/>
      </c>
      <c r="P36" s="108" t="str">
        <f>IF('(4).Midterm Results'!I36=0,"",'(4).Midterm Results'!I36)</f>
        <v/>
      </c>
      <c r="Q36" s="108" t="str">
        <f>IF('(4).Midterm Results'!J36=0,"",'(4).Midterm Results'!J36)</f>
        <v/>
      </c>
      <c r="R36" s="108" t="str">
        <f>IF('(4).Midterm Results'!K36=0,"",'(4).Midterm Results'!K36)</f>
        <v/>
      </c>
      <c r="S36" s="108" t="str">
        <f>IF('(4).Midterm Results'!L36=0,"",'(4).Midterm Results'!L36)</f>
        <v/>
      </c>
      <c r="T36" s="108" t="str">
        <f>IF('(4).Midterm Results'!M36=0,"",'(4).Midterm Results'!M36)</f>
        <v/>
      </c>
      <c r="U36" s="108" t="str">
        <f>IF('(4).Midterm Results'!N36=0,"",'(4).Midterm Results'!N36)</f>
        <v/>
      </c>
      <c r="V36" s="108" t="str">
        <f>IF('(4).Midterm Results'!O36=0,"",'(4).Midterm Results'!O36)</f>
        <v/>
      </c>
    </row>
    <row r="37" spans="1:22" ht="12.4" customHeight="1">
      <c r="A37" s="237" t="s">
        <v>130</v>
      </c>
      <c r="B37" s="238"/>
      <c r="C37" s="238"/>
      <c r="D37" s="238"/>
      <c r="E37" s="238"/>
      <c r="F37" s="239"/>
      <c r="H37" s="108" t="str">
        <f>IF('(4).Midterm Results'!A37=0,"",'(4).Midterm Results'!A37)</f>
        <v>Br:</v>
      </c>
      <c r="I37" s="108" t="str">
        <f>IF('(4).Midterm Results'!B37=0,"",'(4).Midterm Results'!B37)</f>
        <v/>
      </c>
      <c r="J37" s="108" t="str">
        <f>IF('(4).Midterm Results'!C37=0,"",'(4).Midterm Results'!C37)</f>
        <v/>
      </c>
      <c r="K37" s="108" t="str">
        <f>IF('(4).Midterm Results'!D37=0,"",'(4).Midterm Results'!D37)</f>
        <v>MIDTERM RESULTS</v>
      </c>
      <c r="L37" s="108" t="str">
        <f>IF('(4).Midterm Results'!E37=0,"",'(4).Midterm Results'!E37)</f>
        <v/>
      </c>
      <c r="M37" s="108" t="str">
        <f>IF('(4).Midterm Results'!F37=0,"",'(4).Midterm Results'!F37)</f>
        <v/>
      </c>
      <c r="N37" s="108" t="str">
        <f>IF('(4).Midterm Results'!G37=0,"",'(4).Midterm Results'!G37)</f>
        <v/>
      </c>
      <c r="O37" s="108" t="str">
        <f>IF('(4).Midterm Results'!H37=0,"",'(4).Midterm Results'!H37)</f>
        <v/>
      </c>
      <c r="P37" s="108" t="str">
        <f>IF('(4).Midterm Results'!I37=0,"",'(4).Midterm Results'!I37)</f>
        <v/>
      </c>
      <c r="Q37" s="108" t="str">
        <f>IF('(4).Midterm Results'!J37=0,"",'(4).Midterm Results'!J37)</f>
        <v/>
      </c>
      <c r="R37" s="108" t="str">
        <f>IF('(4).Midterm Results'!K37=0,"",'(4).Midterm Results'!K37)</f>
        <v/>
      </c>
      <c r="S37" s="108" t="str">
        <f>IF('(4).Midterm Results'!L37=0,"",'(4).Midterm Results'!L37)</f>
        <v/>
      </c>
      <c r="T37" s="108" t="str">
        <f>IF('(4).Midterm Results'!M37=0,"",'(4).Midterm Results'!M37)</f>
        <v/>
      </c>
      <c r="U37" s="108" t="str">
        <f>IF('(4).Midterm Results'!N37=0,"",'(4).Midterm Results'!N37)</f>
        <v/>
      </c>
      <c r="V37" s="108" t="str">
        <f>IF('(4).Midterm Results'!O37=0,"",'(4).Midterm Results'!O37)</f>
        <v/>
      </c>
    </row>
    <row r="38" spans="1:22" ht="12.4" customHeight="1">
      <c r="A38" s="245" t="s">
        <v>14</v>
      </c>
      <c r="B38" s="240" t="s">
        <v>125</v>
      </c>
      <c r="C38" s="241"/>
      <c r="D38" s="102" t="s">
        <v>126</v>
      </c>
      <c r="E38" s="109" t="s">
        <v>127</v>
      </c>
      <c r="F38" s="102" t="s">
        <v>128</v>
      </c>
      <c r="H38" s="108" t="str">
        <f>IF('(4).Midterm Results'!A38=0,"",'(4).Midterm Results'!A38)</f>
        <v>Level:</v>
      </c>
      <c r="I38" s="108" t="str">
        <f>IF('(4).Midterm Results'!B38=0,"",'(4).Midterm Results'!B38)</f>
        <v/>
      </c>
      <c r="J38" s="108" t="str">
        <f>IF('(4).Midterm Results'!C38=0,"",'(4).Midterm Results'!C38)</f>
        <v/>
      </c>
      <c r="K38" s="108" t="str">
        <f>IF('(4).Midterm Results'!D38=0,"",'(4).Midterm Results'!D38)</f>
        <v>FEBRUARY - JULY 2026</v>
      </c>
      <c r="L38" s="108" t="str">
        <f>IF('(4).Midterm Results'!E38=0,"",'(4).Midterm Results'!E38)</f>
        <v/>
      </c>
      <c r="M38" s="108" t="str">
        <f>IF('(4).Midterm Results'!F38=0,"",'(4).Midterm Results'!F38)</f>
        <v/>
      </c>
      <c r="N38" s="108" t="str">
        <f>IF('(4).Midterm Results'!G38=0,"",'(4).Midterm Results'!G38)</f>
        <v/>
      </c>
      <c r="O38" s="108" t="str">
        <f>IF('(4).Midterm Results'!H38=0,"",'(4).Midterm Results'!H38)</f>
        <v/>
      </c>
      <c r="P38" s="108" t="str">
        <f>IF('(4).Midterm Results'!I38=0,"",'(4).Midterm Results'!I38)</f>
        <v/>
      </c>
      <c r="Q38" s="108" t="str">
        <f>IF('(4).Midterm Results'!J38=0,"",'(4).Midterm Results'!J38)</f>
        <v/>
      </c>
      <c r="R38" s="108" t="str">
        <f>IF('(4).Midterm Results'!K38=0,"",'(4).Midterm Results'!K38)</f>
        <v/>
      </c>
      <c r="S38" s="108" t="str">
        <f>IF('(4).Midterm Results'!L38=0,"",'(4).Midterm Results'!L38)</f>
        <v/>
      </c>
      <c r="T38" s="108" t="str">
        <f>IF('(4).Midterm Results'!M38=0,"",'(4).Midterm Results'!M38)</f>
        <v/>
      </c>
      <c r="U38" s="108" t="str">
        <f>IF('(4).Midterm Results'!N38=0,"",'(4).Midterm Results'!N38)</f>
        <v/>
      </c>
      <c r="V38" s="108" t="str">
        <f>IF('(4).Midterm Results'!O38=0,"",'(4).Midterm Results'!O38)</f>
        <v/>
      </c>
    </row>
    <row r="39" spans="1:22" ht="12.4" customHeight="1">
      <c r="A39" s="246"/>
      <c r="B39" s="240" t="s">
        <v>129</v>
      </c>
      <c r="C39" s="241"/>
      <c r="D39" s="102">
        <v>100</v>
      </c>
      <c r="E39" s="110" cm="1">
        <f t="array" ref="E39:E50">TRANSPOSE(K9:V9)</f>
        <v>89.625</v>
      </c>
      <c r="F39" s="104" t="str">
        <f>IF(E39="","",IF(E39&lt;D39*60%,"Try harder",""))</f>
        <v/>
      </c>
      <c r="H39" s="108" t="str">
        <f>IF('(4).Midterm Results'!A39=0,"",'(4).Midterm Results'!A39)</f>
        <v>Time:</v>
      </c>
      <c r="I39" s="108" t="str">
        <f>IF('(4).Midterm Results'!B39=0,"",'(4).Midterm Results'!B39)</f>
        <v/>
      </c>
      <c r="J39" s="108" t="str">
        <f>IF('(4).Midterm Results'!C39=0,"",'(4).Midterm Results'!C39)</f>
        <v/>
      </c>
      <c r="K39" s="108" t="str">
        <f>IF('(4).Midterm Results'!D39=0,"",'(4).Midterm Results'!D39)</f>
        <v>*** Midterm Results (Total Scores) = Midterm Daily (20%) + Midterm Exam (80%) ***</v>
      </c>
      <c r="L39" s="108" t="str">
        <f>IF('(4).Midterm Results'!E39=0,"",'(4).Midterm Results'!E39)</f>
        <v/>
      </c>
      <c r="M39" s="108" t="str">
        <f>IF('(4).Midterm Results'!F39=0,"",'(4).Midterm Results'!F39)</f>
        <v/>
      </c>
      <c r="N39" s="108" t="str">
        <f>IF('(4).Midterm Results'!G39=0,"",'(4).Midterm Results'!G39)</f>
        <v/>
      </c>
      <c r="O39" s="108" t="str">
        <f>IF('(4).Midterm Results'!H39=0,"",'(4).Midterm Results'!H39)</f>
        <v/>
      </c>
      <c r="P39" s="108" t="str">
        <f>IF('(4).Midterm Results'!I39=0,"",'(4).Midterm Results'!I39)</f>
        <v/>
      </c>
      <c r="Q39" s="108" t="str">
        <f>IF('(4).Midterm Results'!J39=0,"",'(4).Midterm Results'!J39)</f>
        <v/>
      </c>
      <c r="R39" s="108" t="str">
        <f>IF('(4).Midterm Results'!K39=0,"",'(4).Midterm Results'!K39)</f>
        <v/>
      </c>
      <c r="S39" s="108" t="str">
        <f>IF('(4).Midterm Results'!L39=0,"",'(4).Midterm Results'!L39)</f>
        <v/>
      </c>
      <c r="T39" s="108" t="str">
        <f>IF('(4).Midterm Results'!M39=0,"",'(4).Midterm Results'!M39)</f>
        <v/>
      </c>
      <c r="U39" s="108" t="str">
        <f>IF('(4).Midterm Results'!N39=0,"",'(4).Midterm Results'!N39)</f>
        <v/>
      </c>
      <c r="V39" s="108" t="str">
        <f>IF('(4).Midterm Results'!O39=0,"",'(4).Midterm Results'!O39)</f>
        <v/>
      </c>
    </row>
    <row r="40" spans="1:22" ht="12.4" customHeight="1">
      <c r="A40" s="246"/>
      <c r="B40" s="242" t="s">
        <v>132</v>
      </c>
      <c r="C40" s="133" t="str" cm="1">
        <f t="array" ref="C40:C49">TRANSPOSE($L$5:$U$5)</f>
        <v>Up-Low C</v>
      </c>
      <c r="D40" s="134">
        <v>10</v>
      </c>
      <c r="E40" s="135">
        <v>9</v>
      </c>
      <c r="F40" s="136" t="str">
        <f t="shared" ref="F40:F50" si="2">IF(E40="","",IF(E40&lt;D40*60%,"Try harder",""))</f>
        <v/>
      </c>
      <c r="H40" s="108" t="str">
        <f>IF('(4).Midterm Results'!A40=0,"",'(4).Midterm Results'!A40)</f>
        <v>Room:</v>
      </c>
      <c r="I40" s="108" t="str">
        <f>IF('(4).Midterm Results'!B40=0,"",'(4).Midterm Results'!B40)</f>
        <v/>
      </c>
      <c r="J40" s="108" t="str">
        <f>IF('(4).Midterm Results'!C40=0,"",'(4).Midterm Results'!C40)</f>
        <v/>
      </c>
      <c r="K40" s="108" t="str">
        <f>IF('(4).Midterm Results'!D40=0,"",'(4).Midterm Results'!D40)</f>
        <v>MIDTERM</v>
      </c>
      <c r="L40" s="108" t="str">
        <f>IF('(4).Midterm Results'!E40=0,"",'(4).Midterm Results'!E40)</f>
        <v>MIDTERM EXAM</v>
      </c>
      <c r="M40" s="108" t="str">
        <f>IF('(4).Midterm Results'!F40=0,"",'(4).Midterm Results'!F40)</f>
        <v/>
      </c>
      <c r="N40" s="108" t="str">
        <f>IF('(4).Midterm Results'!G40=0,"",'(4).Midterm Results'!G40)</f>
        <v/>
      </c>
      <c r="O40" s="108" t="str">
        <f>IF('(4).Midterm Results'!H40=0,"",'(4).Midterm Results'!H40)</f>
        <v/>
      </c>
      <c r="P40" s="108" t="str">
        <f>IF('(4).Midterm Results'!I40=0,"",'(4).Midterm Results'!I40)</f>
        <v/>
      </c>
      <c r="Q40" s="108" t="str">
        <f>IF('(4).Midterm Results'!J40=0,"",'(4).Midterm Results'!J40)</f>
        <v/>
      </c>
      <c r="R40" s="108" t="str">
        <f>IF('(4).Midterm Results'!K40=0,"",'(4).Midterm Results'!K40)</f>
        <v/>
      </c>
      <c r="S40" s="108" t="str">
        <f>IF('(4).Midterm Results'!L40=0,"",'(4).Midterm Results'!L40)</f>
        <v/>
      </c>
      <c r="T40" s="108" t="str">
        <f>IF('(4).Midterm Results'!M40=0,"",'(4).Midterm Results'!M40)</f>
        <v/>
      </c>
      <c r="U40" s="108" t="str">
        <f>IF('(4).Midterm Results'!N40=0,"",'(4).Midterm Results'!N40)</f>
        <v/>
      </c>
      <c r="V40" s="108" t="str">
        <f>IF('(4).Midterm Results'!O40=0,"",'(4).Midterm Results'!O40)</f>
        <v>TOTAL</v>
      </c>
    </row>
    <row r="41" spans="1:22" ht="12.4" customHeight="1">
      <c r="A41" s="246"/>
      <c r="B41" s="243"/>
      <c r="C41" s="137" t="str">
        <v>Alphabet N</v>
      </c>
      <c r="D41" s="138">
        <v>10</v>
      </c>
      <c r="E41" s="139">
        <v>9</v>
      </c>
      <c r="F41" s="140" t="str">
        <f t="shared" si="2"/>
        <v/>
      </c>
      <c r="H41" s="108" t="str">
        <f>IF('(4).Midterm Results'!A41=0,"",'(4).Midterm Results'!A41)</f>
        <v>Tr:</v>
      </c>
      <c r="I41" s="108" t="str">
        <f>IF('(4).Midterm Results'!B41=0,"",'(4).Midterm Results'!B41)</f>
        <v/>
      </c>
      <c r="J41" s="108" t="str">
        <f>IF('(4).Midterm Results'!C41=0,"",'(4).Midterm Results'!C41)</f>
        <v/>
      </c>
      <c r="K41" s="108" t="str">
        <f>IF('(4).Midterm Results'!D41=0,"",'(4).Midterm Results'!D41)</f>
        <v>DAILY</v>
      </c>
      <c r="L41" s="108" t="str">
        <f>IF('(4).Midterm Results'!E41=0,"",'(4).Midterm Results'!E41)</f>
        <v>Up-Low C</v>
      </c>
      <c r="M41" s="108" t="str">
        <f>IF('(4).Midterm Results'!F41=0,"",'(4).Midterm Results'!F41)</f>
        <v>Alphabet N</v>
      </c>
      <c r="N41" s="108" t="str">
        <f>IF('(4).Midterm Results'!G41=0,"",'(4).Midterm Results'!G41)</f>
        <v>Alphabet S</v>
      </c>
      <c r="O41" s="108" t="str">
        <f>IF('(4).Midterm Results'!H41=0,"",'(4).Midterm Results'!H41)</f>
        <v>Vocabulary</v>
      </c>
      <c r="P41" s="108" t="str">
        <f>IF('(4).Midterm Results'!I41=0,"",'(4).Midterm Results'!I41)</f>
        <v>Sprouts</v>
      </c>
      <c r="Q41" s="108" t="str">
        <f>IF('(4).Midterm Results'!J41=0,"",'(4).Midterm Results'!J41)</f>
        <v>Phonics</v>
      </c>
      <c r="R41" s="108" t="str">
        <f>IF('(4).Midterm Results'!K41=0,"",'(4).Midterm Results'!K41)</f>
        <v>Math</v>
      </c>
      <c r="S41" s="108" t="str">
        <f>IF('(4).Midterm Results'!L41=0,"",'(4).Midterm Results'!L41)</f>
        <v>Shape</v>
      </c>
      <c r="T41" s="108" t="str">
        <f>IF('(4).Midterm Results'!M41=0,"",'(4).Midterm Results'!M41)</f>
        <v>Science</v>
      </c>
      <c r="U41" s="108" t="str">
        <f>IF('(4).Midterm Results'!N41=0,"",'(4).Midterm Results'!N41)</f>
        <v>Tracing</v>
      </c>
      <c r="V41" s="108" t="str">
        <f>IF('(4).Midterm Results'!O41=0,"",'(4).Midterm Results'!O41)</f>
        <v>SCORES</v>
      </c>
    </row>
    <row r="42" spans="1:22" ht="12.4" customHeight="1">
      <c r="A42" s="246"/>
      <c r="B42" s="243"/>
      <c r="C42" s="137" t="str">
        <v>Alphabet S</v>
      </c>
      <c r="D42" s="138">
        <v>10</v>
      </c>
      <c r="E42" s="139">
        <v>8.25</v>
      </c>
      <c r="F42" s="140" t="str">
        <f t="shared" si="2"/>
        <v/>
      </c>
      <c r="H42" s="108" t="str">
        <f>IF('(4).Midterm Results'!A42=0,"",'(4).Midterm Results'!A42)</f>
        <v>NO</v>
      </c>
      <c r="I42" s="108" t="str">
        <f>IF('(4).Midterm Results'!B42=0,"",'(4).Midterm Results'!B42)</f>
        <v>NAME</v>
      </c>
      <c r="J42" s="108" t="str">
        <f>IF('(4).Midterm Results'!C42=0,"",'(4).Midterm Results'!C42)</f>
        <v>SEX</v>
      </c>
      <c r="K42" s="108" t="str">
        <f>IF('(4).Midterm Results'!D42=0,"",'(4).Midterm Results'!D42)</f>
        <v>100 points</v>
      </c>
      <c r="L42" s="108" t="str">
        <f>IF('(4).Midterm Results'!E42=0,"",'(4).Midterm Results'!E42)</f>
        <v>10 points</v>
      </c>
      <c r="M42" s="108" t="str">
        <f>IF('(4).Midterm Results'!F42=0,"",'(4).Midterm Results'!F42)</f>
        <v>10 points</v>
      </c>
      <c r="N42" s="108" t="str">
        <f>IF('(4).Midterm Results'!G42=0,"",'(4).Midterm Results'!G42)</f>
        <v>10 points</v>
      </c>
      <c r="O42" s="108" t="str">
        <f>IF('(4).Midterm Results'!H42=0,"",'(4).Midterm Results'!H42)</f>
        <v>10 points</v>
      </c>
      <c r="P42" s="108" t="str">
        <f>IF('(4).Midterm Results'!I42=0,"",'(4).Midterm Results'!I42)</f>
        <v>10 points</v>
      </c>
      <c r="Q42" s="108" t="str">
        <f>IF('(4).Midterm Results'!J42=0,"",'(4).Midterm Results'!J42)</f>
        <v>10 points</v>
      </c>
      <c r="R42" s="108" t="str">
        <f>IF('(4).Midterm Results'!K42=0,"",'(4).Midterm Results'!K42)</f>
        <v>10 points</v>
      </c>
      <c r="S42" s="108" t="str">
        <f>IF('(4).Midterm Results'!L42=0,"",'(4).Midterm Results'!L42)</f>
        <v>10 points</v>
      </c>
      <c r="T42" s="108" t="str">
        <f>IF('(4).Midterm Results'!M42=0,"",'(4).Midterm Results'!M42)</f>
        <v>10 points</v>
      </c>
      <c r="U42" s="108" t="str">
        <f>IF('(4).Midterm Results'!N42=0,"",'(4).Midterm Results'!N42)</f>
        <v>10 points</v>
      </c>
      <c r="V42" s="108" t="str">
        <f>IF('(4).Midterm Results'!O42=0,"",'(4).Midterm Results'!O42)</f>
        <v>100 points</v>
      </c>
    </row>
    <row r="43" spans="1:22" ht="12.4" customHeight="1">
      <c r="A43" s="246"/>
      <c r="B43" s="243"/>
      <c r="C43" s="137" t="str">
        <v>Vocabulary</v>
      </c>
      <c r="D43" s="138">
        <v>10</v>
      </c>
      <c r="E43" s="139">
        <v>8</v>
      </c>
      <c r="F43" s="140" t="str">
        <f t="shared" si="2"/>
        <v/>
      </c>
      <c r="H43" s="108">
        <f>IF('(4).Midterm Results'!A43=0,"",'(4).Midterm Results'!A43)</f>
        <v>1</v>
      </c>
      <c r="I43" s="108" t="str">
        <f>IF('(4).Midterm Results'!B43=0,"",'(4).Midterm Results'!B43)</f>
        <v/>
      </c>
      <c r="J43" s="108" t="str">
        <f>IF('(4).Midterm Results'!C43=0,"",'(4).Midterm Results'!C43)</f>
        <v/>
      </c>
      <c r="K43" s="108" t="str">
        <f>IF('(4).Midterm Results'!D43=0,"",'(4).Midterm Results'!D43)</f>
        <v/>
      </c>
      <c r="L43" s="108" t="str">
        <f>IF('(4).Midterm Results'!E43=0,"",'(4).Midterm Results'!E43)</f>
        <v/>
      </c>
      <c r="M43" s="108" t="str">
        <f>IF('(4).Midterm Results'!F43=0,"",'(4).Midterm Results'!F43)</f>
        <v/>
      </c>
      <c r="N43" s="108" t="str">
        <f>IF('(4).Midterm Results'!G43=0,"",'(4).Midterm Results'!G43)</f>
        <v/>
      </c>
      <c r="O43" s="108" t="str">
        <f>IF('(4).Midterm Results'!H43=0,"",'(4).Midterm Results'!H43)</f>
        <v/>
      </c>
      <c r="P43" s="108" t="str">
        <f>IF('(4).Midterm Results'!I43=0,"",'(4).Midterm Results'!I43)</f>
        <v/>
      </c>
      <c r="Q43" s="108" t="str">
        <f>IF('(4).Midterm Results'!J43=0,"",'(4).Midterm Results'!J43)</f>
        <v/>
      </c>
      <c r="R43" s="108" t="str">
        <f>IF('(4).Midterm Results'!K43=0,"",'(4).Midterm Results'!K43)</f>
        <v/>
      </c>
      <c r="S43" s="108" t="str">
        <f>IF('(4).Midterm Results'!L43=0,"",'(4).Midterm Results'!L43)</f>
        <v/>
      </c>
      <c r="T43" s="108" t="str">
        <f>IF('(4).Midterm Results'!M43=0,"",'(4).Midterm Results'!M43)</f>
        <v/>
      </c>
      <c r="U43" s="108" t="str">
        <f>IF('(4).Midterm Results'!N43=0,"",'(4).Midterm Results'!N43)</f>
        <v/>
      </c>
      <c r="V43" s="108" t="str">
        <f>IF('(4).Midterm Results'!O43=0,"",'(4).Midterm Results'!O43)</f>
        <v/>
      </c>
    </row>
    <row r="44" spans="1:22" ht="12.4" customHeight="1">
      <c r="A44" s="247" t="s">
        <v>131</v>
      </c>
      <c r="B44" s="243"/>
      <c r="C44" s="137" t="str">
        <v>Sprouts</v>
      </c>
      <c r="D44" s="138">
        <v>10</v>
      </c>
      <c r="E44" s="139">
        <v>7.25</v>
      </c>
      <c r="F44" s="140" t="str">
        <f t="shared" si="2"/>
        <v/>
      </c>
      <c r="H44" s="108">
        <f>IF('(4).Midterm Results'!A44=0,"",'(4).Midterm Results'!A44)</f>
        <v>2</v>
      </c>
      <c r="I44" s="108" t="str">
        <f>IF('(4).Midterm Results'!B44=0,"",'(4).Midterm Results'!B44)</f>
        <v/>
      </c>
      <c r="J44" s="108" t="str">
        <f>IF('(4).Midterm Results'!C44=0,"",'(4).Midterm Results'!C44)</f>
        <v/>
      </c>
      <c r="K44" s="108" t="str">
        <f>IF('(4).Midterm Results'!D44=0,"",'(4).Midterm Results'!D44)</f>
        <v/>
      </c>
      <c r="L44" s="108" t="str">
        <f>IF('(4).Midterm Results'!E44=0,"",'(4).Midterm Results'!E44)</f>
        <v/>
      </c>
      <c r="M44" s="108" t="str">
        <f>IF('(4).Midterm Results'!F44=0,"",'(4).Midterm Results'!F44)</f>
        <v/>
      </c>
      <c r="N44" s="108" t="str">
        <f>IF('(4).Midterm Results'!G44=0,"",'(4).Midterm Results'!G44)</f>
        <v/>
      </c>
      <c r="O44" s="108" t="str">
        <f>IF('(4).Midterm Results'!H44=0,"",'(4).Midterm Results'!H44)</f>
        <v/>
      </c>
      <c r="P44" s="108" t="str">
        <f>IF('(4).Midterm Results'!I44=0,"",'(4).Midterm Results'!I44)</f>
        <v/>
      </c>
      <c r="Q44" s="108" t="str">
        <f>IF('(4).Midterm Results'!J44=0,"",'(4).Midterm Results'!J44)</f>
        <v/>
      </c>
      <c r="R44" s="108" t="str">
        <f>IF('(4).Midterm Results'!K44=0,"",'(4).Midterm Results'!K44)</f>
        <v/>
      </c>
      <c r="S44" s="108" t="str">
        <f>IF('(4).Midterm Results'!L44=0,"",'(4).Midterm Results'!L44)</f>
        <v/>
      </c>
      <c r="T44" s="108" t="str">
        <f>IF('(4).Midterm Results'!M44=0,"",'(4).Midterm Results'!M44)</f>
        <v/>
      </c>
      <c r="U44" s="108" t="str">
        <f>IF('(4).Midterm Results'!N44=0,"",'(4).Midterm Results'!N44)</f>
        <v/>
      </c>
      <c r="V44" s="108" t="str">
        <f>IF('(4).Midterm Results'!O44=0,"",'(4).Midterm Results'!O44)</f>
        <v/>
      </c>
    </row>
    <row r="45" spans="1:22" ht="12.4" customHeight="1">
      <c r="A45" s="247"/>
      <c r="B45" s="243"/>
      <c r="C45" s="137" t="str">
        <v>Phonics</v>
      </c>
      <c r="D45" s="138">
        <v>10</v>
      </c>
      <c r="E45" s="139">
        <v>9</v>
      </c>
      <c r="F45" s="140" t="str">
        <f t="shared" si="2"/>
        <v/>
      </c>
      <c r="H45" s="108">
        <f>IF('(4).Midterm Results'!A45=0,"",'(4).Midterm Results'!A45)</f>
        <v>3</v>
      </c>
      <c r="I45" s="108" t="str">
        <f>IF('(4).Midterm Results'!B45=0,"",'(4).Midterm Results'!B45)</f>
        <v/>
      </c>
      <c r="J45" s="108" t="str">
        <f>IF('(4).Midterm Results'!C45=0,"",'(4).Midterm Results'!C45)</f>
        <v/>
      </c>
      <c r="K45" s="108" t="str">
        <f>IF('(4).Midterm Results'!D45=0,"",'(4).Midterm Results'!D45)</f>
        <v/>
      </c>
      <c r="L45" s="108" t="str">
        <f>IF('(4).Midterm Results'!E45=0,"",'(4).Midterm Results'!E45)</f>
        <v/>
      </c>
      <c r="M45" s="108" t="str">
        <f>IF('(4).Midterm Results'!F45=0,"",'(4).Midterm Results'!F45)</f>
        <v/>
      </c>
      <c r="N45" s="108" t="str">
        <f>IF('(4).Midterm Results'!G45=0,"",'(4).Midterm Results'!G45)</f>
        <v/>
      </c>
      <c r="O45" s="108" t="str">
        <f>IF('(4).Midterm Results'!H45=0,"",'(4).Midterm Results'!H45)</f>
        <v/>
      </c>
      <c r="P45" s="108" t="str">
        <f>IF('(4).Midterm Results'!I45=0,"",'(4).Midterm Results'!I45)</f>
        <v/>
      </c>
      <c r="Q45" s="108" t="str">
        <f>IF('(4).Midterm Results'!J45=0,"",'(4).Midterm Results'!J45)</f>
        <v/>
      </c>
      <c r="R45" s="108" t="str">
        <f>IF('(4).Midterm Results'!K45=0,"",'(4).Midterm Results'!K45)</f>
        <v/>
      </c>
      <c r="S45" s="108" t="str">
        <f>IF('(4).Midterm Results'!L45=0,"",'(4).Midterm Results'!L45)</f>
        <v/>
      </c>
      <c r="T45" s="108" t="str">
        <f>IF('(4).Midterm Results'!M45=0,"",'(4).Midterm Results'!M45)</f>
        <v/>
      </c>
      <c r="U45" s="108" t="str">
        <f>IF('(4).Midterm Results'!N45=0,"",'(4).Midterm Results'!N45)</f>
        <v/>
      </c>
      <c r="V45" s="108" t="str">
        <f>IF('(4).Midterm Results'!O45=0,"",'(4).Midterm Results'!O45)</f>
        <v/>
      </c>
    </row>
    <row r="46" spans="1:22" ht="12.4" customHeight="1">
      <c r="A46" s="247"/>
      <c r="B46" s="243"/>
      <c r="C46" s="137" t="str">
        <v>Math</v>
      </c>
      <c r="D46" s="138">
        <v>10</v>
      </c>
      <c r="E46" s="139">
        <v>10</v>
      </c>
      <c r="F46" s="140" t="str">
        <f t="shared" si="2"/>
        <v/>
      </c>
      <c r="H46" s="108">
        <f>IF('(4).Midterm Results'!A46=0,"",'(4).Midterm Results'!A46)</f>
        <v>4</v>
      </c>
      <c r="I46" s="108" t="str">
        <f>IF('(4).Midterm Results'!B46=0,"",'(4).Midterm Results'!B46)</f>
        <v/>
      </c>
      <c r="J46" s="108" t="str">
        <f>IF('(4).Midterm Results'!C46=0,"",'(4).Midterm Results'!C46)</f>
        <v/>
      </c>
      <c r="K46" s="108" t="str">
        <f>IF('(4).Midterm Results'!D46=0,"",'(4).Midterm Results'!D46)</f>
        <v/>
      </c>
      <c r="L46" s="108" t="str">
        <f>IF('(4).Midterm Results'!E46=0,"",'(4).Midterm Results'!E46)</f>
        <v/>
      </c>
      <c r="M46" s="108" t="str">
        <f>IF('(4).Midterm Results'!F46=0,"",'(4).Midterm Results'!F46)</f>
        <v/>
      </c>
      <c r="N46" s="108" t="str">
        <f>IF('(4).Midterm Results'!G46=0,"",'(4).Midterm Results'!G46)</f>
        <v/>
      </c>
      <c r="O46" s="108" t="str">
        <f>IF('(4).Midterm Results'!H46=0,"",'(4).Midterm Results'!H46)</f>
        <v/>
      </c>
      <c r="P46" s="108" t="str">
        <f>IF('(4).Midterm Results'!I46=0,"",'(4).Midterm Results'!I46)</f>
        <v/>
      </c>
      <c r="Q46" s="108" t="str">
        <f>IF('(4).Midterm Results'!J46=0,"",'(4).Midterm Results'!J46)</f>
        <v/>
      </c>
      <c r="R46" s="108" t="str">
        <f>IF('(4).Midterm Results'!K46=0,"",'(4).Midterm Results'!K46)</f>
        <v/>
      </c>
      <c r="S46" s="108" t="str">
        <f>IF('(4).Midterm Results'!L46=0,"",'(4).Midterm Results'!L46)</f>
        <v/>
      </c>
      <c r="T46" s="108" t="str">
        <f>IF('(4).Midterm Results'!M46=0,"",'(4).Midterm Results'!M46)</f>
        <v/>
      </c>
      <c r="U46" s="108" t="str">
        <f>IF('(4).Midterm Results'!N46=0,"",'(4).Midterm Results'!N46)</f>
        <v/>
      </c>
      <c r="V46" s="108" t="str">
        <f>IF('(4).Midterm Results'!O46=0,"",'(4).Midterm Results'!O46)</f>
        <v/>
      </c>
    </row>
    <row r="47" spans="1:22" ht="12.4" customHeight="1">
      <c r="A47" s="247"/>
      <c r="B47" s="243"/>
      <c r="C47" s="137" t="str">
        <v>Shape</v>
      </c>
      <c r="D47" s="138">
        <v>10</v>
      </c>
      <c r="E47" s="139">
        <v>8</v>
      </c>
      <c r="F47" s="140" t="str">
        <f t="shared" si="2"/>
        <v/>
      </c>
      <c r="H47" s="108">
        <f>IF('(4).Midterm Results'!A47=0,"",'(4).Midterm Results'!A47)</f>
        <v>5</v>
      </c>
      <c r="I47" s="108" t="str">
        <f>IF('(4).Midterm Results'!B47=0,"",'(4).Midterm Results'!B47)</f>
        <v/>
      </c>
      <c r="J47" s="108" t="str">
        <f>IF('(4).Midterm Results'!C47=0,"",'(4).Midterm Results'!C47)</f>
        <v/>
      </c>
      <c r="K47" s="108" t="str">
        <f>IF('(4).Midterm Results'!D47=0,"",'(4).Midterm Results'!D47)</f>
        <v/>
      </c>
      <c r="L47" s="108" t="str">
        <f>IF('(4).Midterm Results'!E47=0,"",'(4).Midterm Results'!E47)</f>
        <v/>
      </c>
      <c r="M47" s="108" t="str">
        <f>IF('(4).Midterm Results'!F47=0,"",'(4).Midterm Results'!F47)</f>
        <v/>
      </c>
      <c r="N47" s="108" t="str">
        <f>IF('(4).Midterm Results'!G47=0,"",'(4).Midterm Results'!G47)</f>
        <v/>
      </c>
      <c r="O47" s="108" t="str">
        <f>IF('(4).Midterm Results'!H47=0,"",'(4).Midterm Results'!H47)</f>
        <v/>
      </c>
      <c r="P47" s="108" t="str">
        <f>IF('(4).Midterm Results'!I47=0,"",'(4).Midterm Results'!I47)</f>
        <v/>
      </c>
      <c r="Q47" s="108" t="str">
        <f>IF('(4).Midterm Results'!J47=0,"",'(4).Midterm Results'!J47)</f>
        <v/>
      </c>
      <c r="R47" s="108" t="str">
        <f>IF('(4).Midterm Results'!K47=0,"",'(4).Midterm Results'!K47)</f>
        <v/>
      </c>
      <c r="S47" s="108" t="str">
        <f>IF('(4).Midterm Results'!L47=0,"",'(4).Midterm Results'!L47)</f>
        <v/>
      </c>
      <c r="T47" s="108" t="str">
        <f>IF('(4).Midterm Results'!M47=0,"",'(4).Midterm Results'!M47)</f>
        <v/>
      </c>
      <c r="U47" s="108" t="str">
        <f>IF('(4).Midterm Results'!N47=0,"",'(4).Midterm Results'!N47)</f>
        <v/>
      </c>
      <c r="V47" s="108" t="str">
        <f>IF('(4).Midterm Results'!O47=0,"",'(4).Midterm Results'!O47)</f>
        <v/>
      </c>
    </row>
    <row r="48" spans="1:22" ht="12.4" customHeight="1">
      <c r="A48" s="247"/>
      <c r="B48" s="243"/>
      <c r="C48" s="137" t="str">
        <v>Science</v>
      </c>
      <c r="D48" s="138">
        <v>10</v>
      </c>
      <c r="E48" s="139">
        <v>10</v>
      </c>
      <c r="F48" s="140" t="str">
        <f t="shared" si="2"/>
        <v/>
      </c>
      <c r="H48" s="108">
        <f>IF('(4).Midterm Results'!A48=0,"",'(4).Midterm Results'!A48)</f>
        <v>6</v>
      </c>
      <c r="I48" s="108" t="str">
        <f>IF('(4).Midterm Results'!B48=0,"",'(4).Midterm Results'!B48)</f>
        <v/>
      </c>
      <c r="J48" s="108" t="str">
        <f>IF('(4).Midterm Results'!C48=0,"",'(4).Midterm Results'!C48)</f>
        <v/>
      </c>
      <c r="K48" s="108" t="str">
        <f>IF('(4).Midterm Results'!D48=0,"",'(4).Midterm Results'!D48)</f>
        <v/>
      </c>
      <c r="L48" s="108" t="str">
        <f>IF('(4).Midterm Results'!E48=0,"",'(4).Midterm Results'!E48)</f>
        <v/>
      </c>
      <c r="M48" s="108" t="str">
        <f>IF('(4).Midterm Results'!F48=0,"",'(4).Midterm Results'!F48)</f>
        <v/>
      </c>
      <c r="N48" s="108" t="str">
        <f>IF('(4).Midterm Results'!G48=0,"",'(4).Midterm Results'!G48)</f>
        <v/>
      </c>
      <c r="O48" s="108" t="str">
        <f>IF('(4).Midterm Results'!H48=0,"",'(4).Midterm Results'!H48)</f>
        <v/>
      </c>
      <c r="P48" s="108" t="str">
        <f>IF('(4).Midterm Results'!I48=0,"",'(4).Midterm Results'!I48)</f>
        <v/>
      </c>
      <c r="Q48" s="108" t="str">
        <f>IF('(4).Midterm Results'!J48=0,"",'(4).Midterm Results'!J48)</f>
        <v/>
      </c>
      <c r="R48" s="108" t="str">
        <f>IF('(4).Midterm Results'!K48=0,"",'(4).Midterm Results'!K48)</f>
        <v/>
      </c>
      <c r="S48" s="108" t="str">
        <f>IF('(4).Midterm Results'!L48=0,"",'(4).Midterm Results'!L48)</f>
        <v/>
      </c>
      <c r="T48" s="108" t="str">
        <f>IF('(4).Midterm Results'!M48=0,"",'(4).Midterm Results'!M48)</f>
        <v/>
      </c>
      <c r="U48" s="108" t="str">
        <f>IF('(4).Midterm Results'!N48=0,"",'(4).Midterm Results'!N48)</f>
        <v/>
      </c>
      <c r="V48" s="108" t="str">
        <f>IF('(4).Midterm Results'!O48=0,"",'(4).Midterm Results'!O48)</f>
        <v/>
      </c>
    </row>
    <row r="49" spans="1:22" ht="12.4" customHeight="1">
      <c r="A49" s="247"/>
      <c r="B49" s="244"/>
      <c r="C49" s="141" t="str">
        <v>Tracing</v>
      </c>
      <c r="D49" s="142">
        <v>10</v>
      </c>
      <c r="E49" s="143">
        <v>8.5</v>
      </c>
      <c r="F49" s="144" t="str">
        <f t="shared" si="2"/>
        <v/>
      </c>
      <c r="H49" s="108">
        <f>IF('(4).Midterm Results'!A49=0,"",'(4).Midterm Results'!A49)</f>
        <v>7</v>
      </c>
      <c r="I49" s="108" t="str">
        <f>IF('(4).Midterm Results'!B49=0,"",'(4).Midterm Results'!B49)</f>
        <v/>
      </c>
      <c r="J49" s="108" t="str">
        <f>IF('(4).Midterm Results'!C49=0,"",'(4).Midterm Results'!C49)</f>
        <v/>
      </c>
      <c r="K49" s="108" t="str">
        <f>IF('(4).Midterm Results'!D49=0,"",'(4).Midterm Results'!D49)</f>
        <v/>
      </c>
      <c r="L49" s="108" t="str">
        <f>IF('(4).Midterm Results'!E49=0,"",'(4).Midterm Results'!E49)</f>
        <v/>
      </c>
      <c r="M49" s="108" t="str">
        <f>IF('(4).Midterm Results'!F49=0,"",'(4).Midterm Results'!F49)</f>
        <v/>
      </c>
      <c r="N49" s="108" t="str">
        <f>IF('(4).Midterm Results'!G49=0,"",'(4).Midterm Results'!G49)</f>
        <v/>
      </c>
      <c r="O49" s="108" t="str">
        <f>IF('(4).Midterm Results'!H49=0,"",'(4).Midterm Results'!H49)</f>
        <v/>
      </c>
      <c r="P49" s="108" t="str">
        <f>IF('(4).Midterm Results'!I49=0,"",'(4).Midterm Results'!I49)</f>
        <v/>
      </c>
      <c r="Q49" s="108" t="str">
        <f>IF('(4).Midterm Results'!J49=0,"",'(4).Midterm Results'!J49)</f>
        <v/>
      </c>
      <c r="R49" s="108" t="str">
        <f>IF('(4).Midterm Results'!K49=0,"",'(4).Midterm Results'!K49)</f>
        <v/>
      </c>
      <c r="S49" s="108" t="str">
        <f>IF('(4).Midterm Results'!L49=0,"",'(4).Midterm Results'!L49)</f>
        <v/>
      </c>
      <c r="T49" s="108" t="str">
        <f>IF('(4).Midterm Results'!M49=0,"",'(4).Midterm Results'!M49)</f>
        <v/>
      </c>
      <c r="U49" s="108" t="str">
        <f>IF('(4).Midterm Results'!N49=0,"",'(4).Midterm Results'!N49)</f>
        <v/>
      </c>
      <c r="V49" s="108" t="str">
        <f>IF('(4).Midterm Results'!O49=0,"",'(4).Midterm Results'!O49)</f>
        <v/>
      </c>
    </row>
    <row r="50" spans="1:22" ht="12.4" customHeight="1">
      <c r="A50" s="248"/>
      <c r="B50" s="240" t="s">
        <v>133</v>
      </c>
      <c r="C50" s="241"/>
      <c r="D50" s="103">
        <f>D39*20%+SUM(D40:D49)*80%</f>
        <v>100</v>
      </c>
      <c r="E50" s="110">
        <v>87.525000000000006</v>
      </c>
      <c r="F50" s="104" t="str">
        <f t="shared" si="2"/>
        <v/>
      </c>
      <c r="H50" s="108">
        <f>IF('(4).Midterm Results'!A50=0,"",'(4).Midterm Results'!A50)</f>
        <v>8</v>
      </c>
      <c r="I50" s="108" t="str">
        <f>IF('(4).Midterm Results'!B50=0,"",'(4).Midterm Results'!B50)</f>
        <v/>
      </c>
      <c r="J50" s="108" t="str">
        <f>IF('(4).Midterm Results'!C50=0,"",'(4).Midterm Results'!C50)</f>
        <v/>
      </c>
      <c r="K50" s="108" t="str">
        <f>IF('(4).Midterm Results'!D50=0,"",'(4).Midterm Results'!D50)</f>
        <v/>
      </c>
      <c r="L50" s="108" t="str">
        <f>IF('(4).Midterm Results'!E50=0,"",'(4).Midterm Results'!E50)</f>
        <v/>
      </c>
      <c r="M50" s="108" t="str">
        <f>IF('(4).Midterm Results'!F50=0,"",'(4).Midterm Results'!F50)</f>
        <v/>
      </c>
      <c r="N50" s="108" t="str">
        <f>IF('(4).Midterm Results'!G50=0,"",'(4).Midterm Results'!G50)</f>
        <v/>
      </c>
      <c r="O50" s="108" t="str">
        <f>IF('(4).Midterm Results'!H50=0,"",'(4).Midterm Results'!H50)</f>
        <v/>
      </c>
      <c r="P50" s="108" t="str">
        <f>IF('(4).Midterm Results'!I50=0,"",'(4).Midterm Results'!I50)</f>
        <v/>
      </c>
      <c r="Q50" s="108" t="str">
        <f>IF('(4).Midterm Results'!J50=0,"",'(4).Midterm Results'!J50)</f>
        <v/>
      </c>
      <c r="R50" s="108" t="str">
        <f>IF('(4).Midterm Results'!K50=0,"",'(4).Midterm Results'!K50)</f>
        <v/>
      </c>
      <c r="S50" s="108" t="str">
        <f>IF('(4).Midterm Results'!L50=0,"",'(4).Midterm Results'!L50)</f>
        <v/>
      </c>
      <c r="T50" s="108" t="str">
        <f>IF('(4).Midterm Results'!M50=0,"",'(4).Midterm Results'!M50)</f>
        <v/>
      </c>
      <c r="U50" s="108" t="str">
        <f>IF('(4).Midterm Results'!N50=0,"",'(4).Midterm Results'!N50)</f>
        <v/>
      </c>
      <c r="V50" s="108" t="str">
        <f>IF('(4).Midterm Results'!O50=0,"",'(4).Midterm Results'!O50)</f>
        <v/>
      </c>
    </row>
    <row r="51" spans="1:22" ht="12.4" customHeight="1">
      <c r="H51" s="108">
        <f>IF('(4).Midterm Results'!A51=0,"",'(4).Midterm Results'!A51)</f>
        <v>9</v>
      </c>
      <c r="I51" s="108" t="str">
        <f>IF('(4).Midterm Results'!B51=0,"",'(4).Midterm Results'!B51)</f>
        <v/>
      </c>
      <c r="J51" s="108" t="str">
        <f>IF('(4).Midterm Results'!C51=0,"",'(4).Midterm Results'!C51)</f>
        <v/>
      </c>
      <c r="K51" s="108" t="str">
        <f>IF('(4).Midterm Results'!D51=0,"",'(4).Midterm Results'!D51)</f>
        <v/>
      </c>
      <c r="L51" s="108" t="str">
        <f>IF('(4).Midterm Results'!E51=0,"",'(4).Midterm Results'!E51)</f>
        <v/>
      </c>
      <c r="M51" s="108" t="str">
        <f>IF('(4).Midterm Results'!F51=0,"",'(4).Midterm Results'!F51)</f>
        <v/>
      </c>
      <c r="N51" s="108" t="str">
        <f>IF('(4).Midterm Results'!G51=0,"",'(4).Midterm Results'!G51)</f>
        <v/>
      </c>
      <c r="O51" s="108" t="str">
        <f>IF('(4).Midterm Results'!H51=0,"",'(4).Midterm Results'!H51)</f>
        <v/>
      </c>
      <c r="P51" s="108" t="str">
        <f>IF('(4).Midterm Results'!I51=0,"",'(4).Midterm Results'!I51)</f>
        <v/>
      </c>
      <c r="Q51" s="108" t="str">
        <f>IF('(4).Midterm Results'!J51=0,"",'(4).Midterm Results'!J51)</f>
        <v/>
      </c>
      <c r="R51" s="108" t="str">
        <f>IF('(4).Midterm Results'!K51=0,"",'(4).Midterm Results'!K51)</f>
        <v/>
      </c>
      <c r="S51" s="108" t="str">
        <f>IF('(4).Midterm Results'!L51=0,"",'(4).Midterm Results'!L51)</f>
        <v/>
      </c>
      <c r="T51" s="108" t="str">
        <f>IF('(4).Midterm Results'!M51=0,"",'(4).Midterm Results'!M51)</f>
        <v/>
      </c>
      <c r="U51" s="108" t="str">
        <f>IF('(4).Midterm Results'!N51=0,"",'(4).Midterm Results'!N51)</f>
        <v/>
      </c>
      <c r="V51" s="108" t="str">
        <f>IF('(4).Midterm Results'!O51=0,"",'(4).Midterm Results'!O51)</f>
        <v/>
      </c>
    </row>
    <row r="52" spans="1:22" ht="12.4" customHeight="1">
      <c r="A52" s="230" t="s">
        <v>121</v>
      </c>
      <c r="B52" s="231"/>
      <c r="C52" s="231"/>
      <c r="D52" s="107" t="s">
        <v>123</v>
      </c>
      <c r="E52" s="232" t="str">
        <f>I10</f>
        <v>Dy Chanto</v>
      </c>
      <c r="F52" s="233"/>
      <c r="G52" s="101">
        <v>10</v>
      </c>
      <c r="H52" s="108">
        <f>IF('(4).Midterm Results'!A52=0,"",'(4).Midterm Results'!A52)</f>
        <v>10</v>
      </c>
      <c r="I52" s="108" t="str">
        <f>IF('(4).Midterm Results'!B52=0,"",'(4).Midterm Results'!B52)</f>
        <v/>
      </c>
      <c r="J52" s="108" t="str">
        <f>IF('(4).Midterm Results'!C52=0,"",'(4).Midterm Results'!C52)</f>
        <v/>
      </c>
      <c r="K52" s="108" t="str">
        <f>IF('(4).Midterm Results'!D52=0,"",'(4).Midterm Results'!D52)</f>
        <v/>
      </c>
      <c r="L52" s="108" t="str">
        <f>IF('(4).Midterm Results'!E52=0,"",'(4).Midterm Results'!E52)</f>
        <v/>
      </c>
      <c r="M52" s="108" t="str">
        <f>IF('(4).Midterm Results'!F52=0,"",'(4).Midterm Results'!F52)</f>
        <v/>
      </c>
      <c r="N52" s="108" t="str">
        <f>IF('(4).Midterm Results'!G52=0,"",'(4).Midterm Results'!G52)</f>
        <v/>
      </c>
      <c r="O52" s="108" t="str">
        <f>IF('(4).Midterm Results'!H52=0,"",'(4).Midterm Results'!H52)</f>
        <v/>
      </c>
      <c r="P52" s="108" t="str">
        <f>IF('(4).Midterm Results'!I52=0,"",'(4).Midterm Results'!I52)</f>
        <v/>
      </c>
      <c r="Q52" s="108" t="str">
        <f>IF('(4).Midterm Results'!J52=0,"",'(4).Midterm Results'!J52)</f>
        <v/>
      </c>
      <c r="R52" s="108" t="str">
        <f>IF('(4).Midterm Results'!K52=0,"",'(4).Midterm Results'!K52)</f>
        <v/>
      </c>
      <c r="S52" s="108" t="str">
        <f>IF('(4).Midterm Results'!L52=0,"",'(4).Midterm Results'!L52)</f>
        <v/>
      </c>
      <c r="T52" s="108" t="str">
        <f>IF('(4).Midterm Results'!M52=0,"",'(4).Midterm Results'!M52)</f>
        <v/>
      </c>
      <c r="U52" s="108" t="str">
        <f>IF('(4).Midterm Results'!N52=0,"",'(4).Midterm Results'!N52)</f>
        <v/>
      </c>
      <c r="V52" s="108" t="str">
        <f>IF('(4).Midterm Results'!O52=0,"",'(4).Midterm Results'!O52)</f>
        <v/>
      </c>
    </row>
    <row r="53" spans="1:22" ht="12.4" customHeight="1">
      <c r="A53" s="105" t="s">
        <v>122</v>
      </c>
      <c r="B53" s="234" t="str">
        <f>$K$2</f>
        <v>FEBRUARY - JULY 2026</v>
      </c>
      <c r="C53" s="234"/>
      <c r="D53" s="106" t="s">
        <v>124</v>
      </c>
      <c r="E53" s="235" t="str">
        <f>$I$2</f>
        <v>K1B</v>
      </c>
      <c r="F53" s="236"/>
      <c r="H53" s="108">
        <f>IF('(4).Midterm Results'!A53=0,"",'(4).Midterm Results'!A53)</f>
        <v>11</v>
      </c>
      <c r="I53" s="108" t="str">
        <f>IF('(4).Midterm Results'!B53=0,"",'(4).Midterm Results'!B53)</f>
        <v/>
      </c>
      <c r="J53" s="108" t="str">
        <f>IF('(4).Midterm Results'!C53=0,"",'(4).Midterm Results'!C53)</f>
        <v/>
      </c>
      <c r="K53" s="108" t="str">
        <f>IF('(4).Midterm Results'!D53=0,"",'(4).Midterm Results'!D53)</f>
        <v/>
      </c>
      <c r="L53" s="108" t="str">
        <f>IF('(4).Midterm Results'!E53=0,"",'(4).Midterm Results'!E53)</f>
        <v/>
      </c>
      <c r="M53" s="108" t="str">
        <f>IF('(4).Midterm Results'!F53=0,"",'(4).Midterm Results'!F53)</f>
        <v/>
      </c>
      <c r="N53" s="108" t="str">
        <f>IF('(4).Midterm Results'!G53=0,"",'(4).Midterm Results'!G53)</f>
        <v/>
      </c>
      <c r="O53" s="108" t="str">
        <f>IF('(4).Midterm Results'!H53=0,"",'(4).Midterm Results'!H53)</f>
        <v/>
      </c>
      <c r="P53" s="108" t="str">
        <f>IF('(4).Midterm Results'!I53=0,"",'(4).Midterm Results'!I53)</f>
        <v/>
      </c>
      <c r="Q53" s="108" t="str">
        <f>IF('(4).Midterm Results'!J53=0,"",'(4).Midterm Results'!J53)</f>
        <v/>
      </c>
      <c r="R53" s="108" t="str">
        <f>IF('(4).Midterm Results'!K53=0,"",'(4).Midterm Results'!K53)</f>
        <v/>
      </c>
      <c r="S53" s="108" t="str">
        <f>IF('(4).Midterm Results'!L53=0,"",'(4).Midterm Results'!L53)</f>
        <v/>
      </c>
      <c r="T53" s="108" t="str">
        <f>IF('(4).Midterm Results'!M53=0,"",'(4).Midterm Results'!M53)</f>
        <v/>
      </c>
      <c r="U53" s="108" t="str">
        <f>IF('(4).Midterm Results'!N53=0,"",'(4).Midterm Results'!N53)</f>
        <v/>
      </c>
      <c r="V53" s="108" t="str">
        <f>IF('(4).Midterm Results'!O53=0,"",'(4).Midterm Results'!O53)</f>
        <v/>
      </c>
    </row>
    <row r="54" spans="1:22" ht="12.4" customHeight="1">
      <c r="A54" s="237" t="s">
        <v>130</v>
      </c>
      <c r="B54" s="238"/>
      <c r="C54" s="238"/>
      <c r="D54" s="238"/>
      <c r="E54" s="238"/>
      <c r="F54" s="239"/>
      <c r="H54" s="108">
        <f>IF('(4).Midterm Results'!A54=0,"",'(4).Midterm Results'!A54)</f>
        <v>12</v>
      </c>
      <c r="I54" s="108" t="str">
        <f>IF('(4).Midterm Results'!B54=0,"",'(4).Midterm Results'!B54)</f>
        <v/>
      </c>
      <c r="J54" s="108" t="str">
        <f>IF('(4).Midterm Results'!C54=0,"",'(4).Midterm Results'!C54)</f>
        <v/>
      </c>
      <c r="K54" s="108" t="str">
        <f>IF('(4).Midterm Results'!D54=0,"",'(4).Midterm Results'!D54)</f>
        <v/>
      </c>
      <c r="L54" s="108" t="str">
        <f>IF('(4).Midterm Results'!E54=0,"",'(4).Midterm Results'!E54)</f>
        <v/>
      </c>
      <c r="M54" s="108" t="str">
        <f>IF('(4).Midterm Results'!F54=0,"",'(4).Midterm Results'!F54)</f>
        <v/>
      </c>
      <c r="N54" s="108" t="str">
        <f>IF('(4).Midterm Results'!G54=0,"",'(4).Midterm Results'!G54)</f>
        <v/>
      </c>
      <c r="O54" s="108" t="str">
        <f>IF('(4).Midterm Results'!H54=0,"",'(4).Midterm Results'!H54)</f>
        <v/>
      </c>
      <c r="P54" s="108" t="str">
        <f>IF('(4).Midterm Results'!I54=0,"",'(4).Midterm Results'!I54)</f>
        <v/>
      </c>
      <c r="Q54" s="108" t="str">
        <f>IF('(4).Midterm Results'!J54=0,"",'(4).Midterm Results'!J54)</f>
        <v/>
      </c>
      <c r="R54" s="108" t="str">
        <f>IF('(4).Midterm Results'!K54=0,"",'(4).Midterm Results'!K54)</f>
        <v/>
      </c>
      <c r="S54" s="108" t="str">
        <f>IF('(4).Midterm Results'!L54=0,"",'(4).Midterm Results'!L54)</f>
        <v/>
      </c>
      <c r="T54" s="108" t="str">
        <f>IF('(4).Midterm Results'!M54=0,"",'(4).Midterm Results'!M54)</f>
        <v/>
      </c>
      <c r="U54" s="108" t="str">
        <f>IF('(4).Midterm Results'!N54=0,"",'(4).Midterm Results'!N54)</f>
        <v/>
      </c>
      <c r="V54" s="108" t="str">
        <f>IF('(4).Midterm Results'!O54=0,"",'(4).Midterm Results'!O54)</f>
        <v/>
      </c>
    </row>
    <row r="55" spans="1:22" ht="12.4" customHeight="1">
      <c r="A55" s="245" t="s">
        <v>14</v>
      </c>
      <c r="B55" s="240" t="s">
        <v>125</v>
      </c>
      <c r="C55" s="241"/>
      <c r="D55" s="102" t="s">
        <v>126</v>
      </c>
      <c r="E55" s="109" t="s">
        <v>127</v>
      </c>
      <c r="F55" s="102" t="s">
        <v>128</v>
      </c>
      <c r="H55" s="108">
        <f>IF('(4).Midterm Results'!A55=0,"",'(4).Midterm Results'!A55)</f>
        <v>13</v>
      </c>
      <c r="I55" s="108" t="str">
        <f>IF('(4).Midterm Results'!B55=0,"",'(4).Midterm Results'!B55)</f>
        <v/>
      </c>
      <c r="J55" s="108" t="str">
        <f>IF('(4).Midterm Results'!C55=0,"",'(4).Midterm Results'!C55)</f>
        <v/>
      </c>
      <c r="K55" s="108" t="str">
        <f>IF('(4).Midterm Results'!D55=0,"",'(4).Midterm Results'!D55)</f>
        <v/>
      </c>
      <c r="L55" s="108" t="str">
        <f>IF('(4).Midterm Results'!E55=0,"",'(4).Midterm Results'!E55)</f>
        <v/>
      </c>
      <c r="M55" s="108" t="str">
        <f>IF('(4).Midterm Results'!F55=0,"",'(4).Midterm Results'!F55)</f>
        <v/>
      </c>
      <c r="N55" s="108" t="str">
        <f>IF('(4).Midterm Results'!G55=0,"",'(4).Midterm Results'!G55)</f>
        <v/>
      </c>
      <c r="O55" s="108" t="str">
        <f>IF('(4).Midterm Results'!H55=0,"",'(4).Midterm Results'!H55)</f>
        <v/>
      </c>
      <c r="P55" s="108" t="str">
        <f>IF('(4).Midterm Results'!I55=0,"",'(4).Midterm Results'!I55)</f>
        <v/>
      </c>
      <c r="Q55" s="108" t="str">
        <f>IF('(4).Midterm Results'!J55=0,"",'(4).Midterm Results'!J55)</f>
        <v/>
      </c>
      <c r="R55" s="108" t="str">
        <f>IF('(4).Midterm Results'!K55=0,"",'(4).Midterm Results'!K55)</f>
        <v/>
      </c>
      <c r="S55" s="108" t="str">
        <f>IF('(4).Midterm Results'!L55=0,"",'(4).Midterm Results'!L55)</f>
        <v/>
      </c>
      <c r="T55" s="108" t="str">
        <f>IF('(4).Midterm Results'!M55=0,"",'(4).Midterm Results'!M55)</f>
        <v/>
      </c>
      <c r="U55" s="108" t="str">
        <f>IF('(4).Midterm Results'!N55=0,"",'(4).Midterm Results'!N55)</f>
        <v/>
      </c>
      <c r="V55" s="108" t="str">
        <f>IF('(4).Midterm Results'!O55=0,"",'(4).Midterm Results'!O55)</f>
        <v/>
      </c>
    </row>
    <row r="56" spans="1:22" ht="12.4" customHeight="1">
      <c r="A56" s="246"/>
      <c r="B56" s="240" t="s">
        <v>129</v>
      </c>
      <c r="C56" s="241"/>
      <c r="D56" s="102">
        <v>100</v>
      </c>
      <c r="E56" s="110" cm="1">
        <f t="array" ref="E56:E67">TRANSPOSE(K10:V10)</f>
        <v>49</v>
      </c>
      <c r="F56" s="104" t="str">
        <f>IF(E56="","",IF(E56&lt;D56*60%,"Try harder",""))</f>
        <v>Try harder</v>
      </c>
      <c r="H56" s="108">
        <f>IF('(4).Midterm Results'!A56=0,"",'(4).Midterm Results'!A56)</f>
        <v>14</v>
      </c>
      <c r="I56" s="108" t="str">
        <f>IF('(4).Midterm Results'!B56=0,"",'(4).Midterm Results'!B56)</f>
        <v/>
      </c>
      <c r="J56" s="108" t="str">
        <f>IF('(4).Midterm Results'!C56=0,"",'(4).Midterm Results'!C56)</f>
        <v/>
      </c>
      <c r="K56" s="108" t="str">
        <f>IF('(4).Midterm Results'!D56=0,"",'(4).Midterm Results'!D56)</f>
        <v/>
      </c>
      <c r="L56" s="108" t="str">
        <f>IF('(4).Midterm Results'!E56=0,"",'(4).Midterm Results'!E56)</f>
        <v/>
      </c>
      <c r="M56" s="108" t="str">
        <f>IF('(4).Midterm Results'!F56=0,"",'(4).Midterm Results'!F56)</f>
        <v/>
      </c>
      <c r="N56" s="108" t="str">
        <f>IF('(4).Midterm Results'!G56=0,"",'(4).Midterm Results'!G56)</f>
        <v/>
      </c>
      <c r="O56" s="108" t="str">
        <f>IF('(4).Midterm Results'!H56=0,"",'(4).Midterm Results'!H56)</f>
        <v/>
      </c>
      <c r="P56" s="108" t="str">
        <f>IF('(4).Midterm Results'!I56=0,"",'(4).Midterm Results'!I56)</f>
        <v/>
      </c>
      <c r="Q56" s="108" t="str">
        <f>IF('(4).Midterm Results'!J56=0,"",'(4).Midterm Results'!J56)</f>
        <v/>
      </c>
      <c r="R56" s="108" t="str">
        <f>IF('(4).Midterm Results'!K56=0,"",'(4).Midterm Results'!K56)</f>
        <v/>
      </c>
      <c r="S56" s="108" t="str">
        <f>IF('(4).Midterm Results'!L56=0,"",'(4).Midterm Results'!L56)</f>
        <v/>
      </c>
      <c r="T56" s="108" t="str">
        <f>IF('(4).Midterm Results'!M56=0,"",'(4).Midterm Results'!M56)</f>
        <v/>
      </c>
      <c r="U56" s="108" t="str">
        <f>IF('(4).Midterm Results'!N56=0,"",'(4).Midterm Results'!N56)</f>
        <v/>
      </c>
      <c r="V56" s="108" t="str">
        <f>IF('(4).Midterm Results'!O56=0,"",'(4).Midterm Results'!O56)</f>
        <v/>
      </c>
    </row>
    <row r="57" spans="1:22" ht="12.4" customHeight="1">
      <c r="A57" s="246"/>
      <c r="B57" s="242" t="s">
        <v>132</v>
      </c>
      <c r="C57" s="133" t="str" cm="1">
        <f t="array" ref="C57:C66">TRANSPOSE($L$5:$U$5)</f>
        <v>Up-Low C</v>
      </c>
      <c r="D57" s="134">
        <v>10</v>
      </c>
      <c r="E57" s="135">
        <v>6.5</v>
      </c>
      <c r="F57" s="136" t="str">
        <f t="shared" ref="F57:F67" si="3">IF(E57="","",IF(E57&lt;D57*60%,"Try harder",""))</f>
        <v/>
      </c>
      <c r="H57" s="108">
        <f>IF('(4).Midterm Results'!A57=0,"",'(4).Midterm Results'!A57)</f>
        <v>15</v>
      </c>
      <c r="I57" s="108" t="str">
        <f>IF('(4).Midterm Results'!B57=0,"",'(4).Midterm Results'!B57)</f>
        <v/>
      </c>
      <c r="J57" s="108" t="str">
        <f>IF('(4).Midterm Results'!C57=0,"",'(4).Midterm Results'!C57)</f>
        <v/>
      </c>
      <c r="K57" s="108" t="str">
        <f>IF('(4).Midterm Results'!D57=0,"",'(4).Midterm Results'!D57)</f>
        <v/>
      </c>
      <c r="L57" s="108" t="str">
        <f>IF('(4).Midterm Results'!E57=0,"",'(4).Midterm Results'!E57)</f>
        <v/>
      </c>
      <c r="M57" s="108" t="str">
        <f>IF('(4).Midterm Results'!F57=0,"",'(4).Midterm Results'!F57)</f>
        <v/>
      </c>
      <c r="N57" s="108" t="str">
        <f>IF('(4).Midterm Results'!G57=0,"",'(4).Midterm Results'!G57)</f>
        <v/>
      </c>
      <c r="O57" s="108" t="str">
        <f>IF('(4).Midterm Results'!H57=0,"",'(4).Midterm Results'!H57)</f>
        <v/>
      </c>
      <c r="P57" s="108" t="str">
        <f>IF('(4).Midterm Results'!I57=0,"",'(4).Midterm Results'!I57)</f>
        <v/>
      </c>
      <c r="Q57" s="108" t="str">
        <f>IF('(4).Midterm Results'!J57=0,"",'(4).Midterm Results'!J57)</f>
        <v/>
      </c>
      <c r="R57" s="108" t="str">
        <f>IF('(4).Midterm Results'!K57=0,"",'(4).Midterm Results'!K57)</f>
        <v/>
      </c>
      <c r="S57" s="108" t="str">
        <f>IF('(4).Midterm Results'!L57=0,"",'(4).Midterm Results'!L57)</f>
        <v/>
      </c>
      <c r="T57" s="108" t="str">
        <f>IF('(4).Midterm Results'!M57=0,"",'(4).Midterm Results'!M57)</f>
        <v/>
      </c>
      <c r="U57" s="108" t="str">
        <f>IF('(4).Midterm Results'!N57=0,"",'(4).Midterm Results'!N57)</f>
        <v/>
      </c>
      <c r="V57" s="108" t="str">
        <f>IF('(4).Midterm Results'!O57=0,"",'(4).Midterm Results'!O57)</f>
        <v/>
      </c>
    </row>
    <row r="58" spans="1:22" ht="12.4" customHeight="1">
      <c r="A58" s="246"/>
      <c r="B58" s="243"/>
      <c r="C58" s="137" t="str">
        <v>Alphabet N</v>
      </c>
      <c r="D58" s="138">
        <v>10</v>
      </c>
      <c r="E58" s="139">
        <v>4</v>
      </c>
      <c r="F58" s="140" t="str">
        <f t="shared" si="3"/>
        <v>Try harder</v>
      </c>
      <c r="H58" s="108">
        <f>IF('(4).Midterm Results'!A58=0,"",'(4).Midterm Results'!A58)</f>
        <v>16</v>
      </c>
      <c r="I58" s="108" t="str">
        <f>IF('(4).Midterm Results'!B58=0,"",'(4).Midterm Results'!B58)</f>
        <v/>
      </c>
      <c r="J58" s="108" t="str">
        <f>IF('(4).Midterm Results'!C58=0,"",'(4).Midterm Results'!C58)</f>
        <v/>
      </c>
      <c r="K58" s="108" t="str">
        <f>IF('(4).Midterm Results'!D58=0,"",'(4).Midterm Results'!D58)</f>
        <v/>
      </c>
      <c r="L58" s="108" t="str">
        <f>IF('(4).Midterm Results'!E58=0,"",'(4).Midterm Results'!E58)</f>
        <v/>
      </c>
      <c r="M58" s="108" t="str">
        <f>IF('(4).Midterm Results'!F58=0,"",'(4).Midterm Results'!F58)</f>
        <v/>
      </c>
      <c r="N58" s="108" t="str">
        <f>IF('(4).Midterm Results'!G58=0,"",'(4).Midterm Results'!G58)</f>
        <v/>
      </c>
      <c r="O58" s="108" t="str">
        <f>IF('(4).Midterm Results'!H58=0,"",'(4).Midterm Results'!H58)</f>
        <v/>
      </c>
      <c r="P58" s="108" t="str">
        <f>IF('(4).Midterm Results'!I58=0,"",'(4).Midterm Results'!I58)</f>
        <v/>
      </c>
      <c r="Q58" s="108" t="str">
        <f>IF('(4).Midterm Results'!J58=0,"",'(4).Midterm Results'!J58)</f>
        <v/>
      </c>
      <c r="R58" s="108" t="str">
        <f>IF('(4).Midterm Results'!K58=0,"",'(4).Midterm Results'!K58)</f>
        <v/>
      </c>
      <c r="S58" s="108" t="str">
        <f>IF('(4).Midterm Results'!L58=0,"",'(4).Midterm Results'!L58)</f>
        <v/>
      </c>
      <c r="T58" s="108" t="str">
        <f>IF('(4).Midterm Results'!M58=0,"",'(4).Midterm Results'!M58)</f>
        <v/>
      </c>
      <c r="U58" s="108" t="str">
        <f>IF('(4).Midterm Results'!N58=0,"",'(4).Midterm Results'!N58)</f>
        <v/>
      </c>
      <c r="V58" s="108" t="str">
        <f>IF('(4).Midterm Results'!O58=0,"",'(4).Midterm Results'!O58)</f>
        <v/>
      </c>
    </row>
    <row r="59" spans="1:22" ht="12.4" customHeight="1">
      <c r="A59" s="246"/>
      <c r="B59" s="243"/>
      <c r="C59" s="137" t="str">
        <v>Alphabet S</v>
      </c>
      <c r="D59" s="138">
        <v>10</v>
      </c>
      <c r="E59" s="139">
        <v>0.5</v>
      </c>
      <c r="F59" s="140" t="str">
        <f t="shared" si="3"/>
        <v>Try harder</v>
      </c>
      <c r="H59" s="108">
        <f>IF('(4).Midterm Results'!A59=0,"",'(4).Midterm Results'!A59)</f>
        <v>17</v>
      </c>
      <c r="I59" s="108" t="str">
        <f>IF('(4).Midterm Results'!B59=0,"",'(4).Midterm Results'!B59)</f>
        <v/>
      </c>
      <c r="J59" s="108" t="str">
        <f>IF('(4).Midterm Results'!C59=0,"",'(4).Midterm Results'!C59)</f>
        <v/>
      </c>
      <c r="K59" s="108" t="str">
        <f>IF('(4).Midterm Results'!D59=0,"",'(4).Midterm Results'!D59)</f>
        <v/>
      </c>
      <c r="L59" s="108" t="str">
        <f>IF('(4).Midterm Results'!E59=0,"",'(4).Midterm Results'!E59)</f>
        <v/>
      </c>
      <c r="M59" s="108" t="str">
        <f>IF('(4).Midterm Results'!F59=0,"",'(4).Midterm Results'!F59)</f>
        <v/>
      </c>
      <c r="N59" s="108" t="str">
        <f>IF('(4).Midterm Results'!G59=0,"",'(4).Midterm Results'!G59)</f>
        <v/>
      </c>
      <c r="O59" s="108" t="str">
        <f>IF('(4).Midterm Results'!H59=0,"",'(4).Midterm Results'!H59)</f>
        <v/>
      </c>
      <c r="P59" s="108" t="str">
        <f>IF('(4).Midterm Results'!I59=0,"",'(4).Midterm Results'!I59)</f>
        <v/>
      </c>
      <c r="Q59" s="108" t="str">
        <f>IF('(4).Midterm Results'!J59=0,"",'(4).Midterm Results'!J59)</f>
        <v/>
      </c>
      <c r="R59" s="108" t="str">
        <f>IF('(4).Midterm Results'!K59=0,"",'(4).Midterm Results'!K59)</f>
        <v/>
      </c>
      <c r="S59" s="108" t="str">
        <f>IF('(4).Midterm Results'!L59=0,"",'(4).Midterm Results'!L59)</f>
        <v/>
      </c>
      <c r="T59" s="108" t="str">
        <f>IF('(4).Midterm Results'!M59=0,"",'(4).Midterm Results'!M59)</f>
        <v/>
      </c>
      <c r="U59" s="108" t="str">
        <f>IF('(4).Midterm Results'!N59=0,"",'(4).Midterm Results'!N59)</f>
        <v/>
      </c>
      <c r="V59" s="108" t="str">
        <f>IF('(4).Midterm Results'!O59=0,"",'(4).Midterm Results'!O59)</f>
        <v/>
      </c>
    </row>
    <row r="60" spans="1:22" ht="12.4" customHeight="1">
      <c r="A60" s="246"/>
      <c r="B60" s="243"/>
      <c r="C60" s="137" t="str">
        <v>Vocabulary</v>
      </c>
      <c r="D60" s="138">
        <v>10</v>
      </c>
      <c r="E60" s="139">
        <v>5.5</v>
      </c>
      <c r="F60" s="140" t="str">
        <f t="shared" si="3"/>
        <v>Try harder</v>
      </c>
      <c r="H60" s="108">
        <f>IF('(4).Midterm Results'!A60=0,"",'(4).Midterm Results'!A60)</f>
        <v>18</v>
      </c>
      <c r="I60" s="108" t="str">
        <f>IF('(4).Midterm Results'!B60=0,"",'(4).Midterm Results'!B60)</f>
        <v/>
      </c>
      <c r="J60" s="108" t="str">
        <f>IF('(4).Midterm Results'!C60=0,"",'(4).Midterm Results'!C60)</f>
        <v/>
      </c>
      <c r="K60" s="108" t="str">
        <f>IF('(4).Midterm Results'!D60=0,"",'(4).Midterm Results'!D60)</f>
        <v/>
      </c>
      <c r="L60" s="108" t="str">
        <f>IF('(4).Midterm Results'!E60=0,"",'(4).Midterm Results'!E60)</f>
        <v/>
      </c>
      <c r="M60" s="108" t="str">
        <f>IF('(4).Midterm Results'!F60=0,"",'(4).Midterm Results'!F60)</f>
        <v/>
      </c>
      <c r="N60" s="108" t="str">
        <f>IF('(4).Midterm Results'!G60=0,"",'(4).Midterm Results'!G60)</f>
        <v/>
      </c>
      <c r="O60" s="108" t="str">
        <f>IF('(4).Midterm Results'!H60=0,"",'(4).Midterm Results'!H60)</f>
        <v/>
      </c>
      <c r="P60" s="108" t="str">
        <f>IF('(4).Midterm Results'!I60=0,"",'(4).Midterm Results'!I60)</f>
        <v/>
      </c>
      <c r="Q60" s="108" t="str">
        <f>IF('(4).Midterm Results'!J60=0,"",'(4).Midterm Results'!J60)</f>
        <v/>
      </c>
      <c r="R60" s="108" t="str">
        <f>IF('(4).Midterm Results'!K60=0,"",'(4).Midterm Results'!K60)</f>
        <v/>
      </c>
      <c r="S60" s="108" t="str">
        <f>IF('(4).Midterm Results'!L60=0,"",'(4).Midterm Results'!L60)</f>
        <v/>
      </c>
      <c r="T60" s="108" t="str">
        <f>IF('(4).Midterm Results'!M60=0,"",'(4).Midterm Results'!M60)</f>
        <v/>
      </c>
      <c r="U60" s="108" t="str">
        <f>IF('(4).Midterm Results'!N60=0,"",'(4).Midterm Results'!N60)</f>
        <v/>
      </c>
      <c r="V60" s="108" t="str">
        <f>IF('(4).Midterm Results'!O60=0,"",'(4).Midterm Results'!O60)</f>
        <v/>
      </c>
    </row>
    <row r="61" spans="1:22" ht="12.4" customHeight="1">
      <c r="A61" s="247" t="s">
        <v>131</v>
      </c>
      <c r="B61" s="243"/>
      <c r="C61" s="137" t="str">
        <v>Sprouts</v>
      </c>
      <c r="D61" s="138">
        <v>10</v>
      </c>
      <c r="E61" s="139">
        <v>3</v>
      </c>
      <c r="F61" s="140" t="str">
        <f t="shared" si="3"/>
        <v>Try harder</v>
      </c>
      <c r="H61" s="108">
        <f>IF('(4).Midterm Results'!A61=0,"",'(4).Midterm Results'!A61)</f>
        <v>19</v>
      </c>
      <c r="I61" s="108" t="str">
        <f>IF('(4).Midterm Results'!B61=0,"",'(4).Midterm Results'!B61)</f>
        <v/>
      </c>
      <c r="J61" s="108" t="str">
        <f>IF('(4).Midterm Results'!C61=0,"",'(4).Midterm Results'!C61)</f>
        <v/>
      </c>
      <c r="K61" s="108" t="str">
        <f>IF('(4).Midterm Results'!D61=0,"",'(4).Midterm Results'!D61)</f>
        <v/>
      </c>
      <c r="L61" s="108" t="str">
        <f>IF('(4).Midterm Results'!E61=0,"",'(4).Midterm Results'!E61)</f>
        <v/>
      </c>
      <c r="M61" s="108" t="str">
        <f>IF('(4).Midterm Results'!F61=0,"",'(4).Midterm Results'!F61)</f>
        <v/>
      </c>
      <c r="N61" s="108" t="str">
        <f>IF('(4).Midterm Results'!G61=0,"",'(4).Midterm Results'!G61)</f>
        <v/>
      </c>
      <c r="O61" s="108" t="str">
        <f>IF('(4).Midterm Results'!H61=0,"",'(4).Midterm Results'!H61)</f>
        <v/>
      </c>
      <c r="P61" s="108" t="str">
        <f>IF('(4).Midterm Results'!I61=0,"",'(4).Midterm Results'!I61)</f>
        <v/>
      </c>
      <c r="Q61" s="108" t="str">
        <f>IF('(4).Midterm Results'!J61=0,"",'(4).Midterm Results'!J61)</f>
        <v/>
      </c>
      <c r="R61" s="108" t="str">
        <f>IF('(4).Midterm Results'!K61=0,"",'(4).Midterm Results'!K61)</f>
        <v/>
      </c>
      <c r="S61" s="108" t="str">
        <f>IF('(4).Midterm Results'!L61=0,"",'(4).Midterm Results'!L61)</f>
        <v/>
      </c>
      <c r="T61" s="108" t="str">
        <f>IF('(4).Midterm Results'!M61=0,"",'(4).Midterm Results'!M61)</f>
        <v/>
      </c>
      <c r="U61" s="108" t="str">
        <f>IF('(4).Midterm Results'!N61=0,"",'(4).Midterm Results'!N61)</f>
        <v/>
      </c>
      <c r="V61" s="108" t="str">
        <f>IF('(4).Midterm Results'!O61=0,"",'(4).Midterm Results'!O61)</f>
        <v/>
      </c>
    </row>
    <row r="62" spans="1:22" ht="12.4" customHeight="1">
      <c r="A62" s="247"/>
      <c r="B62" s="243"/>
      <c r="C62" s="137" t="str">
        <v>Phonics</v>
      </c>
      <c r="D62" s="138">
        <v>10</v>
      </c>
      <c r="E62" s="139">
        <v>2</v>
      </c>
      <c r="F62" s="140" t="str">
        <f t="shared" si="3"/>
        <v>Try harder</v>
      </c>
      <c r="H62" s="108">
        <f>IF('(4).Midterm Results'!A62=0,"",'(4).Midterm Results'!A62)</f>
        <v>20</v>
      </c>
      <c r="I62" s="108" t="str">
        <f>IF('(4).Midterm Results'!B62=0,"",'(4).Midterm Results'!B62)</f>
        <v/>
      </c>
      <c r="J62" s="108" t="str">
        <f>IF('(4).Midterm Results'!C62=0,"",'(4).Midterm Results'!C62)</f>
        <v/>
      </c>
      <c r="K62" s="108" t="str">
        <f>IF('(4).Midterm Results'!D62=0,"",'(4).Midterm Results'!D62)</f>
        <v/>
      </c>
      <c r="L62" s="108" t="str">
        <f>IF('(4).Midterm Results'!E62=0,"",'(4).Midterm Results'!E62)</f>
        <v/>
      </c>
      <c r="M62" s="108" t="str">
        <f>IF('(4).Midterm Results'!F62=0,"",'(4).Midterm Results'!F62)</f>
        <v/>
      </c>
      <c r="N62" s="108" t="str">
        <f>IF('(4).Midterm Results'!G62=0,"",'(4).Midterm Results'!G62)</f>
        <v/>
      </c>
      <c r="O62" s="108" t="str">
        <f>IF('(4).Midterm Results'!H62=0,"",'(4).Midterm Results'!H62)</f>
        <v/>
      </c>
      <c r="P62" s="108" t="str">
        <f>IF('(4).Midterm Results'!I62=0,"",'(4).Midterm Results'!I62)</f>
        <v/>
      </c>
      <c r="Q62" s="108" t="str">
        <f>IF('(4).Midterm Results'!J62=0,"",'(4).Midterm Results'!J62)</f>
        <v/>
      </c>
      <c r="R62" s="108" t="str">
        <f>IF('(4).Midterm Results'!K62=0,"",'(4).Midterm Results'!K62)</f>
        <v/>
      </c>
      <c r="S62" s="108" t="str">
        <f>IF('(4).Midterm Results'!L62=0,"",'(4).Midterm Results'!L62)</f>
        <v/>
      </c>
      <c r="T62" s="108" t="str">
        <f>IF('(4).Midterm Results'!M62=0,"",'(4).Midterm Results'!M62)</f>
        <v/>
      </c>
      <c r="U62" s="108" t="str">
        <f>IF('(4).Midterm Results'!N62=0,"",'(4).Midterm Results'!N62)</f>
        <v/>
      </c>
      <c r="V62" s="108" t="str">
        <f>IF('(4).Midterm Results'!O62=0,"",'(4).Midterm Results'!O62)</f>
        <v/>
      </c>
    </row>
    <row r="63" spans="1:22" ht="12.4" customHeight="1">
      <c r="A63" s="247"/>
      <c r="B63" s="243"/>
      <c r="C63" s="137" t="str">
        <v>Math</v>
      </c>
      <c r="D63" s="138">
        <v>10</v>
      </c>
      <c r="E63" s="139">
        <v>10</v>
      </c>
      <c r="F63" s="140" t="str">
        <f t="shared" si="3"/>
        <v/>
      </c>
      <c r="H63" s="108">
        <f>IF('(4).Midterm Results'!A63=0,"",'(4).Midterm Results'!A63)</f>
        <v>21</v>
      </c>
      <c r="I63" s="108" t="str">
        <f>IF('(4).Midterm Results'!B63=0,"",'(4).Midterm Results'!B63)</f>
        <v/>
      </c>
      <c r="J63" s="108" t="str">
        <f>IF('(4).Midterm Results'!C63=0,"",'(4).Midterm Results'!C63)</f>
        <v/>
      </c>
      <c r="K63" s="108" t="str">
        <f>IF('(4).Midterm Results'!D63=0,"",'(4).Midterm Results'!D63)</f>
        <v/>
      </c>
      <c r="L63" s="108" t="str">
        <f>IF('(4).Midterm Results'!E63=0,"",'(4).Midterm Results'!E63)</f>
        <v/>
      </c>
      <c r="M63" s="108" t="str">
        <f>IF('(4).Midterm Results'!F63=0,"",'(4).Midterm Results'!F63)</f>
        <v/>
      </c>
      <c r="N63" s="108" t="str">
        <f>IF('(4).Midterm Results'!G63=0,"",'(4).Midterm Results'!G63)</f>
        <v/>
      </c>
      <c r="O63" s="108" t="str">
        <f>IF('(4).Midterm Results'!H63=0,"",'(4).Midterm Results'!H63)</f>
        <v/>
      </c>
      <c r="P63" s="108" t="str">
        <f>IF('(4).Midterm Results'!I63=0,"",'(4).Midterm Results'!I63)</f>
        <v/>
      </c>
      <c r="Q63" s="108" t="str">
        <f>IF('(4).Midterm Results'!J63=0,"",'(4).Midterm Results'!J63)</f>
        <v/>
      </c>
      <c r="R63" s="108" t="str">
        <f>IF('(4).Midterm Results'!K63=0,"",'(4).Midterm Results'!K63)</f>
        <v/>
      </c>
      <c r="S63" s="108" t="str">
        <f>IF('(4).Midterm Results'!L63=0,"",'(4).Midterm Results'!L63)</f>
        <v/>
      </c>
      <c r="T63" s="108" t="str">
        <f>IF('(4).Midterm Results'!M63=0,"",'(4).Midterm Results'!M63)</f>
        <v/>
      </c>
      <c r="U63" s="108" t="str">
        <f>IF('(4).Midterm Results'!N63=0,"",'(4).Midterm Results'!N63)</f>
        <v/>
      </c>
      <c r="V63" s="108" t="str">
        <f>IF('(4).Midterm Results'!O63=0,"",'(4).Midterm Results'!O63)</f>
        <v/>
      </c>
    </row>
    <row r="64" spans="1:22" ht="12.4" customHeight="1">
      <c r="A64" s="247"/>
      <c r="B64" s="243"/>
      <c r="C64" s="137" t="str">
        <v>Shape</v>
      </c>
      <c r="D64" s="138">
        <v>10</v>
      </c>
      <c r="E64" s="139">
        <v>9</v>
      </c>
      <c r="F64" s="140" t="str">
        <f t="shared" si="3"/>
        <v/>
      </c>
      <c r="H64" s="108">
        <f>IF('(4).Midterm Results'!A64=0,"",'(4).Midterm Results'!A64)</f>
        <v>22</v>
      </c>
      <c r="I64" s="108" t="str">
        <f>IF('(4).Midterm Results'!B64=0,"",'(4).Midterm Results'!B64)</f>
        <v/>
      </c>
      <c r="J64" s="108" t="str">
        <f>IF('(4).Midterm Results'!C64=0,"",'(4).Midterm Results'!C64)</f>
        <v/>
      </c>
      <c r="K64" s="108" t="str">
        <f>IF('(4).Midterm Results'!D64=0,"",'(4).Midterm Results'!D64)</f>
        <v/>
      </c>
      <c r="L64" s="108" t="str">
        <f>IF('(4).Midterm Results'!E64=0,"",'(4).Midterm Results'!E64)</f>
        <v/>
      </c>
      <c r="M64" s="108" t="str">
        <f>IF('(4).Midterm Results'!F64=0,"",'(4).Midterm Results'!F64)</f>
        <v/>
      </c>
      <c r="N64" s="108" t="str">
        <f>IF('(4).Midterm Results'!G64=0,"",'(4).Midterm Results'!G64)</f>
        <v/>
      </c>
      <c r="O64" s="108" t="str">
        <f>IF('(4).Midterm Results'!H64=0,"",'(4).Midterm Results'!H64)</f>
        <v/>
      </c>
      <c r="P64" s="108" t="str">
        <f>IF('(4).Midterm Results'!I64=0,"",'(4).Midterm Results'!I64)</f>
        <v/>
      </c>
      <c r="Q64" s="108" t="str">
        <f>IF('(4).Midterm Results'!J64=0,"",'(4).Midterm Results'!J64)</f>
        <v/>
      </c>
      <c r="R64" s="108" t="str">
        <f>IF('(4).Midterm Results'!K64=0,"",'(4).Midterm Results'!K64)</f>
        <v/>
      </c>
      <c r="S64" s="108" t="str">
        <f>IF('(4).Midterm Results'!L64=0,"",'(4).Midterm Results'!L64)</f>
        <v/>
      </c>
      <c r="T64" s="108" t="str">
        <f>IF('(4).Midterm Results'!M64=0,"",'(4).Midterm Results'!M64)</f>
        <v/>
      </c>
      <c r="U64" s="108" t="str">
        <f>IF('(4).Midterm Results'!N64=0,"",'(4).Midterm Results'!N64)</f>
        <v/>
      </c>
      <c r="V64" s="108" t="str">
        <f>IF('(4).Midterm Results'!O64=0,"",'(4).Midterm Results'!O64)</f>
        <v/>
      </c>
    </row>
    <row r="65" spans="1:22" ht="12.4" customHeight="1">
      <c r="A65" s="247"/>
      <c r="B65" s="243"/>
      <c r="C65" s="137" t="str">
        <v>Science</v>
      </c>
      <c r="D65" s="138">
        <v>10</v>
      </c>
      <c r="E65" s="139">
        <v>6.5</v>
      </c>
      <c r="F65" s="140" t="str">
        <f t="shared" si="3"/>
        <v/>
      </c>
      <c r="H65" s="108">
        <f>IF('(4).Midterm Results'!A65=0,"",'(4).Midterm Results'!A65)</f>
        <v>23</v>
      </c>
      <c r="I65" s="108" t="str">
        <f>IF('(4).Midterm Results'!B65=0,"",'(4).Midterm Results'!B65)</f>
        <v/>
      </c>
      <c r="J65" s="108" t="str">
        <f>IF('(4).Midterm Results'!C65=0,"",'(4).Midterm Results'!C65)</f>
        <v/>
      </c>
      <c r="K65" s="108" t="str">
        <f>IF('(4).Midterm Results'!D65=0,"",'(4).Midterm Results'!D65)</f>
        <v/>
      </c>
      <c r="L65" s="108" t="str">
        <f>IF('(4).Midterm Results'!E65=0,"",'(4).Midterm Results'!E65)</f>
        <v/>
      </c>
      <c r="M65" s="108" t="str">
        <f>IF('(4).Midterm Results'!F65=0,"",'(4).Midterm Results'!F65)</f>
        <v/>
      </c>
      <c r="N65" s="108" t="str">
        <f>IF('(4).Midterm Results'!G65=0,"",'(4).Midterm Results'!G65)</f>
        <v/>
      </c>
      <c r="O65" s="108" t="str">
        <f>IF('(4).Midterm Results'!H65=0,"",'(4).Midterm Results'!H65)</f>
        <v/>
      </c>
      <c r="P65" s="108" t="str">
        <f>IF('(4).Midterm Results'!I65=0,"",'(4).Midterm Results'!I65)</f>
        <v/>
      </c>
      <c r="Q65" s="108" t="str">
        <f>IF('(4).Midterm Results'!J65=0,"",'(4).Midterm Results'!J65)</f>
        <v/>
      </c>
      <c r="R65" s="108" t="str">
        <f>IF('(4).Midterm Results'!K65=0,"",'(4).Midterm Results'!K65)</f>
        <v/>
      </c>
      <c r="S65" s="108" t="str">
        <f>IF('(4).Midterm Results'!L65=0,"",'(4).Midterm Results'!L65)</f>
        <v/>
      </c>
      <c r="T65" s="108" t="str">
        <f>IF('(4).Midterm Results'!M65=0,"",'(4).Midterm Results'!M65)</f>
        <v/>
      </c>
      <c r="U65" s="108" t="str">
        <f>IF('(4).Midterm Results'!N65=0,"",'(4).Midterm Results'!N65)</f>
        <v/>
      </c>
      <c r="V65" s="108" t="str">
        <f>IF('(4).Midterm Results'!O65=0,"",'(4).Midterm Results'!O65)</f>
        <v/>
      </c>
    </row>
    <row r="66" spans="1:22" ht="12.4" customHeight="1">
      <c r="A66" s="247"/>
      <c r="B66" s="244"/>
      <c r="C66" s="141" t="str">
        <v>Tracing</v>
      </c>
      <c r="D66" s="142">
        <v>10</v>
      </c>
      <c r="E66" s="143">
        <v>8</v>
      </c>
      <c r="F66" s="144" t="str">
        <f t="shared" si="3"/>
        <v/>
      </c>
      <c r="H66" s="108">
        <f>IF('(4).Midterm Results'!A66=0,"",'(4).Midterm Results'!A66)</f>
        <v>24</v>
      </c>
      <c r="I66" s="108" t="str">
        <f>IF('(4).Midterm Results'!B66=0,"",'(4).Midterm Results'!B66)</f>
        <v/>
      </c>
      <c r="J66" s="108" t="str">
        <f>IF('(4).Midterm Results'!C66=0,"",'(4).Midterm Results'!C66)</f>
        <v/>
      </c>
      <c r="K66" s="108" t="str">
        <f>IF('(4).Midterm Results'!D66=0,"",'(4).Midterm Results'!D66)</f>
        <v/>
      </c>
      <c r="L66" s="108" t="str">
        <f>IF('(4).Midterm Results'!E66=0,"",'(4).Midterm Results'!E66)</f>
        <v/>
      </c>
      <c r="M66" s="108" t="str">
        <f>IF('(4).Midterm Results'!F66=0,"",'(4).Midterm Results'!F66)</f>
        <v/>
      </c>
      <c r="N66" s="108" t="str">
        <f>IF('(4).Midterm Results'!G66=0,"",'(4).Midterm Results'!G66)</f>
        <v/>
      </c>
      <c r="O66" s="108" t="str">
        <f>IF('(4).Midterm Results'!H66=0,"",'(4).Midterm Results'!H66)</f>
        <v/>
      </c>
      <c r="P66" s="108" t="str">
        <f>IF('(4).Midterm Results'!I66=0,"",'(4).Midterm Results'!I66)</f>
        <v/>
      </c>
      <c r="Q66" s="108" t="str">
        <f>IF('(4).Midterm Results'!J66=0,"",'(4).Midterm Results'!J66)</f>
        <v/>
      </c>
      <c r="R66" s="108" t="str">
        <f>IF('(4).Midterm Results'!K66=0,"",'(4).Midterm Results'!K66)</f>
        <v/>
      </c>
      <c r="S66" s="108" t="str">
        <f>IF('(4).Midterm Results'!L66=0,"",'(4).Midterm Results'!L66)</f>
        <v/>
      </c>
      <c r="T66" s="108" t="str">
        <f>IF('(4).Midterm Results'!M66=0,"",'(4).Midterm Results'!M66)</f>
        <v/>
      </c>
      <c r="U66" s="108" t="str">
        <f>IF('(4).Midterm Results'!N66=0,"",'(4).Midterm Results'!N66)</f>
        <v/>
      </c>
      <c r="V66" s="108" t="str">
        <f>IF('(4).Midterm Results'!O66=0,"",'(4).Midterm Results'!O66)</f>
        <v/>
      </c>
    </row>
    <row r="67" spans="1:22" ht="12.4" customHeight="1">
      <c r="A67" s="248"/>
      <c r="B67" s="240" t="s">
        <v>133</v>
      </c>
      <c r="C67" s="241"/>
      <c r="D67" s="103">
        <f>D56*20%+SUM(D57:D66)*80%</f>
        <v>100</v>
      </c>
      <c r="E67" s="110">
        <v>53.8</v>
      </c>
      <c r="F67" s="104" t="str">
        <f t="shared" si="3"/>
        <v>Try harder</v>
      </c>
      <c r="H67" s="108">
        <f>IF('(4).Midterm Results'!A67=0,"",'(4).Midterm Results'!A67)</f>
        <v>25</v>
      </c>
      <c r="I67" s="108" t="str">
        <f>IF('(4).Midterm Results'!B67=0,"",'(4).Midterm Results'!B67)</f>
        <v/>
      </c>
      <c r="J67" s="108" t="str">
        <f>IF('(4).Midterm Results'!C67=0,"",'(4).Midterm Results'!C67)</f>
        <v/>
      </c>
      <c r="K67" s="108" t="str">
        <f>IF('(4).Midterm Results'!D67=0,"",'(4).Midterm Results'!D67)</f>
        <v/>
      </c>
      <c r="L67" s="108" t="str">
        <f>IF('(4).Midterm Results'!E67=0,"",'(4).Midterm Results'!E67)</f>
        <v/>
      </c>
      <c r="M67" s="108" t="str">
        <f>IF('(4).Midterm Results'!F67=0,"",'(4).Midterm Results'!F67)</f>
        <v/>
      </c>
      <c r="N67" s="108" t="str">
        <f>IF('(4).Midterm Results'!G67=0,"",'(4).Midterm Results'!G67)</f>
        <v/>
      </c>
      <c r="O67" s="108" t="str">
        <f>IF('(4).Midterm Results'!H67=0,"",'(4).Midterm Results'!H67)</f>
        <v/>
      </c>
      <c r="P67" s="108" t="str">
        <f>IF('(4).Midterm Results'!I67=0,"",'(4).Midterm Results'!I67)</f>
        <v/>
      </c>
      <c r="Q67" s="108" t="str">
        <f>IF('(4).Midterm Results'!J67=0,"",'(4).Midterm Results'!J67)</f>
        <v/>
      </c>
      <c r="R67" s="108" t="str">
        <f>IF('(4).Midterm Results'!K67=0,"",'(4).Midterm Results'!K67)</f>
        <v/>
      </c>
      <c r="S67" s="108" t="str">
        <f>IF('(4).Midterm Results'!L67=0,"",'(4).Midterm Results'!L67)</f>
        <v/>
      </c>
      <c r="T67" s="108" t="str">
        <f>IF('(4).Midterm Results'!M67=0,"",'(4).Midterm Results'!M67)</f>
        <v/>
      </c>
      <c r="U67" s="108" t="str">
        <f>IF('(4).Midterm Results'!N67=0,"",'(4).Midterm Results'!N67)</f>
        <v/>
      </c>
      <c r="V67" s="108" t="str">
        <f>IF('(4).Midterm Results'!O67=0,"",'(4).Midterm Results'!O67)</f>
        <v/>
      </c>
    </row>
    <row r="68" spans="1:22" ht="12.4" customHeight="1">
      <c r="H68" s="108">
        <f>IF('(4).Midterm Results'!A68=0,"",'(4).Midterm Results'!A68)</f>
        <v>26</v>
      </c>
      <c r="I68" s="108" t="str">
        <f>IF('(4).Midterm Results'!B68=0,"",'(4).Midterm Results'!B68)</f>
        <v/>
      </c>
      <c r="J68" s="108" t="str">
        <f>IF('(4).Midterm Results'!C68=0,"",'(4).Midterm Results'!C68)</f>
        <v/>
      </c>
      <c r="K68" s="108" t="str">
        <f>IF('(4).Midterm Results'!D68=0,"",'(4).Midterm Results'!D68)</f>
        <v/>
      </c>
      <c r="L68" s="108" t="str">
        <f>IF('(4).Midterm Results'!E68=0,"",'(4).Midterm Results'!E68)</f>
        <v/>
      </c>
      <c r="M68" s="108" t="str">
        <f>IF('(4).Midterm Results'!F68=0,"",'(4).Midterm Results'!F68)</f>
        <v/>
      </c>
      <c r="N68" s="108" t="str">
        <f>IF('(4).Midterm Results'!G68=0,"",'(4).Midterm Results'!G68)</f>
        <v/>
      </c>
      <c r="O68" s="108" t="str">
        <f>IF('(4).Midterm Results'!H68=0,"",'(4).Midterm Results'!H68)</f>
        <v/>
      </c>
      <c r="P68" s="108" t="str">
        <f>IF('(4).Midterm Results'!I68=0,"",'(4).Midterm Results'!I68)</f>
        <v/>
      </c>
      <c r="Q68" s="108" t="str">
        <f>IF('(4).Midterm Results'!J68=0,"",'(4).Midterm Results'!J68)</f>
        <v/>
      </c>
      <c r="R68" s="108" t="str">
        <f>IF('(4).Midterm Results'!K68=0,"",'(4).Midterm Results'!K68)</f>
        <v/>
      </c>
      <c r="S68" s="108" t="str">
        <f>IF('(4).Midterm Results'!L68=0,"",'(4).Midterm Results'!L68)</f>
        <v/>
      </c>
      <c r="T68" s="108" t="str">
        <f>IF('(4).Midterm Results'!M68=0,"",'(4).Midterm Results'!M68)</f>
        <v/>
      </c>
      <c r="U68" s="108" t="str">
        <f>IF('(4).Midterm Results'!N68=0,"",'(4).Midterm Results'!N68)</f>
        <v/>
      </c>
      <c r="V68" s="108" t="str">
        <f>IF('(4).Midterm Results'!O68=0,"",'(4).Midterm Results'!O68)</f>
        <v/>
      </c>
    </row>
    <row r="69" spans="1:22" ht="12.4" customHeight="1">
      <c r="A69" s="230" t="s">
        <v>121</v>
      </c>
      <c r="B69" s="231"/>
      <c r="C69" s="231"/>
      <c r="D69" s="107" t="s">
        <v>123</v>
      </c>
      <c r="E69" s="232" t="str">
        <f>I11</f>
        <v>Dy Meyly</v>
      </c>
      <c r="F69" s="233"/>
      <c r="G69" s="101">
        <v>11</v>
      </c>
      <c r="H69" s="108">
        <f>IF('(4).Midterm Results'!A69=0,"",'(4).Midterm Results'!A69)</f>
        <v>27</v>
      </c>
      <c r="I69" s="108" t="str">
        <f>IF('(4).Midterm Results'!B69=0,"",'(4).Midterm Results'!B69)</f>
        <v/>
      </c>
      <c r="J69" s="108" t="str">
        <f>IF('(4).Midterm Results'!C69=0,"",'(4).Midterm Results'!C69)</f>
        <v/>
      </c>
      <c r="K69" s="108" t="str">
        <f>IF('(4).Midterm Results'!D69=0,"",'(4).Midterm Results'!D69)</f>
        <v/>
      </c>
      <c r="L69" s="108" t="str">
        <f>IF('(4).Midterm Results'!E69=0,"",'(4).Midterm Results'!E69)</f>
        <v/>
      </c>
      <c r="M69" s="108" t="str">
        <f>IF('(4).Midterm Results'!F69=0,"",'(4).Midterm Results'!F69)</f>
        <v/>
      </c>
      <c r="N69" s="108" t="str">
        <f>IF('(4).Midterm Results'!G69=0,"",'(4).Midterm Results'!G69)</f>
        <v/>
      </c>
      <c r="O69" s="108" t="str">
        <f>IF('(4).Midterm Results'!H69=0,"",'(4).Midterm Results'!H69)</f>
        <v/>
      </c>
      <c r="P69" s="108" t="str">
        <f>IF('(4).Midterm Results'!I69=0,"",'(4).Midterm Results'!I69)</f>
        <v/>
      </c>
      <c r="Q69" s="108" t="str">
        <f>IF('(4).Midterm Results'!J69=0,"",'(4).Midterm Results'!J69)</f>
        <v/>
      </c>
      <c r="R69" s="108" t="str">
        <f>IF('(4).Midterm Results'!K69=0,"",'(4).Midterm Results'!K69)</f>
        <v/>
      </c>
      <c r="S69" s="108" t="str">
        <f>IF('(4).Midterm Results'!L69=0,"",'(4).Midterm Results'!L69)</f>
        <v/>
      </c>
      <c r="T69" s="108" t="str">
        <f>IF('(4).Midterm Results'!M69=0,"",'(4).Midterm Results'!M69)</f>
        <v/>
      </c>
      <c r="U69" s="108" t="str">
        <f>IF('(4).Midterm Results'!N69=0,"",'(4).Midterm Results'!N69)</f>
        <v/>
      </c>
      <c r="V69" s="108" t="str">
        <f>IF('(4).Midterm Results'!O69=0,"",'(4).Midterm Results'!O69)</f>
        <v/>
      </c>
    </row>
    <row r="70" spans="1:22" ht="12.4" customHeight="1">
      <c r="A70" s="105" t="s">
        <v>122</v>
      </c>
      <c r="B70" s="234" t="str">
        <f>$K$2</f>
        <v>FEBRUARY - JULY 2026</v>
      </c>
      <c r="C70" s="234"/>
      <c r="D70" s="106" t="s">
        <v>124</v>
      </c>
      <c r="E70" s="235" t="str">
        <f>$I$2</f>
        <v>K1B</v>
      </c>
      <c r="F70" s="236"/>
      <c r="H70" s="108">
        <f>IF('(4).Midterm Results'!A70=0,"",'(4).Midterm Results'!A70)</f>
        <v>28</v>
      </c>
      <c r="I70" s="108" t="str">
        <f>IF('(4).Midterm Results'!B70=0,"",'(4).Midterm Results'!B70)</f>
        <v/>
      </c>
      <c r="J70" s="108" t="str">
        <f>IF('(4).Midterm Results'!C70=0,"",'(4).Midterm Results'!C70)</f>
        <v/>
      </c>
      <c r="K70" s="108" t="str">
        <f>IF('(4).Midterm Results'!D70=0,"",'(4).Midterm Results'!D70)</f>
        <v/>
      </c>
      <c r="L70" s="108" t="str">
        <f>IF('(4).Midterm Results'!E70=0,"",'(4).Midterm Results'!E70)</f>
        <v/>
      </c>
      <c r="M70" s="108" t="str">
        <f>IF('(4).Midterm Results'!F70=0,"",'(4).Midterm Results'!F70)</f>
        <v/>
      </c>
      <c r="N70" s="108" t="str">
        <f>IF('(4).Midterm Results'!G70=0,"",'(4).Midterm Results'!G70)</f>
        <v/>
      </c>
      <c r="O70" s="108" t="str">
        <f>IF('(4).Midterm Results'!H70=0,"",'(4).Midterm Results'!H70)</f>
        <v/>
      </c>
      <c r="P70" s="108" t="str">
        <f>IF('(4).Midterm Results'!I70=0,"",'(4).Midterm Results'!I70)</f>
        <v/>
      </c>
      <c r="Q70" s="108" t="str">
        <f>IF('(4).Midterm Results'!J70=0,"",'(4).Midterm Results'!J70)</f>
        <v/>
      </c>
      <c r="R70" s="108" t="str">
        <f>IF('(4).Midterm Results'!K70=0,"",'(4).Midterm Results'!K70)</f>
        <v/>
      </c>
      <c r="S70" s="108" t="str">
        <f>IF('(4).Midterm Results'!L70=0,"",'(4).Midterm Results'!L70)</f>
        <v/>
      </c>
      <c r="T70" s="108" t="str">
        <f>IF('(4).Midterm Results'!M70=0,"",'(4).Midterm Results'!M70)</f>
        <v/>
      </c>
      <c r="U70" s="108" t="str">
        <f>IF('(4).Midterm Results'!N70=0,"",'(4).Midterm Results'!N70)</f>
        <v/>
      </c>
      <c r="V70" s="108" t="str">
        <f>IF('(4).Midterm Results'!O70=0,"",'(4).Midterm Results'!O70)</f>
        <v/>
      </c>
    </row>
    <row r="71" spans="1:22" ht="12.4" customHeight="1">
      <c r="A71" s="237" t="s">
        <v>130</v>
      </c>
      <c r="B71" s="238"/>
      <c r="C71" s="238"/>
      <c r="D71" s="238"/>
      <c r="E71" s="238"/>
      <c r="F71" s="239"/>
      <c r="H71" s="108">
        <f>IF('(4).Midterm Results'!A71=0,"",'(4).Midterm Results'!A71)</f>
        <v>29</v>
      </c>
      <c r="I71" s="108" t="str">
        <f>IF('(4).Midterm Results'!B71=0,"",'(4).Midterm Results'!B71)</f>
        <v/>
      </c>
      <c r="J71" s="108" t="str">
        <f>IF('(4).Midterm Results'!C71=0,"",'(4).Midterm Results'!C71)</f>
        <v/>
      </c>
      <c r="K71" s="108" t="str">
        <f>IF('(4).Midterm Results'!D71=0,"",'(4).Midterm Results'!D71)</f>
        <v/>
      </c>
      <c r="L71" s="108" t="str">
        <f>IF('(4).Midterm Results'!E71=0,"",'(4).Midterm Results'!E71)</f>
        <v/>
      </c>
      <c r="M71" s="108" t="str">
        <f>IF('(4).Midterm Results'!F71=0,"",'(4).Midterm Results'!F71)</f>
        <v/>
      </c>
      <c r="N71" s="108" t="str">
        <f>IF('(4).Midterm Results'!G71=0,"",'(4).Midterm Results'!G71)</f>
        <v/>
      </c>
      <c r="O71" s="108" t="str">
        <f>IF('(4).Midterm Results'!H71=0,"",'(4).Midterm Results'!H71)</f>
        <v/>
      </c>
      <c r="P71" s="108" t="str">
        <f>IF('(4).Midterm Results'!I71=0,"",'(4).Midterm Results'!I71)</f>
        <v/>
      </c>
      <c r="Q71" s="108" t="str">
        <f>IF('(4).Midterm Results'!J71=0,"",'(4).Midterm Results'!J71)</f>
        <v/>
      </c>
      <c r="R71" s="108" t="str">
        <f>IF('(4).Midterm Results'!K71=0,"",'(4).Midterm Results'!K71)</f>
        <v/>
      </c>
      <c r="S71" s="108" t="str">
        <f>IF('(4).Midterm Results'!L71=0,"",'(4).Midterm Results'!L71)</f>
        <v/>
      </c>
      <c r="T71" s="108" t="str">
        <f>IF('(4).Midterm Results'!M71=0,"",'(4).Midterm Results'!M71)</f>
        <v/>
      </c>
      <c r="U71" s="108" t="str">
        <f>IF('(4).Midterm Results'!N71=0,"",'(4).Midterm Results'!N71)</f>
        <v/>
      </c>
      <c r="V71" s="108" t="str">
        <f>IF('(4).Midterm Results'!O71=0,"",'(4).Midterm Results'!O71)</f>
        <v/>
      </c>
    </row>
    <row r="72" spans="1:22" ht="12.4" customHeight="1">
      <c r="A72" s="245" t="s">
        <v>14</v>
      </c>
      <c r="B72" s="240" t="s">
        <v>125</v>
      </c>
      <c r="C72" s="241"/>
      <c r="D72" s="102" t="s">
        <v>126</v>
      </c>
      <c r="E72" s="109" t="s">
        <v>127</v>
      </c>
      <c r="F72" s="102" t="s">
        <v>128</v>
      </c>
      <c r="H72" s="108">
        <f>IF('(4).Midterm Results'!A72=0,"",'(4).Midterm Results'!A72)</f>
        <v>30</v>
      </c>
      <c r="I72" s="108" t="str">
        <f>IF('(4).Midterm Results'!B72=0,"",'(4).Midterm Results'!B72)</f>
        <v/>
      </c>
      <c r="J72" s="108" t="str">
        <f>IF('(4).Midterm Results'!C72=0,"",'(4).Midterm Results'!C72)</f>
        <v/>
      </c>
      <c r="K72" s="108" t="str">
        <f>IF('(4).Midterm Results'!D72=0,"",'(4).Midterm Results'!D72)</f>
        <v/>
      </c>
      <c r="L72" s="108" t="str">
        <f>IF('(4).Midterm Results'!E72=0,"",'(4).Midterm Results'!E72)</f>
        <v/>
      </c>
      <c r="M72" s="108" t="str">
        <f>IF('(4).Midterm Results'!F72=0,"",'(4).Midterm Results'!F72)</f>
        <v/>
      </c>
      <c r="N72" s="108" t="str">
        <f>IF('(4).Midterm Results'!G72=0,"",'(4).Midterm Results'!G72)</f>
        <v/>
      </c>
      <c r="O72" s="108" t="str">
        <f>IF('(4).Midterm Results'!H72=0,"",'(4).Midterm Results'!H72)</f>
        <v/>
      </c>
      <c r="P72" s="108" t="str">
        <f>IF('(4).Midterm Results'!I72=0,"",'(4).Midterm Results'!I72)</f>
        <v/>
      </c>
      <c r="Q72" s="108" t="str">
        <f>IF('(4).Midterm Results'!J72=0,"",'(4).Midterm Results'!J72)</f>
        <v/>
      </c>
      <c r="R72" s="108" t="str">
        <f>IF('(4).Midterm Results'!K72=0,"",'(4).Midterm Results'!K72)</f>
        <v/>
      </c>
      <c r="S72" s="108" t="str">
        <f>IF('(4).Midterm Results'!L72=0,"",'(4).Midterm Results'!L72)</f>
        <v/>
      </c>
      <c r="T72" s="108" t="str">
        <f>IF('(4).Midterm Results'!M72=0,"",'(4).Midterm Results'!M72)</f>
        <v/>
      </c>
      <c r="U72" s="108" t="str">
        <f>IF('(4).Midterm Results'!N72=0,"",'(4).Midterm Results'!N72)</f>
        <v/>
      </c>
      <c r="V72" s="108" t="str">
        <f>IF('(4).Midterm Results'!O72=0,"",'(4).Midterm Results'!O72)</f>
        <v/>
      </c>
    </row>
    <row r="73" spans="1:22" ht="12.4" customHeight="1">
      <c r="A73" s="246"/>
      <c r="B73" s="240" t="s">
        <v>129</v>
      </c>
      <c r="C73" s="241"/>
      <c r="D73" s="102">
        <v>100</v>
      </c>
      <c r="E73" s="110" cm="1">
        <f t="array" ref="E73:E84">TRANSPOSE(K11:V11)</f>
        <v>96.625</v>
      </c>
      <c r="F73" s="104" t="str">
        <f>IF(E73="","",IF(E73&lt;D73*60%,"Try harder",""))</f>
        <v/>
      </c>
      <c r="H73" s="108" t="str">
        <f>IF('(4).Midterm Results'!A73=0,"",'(4).Midterm Results'!A73)</f>
        <v>Br:</v>
      </c>
      <c r="I73" s="108" t="str">
        <f>IF('(4).Midterm Results'!B73=0,"",'(4).Midterm Results'!B73)</f>
        <v/>
      </c>
      <c r="J73" s="108" t="str">
        <f>IF('(4).Midterm Results'!C73=0,"",'(4).Midterm Results'!C73)</f>
        <v/>
      </c>
      <c r="K73" s="108" t="str">
        <f>IF('(4).Midterm Results'!D73=0,"",'(4).Midterm Results'!D73)</f>
        <v>MIDTERM RESULTS</v>
      </c>
      <c r="L73" s="108" t="str">
        <f>IF('(4).Midterm Results'!E73=0,"",'(4).Midterm Results'!E73)</f>
        <v/>
      </c>
      <c r="M73" s="108" t="str">
        <f>IF('(4).Midterm Results'!F73=0,"",'(4).Midterm Results'!F73)</f>
        <v/>
      </c>
      <c r="N73" s="108" t="str">
        <f>IF('(4).Midterm Results'!G73=0,"",'(4).Midterm Results'!G73)</f>
        <v/>
      </c>
      <c r="O73" s="108" t="str">
        <f>IF('(4).Midterm Results'!H73=0,"",'(4).Midterm Results'!H73)</f>
        <v/>
      </c>
      <c r="P73" s="108" t="str">
        <f>IF('(4).Midterm Results'!I73=0,"",'(4).Midterm Results'!I73)</f>
        <v/>
      </c>
      <c r="Q73" s="108" t="str">
        <f>IF('(4).Midterm Results'!J73=0,"",'(4).Midterm Results'!J73)</f>
        <v/>
      </c>
      <c r="R73" s="108" t="str">
        <f>IF('(4).Midterm Results'!K73=0,"",'(4).Midterm Results'!K73)</f>
        <v/>
      </c>
      <c r="S73" s="108" t="str">
        <f>IF('(4).Midterm Results'!L73=0,"",'(4).Midterm Results'!L73)</f>
        <v/>
      </c>
      <c r="T73" s="108" t="str">
        <f>IF('(4).Midterm Results'!M73=0,"",'(4).Midterm Results'!M73)</f>
        <v/>
      </c>
      <c r="U73" s="108" t="str">
        <f>IF('(4).Midterm Results'!N73=0,"",'(4).Midterm Results'!N73)</f>
        <v/>
      </c>
      <c r="V73" s="108" t="str">
        <f>IF('(4).Midterm Results'!O73=0,"",'(4).Midterm Results'!O73)</f>
        <v/>
      </c>
    </row>
    <row r="74" spans="1:22" ht="12.4" customHeight="1">
      <c r="A74" s="246"/>
      <c r="B74" s="242" t="s">
        <v>132</v>
      </c>
      <c r="C74" s="133" t="str" cm="1">
        <f t="array" ref="C74:C83">TRANSPOSE($L$5:$U$5)</f>
        <v>Up-Low C</v>
      </c>
      <c r="D74" s="134">
        <v>10</v>
      </c>
      <c r="E74" s="135">
        <v>10</v>
      </c>
      <c r="F74" s="136" t="str">
        <f t="shared" ref="F74:F84" si="4">IF(E74="","",IF(E74&lt;D74*60%,"Try harder",""))</f>
        <v/>
      </c>
      <c r="H74" s="108" t="str">
        <f>IF('(4).Midterm Results'!A74=0,"",'(4).Midterm Results'!A74)</f>
        <v>Level:</v>
      </c>
      <c r="I74" s="108" t="str">
        <f>IF('(4).Midterm Results'!B74=0,"",'(4).Midterm Results'!B74)</f>
        <v/>
      </c>
      <c r="J74" s="108" t="str">
        <f>IF('(4).Midterm Results'!C74=0,"",'(4).Midterm Results'!C74)</f>
        <v/>
      </c>
      <c r="K74" s="108" t="str">
        <f>IF('(4).Midterm Results'!D74=0,"",'(4).Midterm Results'!D74)</f>
        <v>FEBRUARY - JULY 2026</v>
      </c>
      <c r="L74" s="108" t="str">
        <f>IF('(4).Midterm Results'!E74=0,"",'(4).Midterm Results'!E74)</f>
        <v/>
      </c>
      <c r="M74" s="108" t="str">
        <f>IF('(4).Midterm Results'!F74=0,"",'(4).Midterm Results'!F74)</f>
        <v/>
      </c>
      <c r="N74" s="108" t="str">
        <f>IF('(4).Midterm Results'!G74=0,"",'(4).Midterm Results'!G74)</f>
        <v/>
      </c>
      <c r="O74" s="108" t="str">
        <f>IF('(4).Midterm Results'!H74=0,"",'(4).Midterm Results'!H74)</f>
        <v/>
      </c>
      <c r="P74" s="108" t="str">
        <f>IF('(4).Midterm Results'!I74=0,"",'(4).Midterm Results'!I74)</f>
        <v/>
      </c>
      <c r="Q74" s="108" t="str">
        <f>IF('(4).Midterm Results'!J74=0,"",'(4).Midterm Results'!J74)</f>
        <v/>
      </c>
      <c r="R74" s="108" t="str">
        <f>IF('(4).Midterm Results'!K74=0,"",'(4).Midterm Results'!K74)</f>
        <v/>
      </c>
      <c r="S74" s="108" t="str">
        <f>IF('(4).Midterm Results'!L74=0,"",'(4).Midterm Results'!L74)</f>
        <v/>
      </c>
      <c r="T74" s="108" t="str">
        <f>IF('(4).Midterm Results'!M74=0,"",'(4).Midterm Results'!M74)</f>
        <v/>
      </c>
      <c r="U74" s="108" t="str">
        <f>IF('(4).Midterm Results'!N74=0,"",'(4).Midterm Results'!N74)</f>
        <v/>
      </c>
      <c r="V74" s="108" t="str">
        <f>IF('(4).Midterm Results'!O74=0,"",'(4).Midterm Results'!O74)</f>
        <v/>
      </c>
    </row>
    <row r="75" spans="1:22" ht="12.4" customHeight="1">
      <c r="A75" s="246"/>
      <c r="B75" s="243"/>
      <c r="C75" s="137" t="str">
        <v>Alphabet N</v>
      </c>
      <c r="D75" s="138">
        <v>10</v>
      </c>
      <c r="E75" s="139">
        <v>10</v>
      </c>
      <c r="F75" s="140" t="str">
        <f t="shared" si="4"/>
        <v/>
      </c>
      <c r="H75" s="108" t="str">
        <f>IF('(4).Midterm Results'!A75=0,"",'(4).Midterm Results'!A75)</f>
        <v>Time:</v>
      </c>
      <c r="I75" s="108" t="str">
        <f>IF('(4).Midterm Results'!B75=0,"",'(4).Midterm Results'!B75)</f>
        <v/>
      </c>
      <c r="J75" s="108" t="str">
        <f>IF('(4).Midterm Results'!C75=0,"",'(4).Midterm Results'!C75)</f>
        <v/>
      </c>
      <c r="K75" s="108" t="str">
        <f>IF('(4).Midterm Results'!D75=0,"",'(4).Midterm Results'!D75)</f>
        <v>*** Midterm Results (Total Scores) = Midterm Daily (20%) + Midterm Exam (80%) ***</v>
      </c>
      <c r="L75" s="108" t="str">
        <f>IF('(4).Midterm Results'!E75=0,"",'(4).Midterm Results'!E75)</f>
        <v/>
      </c>
      <c r="M75" s="108" t="str">
        <f>IF('(4).Midterm Results'!F75=0,"",'(4).Midterm Results'!F75)</f>
        <v/>
      </c>
      <c r="N75" s="108" t="str">
        <f>IF('(4).Midterm Results'!G75=0,"",'(4).Midterm Results'!G75)</f>
        <v/>
      </c>
      <c r="O75" s="108" t="str">
        <f>IF('(4).Midterm Results'!H75=0,"",'(4).Midterm Results'!H75)</f>
        <v/>
      </c>
      <c r="P75" s="108" t="str">
        <f>IF('(4).Midterm Results'!I75=0,"",'(4).Midterm Results'!I75)</f>
        <v/>
      </c>
      <c r="Q75" s="108" t="str">
        <f>IF('(4).Midterm Results'!J75=0,"",'(4).Midterm Results'!J75)</f>
        <v/>
      </c>
      <c r="R75" s="108" t="str">
        <f>IF('(4).Midterm Results'!K75=0,"",'(4).Midterm Results'!K75)</f>
        <v/>
      </c>
      <c r="S75" s="108" t="str">
        <f>IF('(4).Midterm Results'!L75=0,"",'(4).Midterm Results'!L75)</f>
        <v/>
      </c>
      <c r="T75" s="108" t="str">
        <f>IF('(4).Midterm Results'!M75=0,"",'(4).Midterm Results'!M75)</f>
        <v/>
      </c>
      <c r="U75" s="108" t="str">
        <f>IF('(4).Midterm Results'!N75=0,"",'(4).Midterm Results'!N75)</f>
        <v/>
      </c>
      <c r="V75" s="108" t="str">
        <f>IF('(4).Midterm Results'!O75=0,"",'(4).Midterm Results'!O75)</f>
        <v/>
      </c>
    </row>
    <row r="76" spans="1:22" ht="12.4" customHeight="1">
      <c r="A76" s="246"/>
      <c r="B76" s="243"/>
      <c r="C76" s="137" t="str">
        <v>Alphabet S</v>
      </c>
      <c r="D76" s="138">
        <v>10</v>
      </c>
      <c r="E76" s="139">
        <v>10</v>
      </c>
      <c r="F76" s="140" t="str">
        <f t="shared" si="4"/>
        <v/>
      </c>
      <c r="H76" s="108" t="str">
        <f>IF('(4).Midterm Results'!A76=0,"",'(4).Midterm Results'!A76)</f>
        <v>Room:</v>
      </c>
      <c r="I76" s="108" t="str">
        <f>IF('(4).Midterm Results'!B76=0,"",'(4).Midterm Results'!B76)</f>
        <v/>
      </c>
      <c r="J76" s="108" t="str">
        <f>IF('(4).Midterm Results'!C76=0,"",'(4).Midterm Results'!C76)</f>
        <v/>
      </c>
      <c r="K76" s="108" t="str">
        <f>IF('(4).Midterm Results'!D76=0,"",'(4).Midterm Results'!D76)</f>
        <v>MIDTERM</v>
      </c>
      <c r="L76" s="108" t="str">
        <f>IF('(4).Midterm Results'!E76=0,"",'(4).Midterm Results'!E76)</f>
        <v>MIDTERM EXAM</v>
      </c>
      <c r="M76" s="108" t="str">
        <f>IF('(4).Midterm Results'!F76=0,"",'(4).Midterm Results'!F76)</f>
        <v/>
      </c>
      <c r="N76" s="108" t="str">
        <f>IF('(4).Midterm Results'!G76=0,"",'(4).Midterm Results'!G76)</f>
        <v/>
      </c>
      <c r="O76" s="108" t="str">
        <f>IF('(4).Midterm Results'!H76=0,"",'(4).Midterm Results'!H76)</f>
        <v/>
      </c>
      <c r="P76" s="108" t="str">
        <f>IF('(4).Midterm Results'!I76=0,"",'(4).Midterm Results'!I76)</f>
        <v/>
      </c>
      <c r="Q76" s="108" t="str">
        <f>IF('(4).Midterm Results'!J76=0,"",'(4).Midterm Results'!J76)</f>
        <v/>
      </c>
      <c r="R76" s="108" t="str">
        <f>IF('(4).Midterm Results'!K76=0,"",'(4).Midterm Results'!K76)</f>
        <v/>
      </c>
      <c r="S76" s="108" t="str">
        <f>IF('(4).Midterm Results'!L76=0,"",'(4).Midterm Results'!L76)</f>
        <v/>
      </c>
      <c r="T76" s="108" t="str">
        <f>IF('(4).Midterm Results'!M76=0,"",'(4).Midterm Results'!M76)</f>
        <v/>
      </c>
      <c r="U76" s="108" t="str">
        <f>IF('(4).Midterm Results'!N76=0,"",'(4).Midterm Results'!N76)</f>
        <v/>
      </c>
      <c r="V76" s="108" t="str">
        <f>IF('(4).Midterm Results'!O76=0,"",'(4).Midterm Results'!O76)</f>
        <v>TOTAL</v>
      </c>
    </row>
    <row r="77" spans="1:22" ht="12.4" customHeight="1">
      <c r="A77" s="246"/>
      <c r="B77" s="243"/>
      <c r="C77" s="137" t="str">
        <v>Vocabulary</v>
      </c>
      <c r="D77" s="138">
        <v>10</v>
      </c>
      <c r="E77" s="139">
        <v>10</v>
      </c>
      <c r="F77" s="140" t="str">
        <f t="shared" si="4"/>
        <v/>
      </c>
      <c r="H77" s="108" t="str">
        <f>IF('(4).Midterm Results'!A77=0,"",'(4).Midterm Results'!A77)</f>
        <v>Tr:</v>
      </c>
      <c r="I77" s="108" t="str">
        <f>IF('(4).Midterm Results'!B77=0,"",'(4).Midterm Results'!B77)</f>
        <v/>
      </c>
      <c r="J77" s="108" t="str">
        <f>IF('(4).Midterm Results'!C77=0,"",'(4).Midterm Results'!C77)</f>
        <v/>
      </c>
      <c r="K77" s="108" t="str">
        <f>IF('(4).Midterm Results'!D77=0,"",'(4).Midterm Results'!D77)</f>
        <v>DAILY</v>
      </c>
      <c r="L77" s="108" t="str">
        <f>IF('(4).Midterm Results'!E77=0,"",'(4).Midterm Results'!E77)</f>
        <v>Up-Low C</v>
      </c>
      <c r="M77" s="108" t="str">
        <f>IF('(4).Midterm Results'!F77=0,"",'(4).Midterm Results'!F77)</f>
        <v>Alphabet N</v>
      </c>
      <c r="N77" s="108" t="str">
        <f>IF('(4).Midterm Results'!G77=0,"",'(4).Midterm Results'!G77)</f>
        <v>Alphabet S</v>
      </c>
      <c r="O77" s="108" t="str">
        <f>IF('(4).Midterm Results'!H77=0,"",'(4).Midterm Results'!H77)</f>
        <v>Vocabulary</v>
      </c>
      <c r="P77" s="108" t="str">
        <f>IF('(4).Midterm Results'!I77=0,"",'(4).Midterm Results'!I77)</f>
        <v>Sprouts</v>
      </c>
      <c r="Q77" s="108" t="str">
        <f>IF('(4).Midterm Results'!J77=0,"",'(4).Midterm Results'!J77)</f>
        <v>Phonics</v>
      </c>
      <c r="R77" s="108" t="str">
        <f>IF('(4).Midterm Results'!K77=0,"",'(4).Midterm Results'!K77)</f>
        <v>Math</v>
      </c>
      <c r="S77" s="108" t="str">
        <f>IF('(4).Midterm Results'!L77=0,"",'(4).Midterm Results'!L77)</f>
        <v>Shape</v>
      </c>
      <c r="T77" s="108" t="str">
        <f>IF('(4).Midterm Results'!M77=0,"",'(4).Midterm Results'!M77)</f>
        <v>Science</v>
      </c>
      <c r="U77" s="108" t="str">
        <f>IF('(4).Midterm Results'!N77=0,"",'(4).Midterm Results'!N77)</f>
        <v>Tracing</v>
      </c>
      <c r="V77" s="108" t="str">
        <f>IF('(4).Midterm Results'!O77=0,"",'(4).Midterm Results'!O77)</f>
        <v>SCORES</v>
      </c>
    </row>
    <row r="78" spans="1:22" ht="12.4" customHeight="1">
      <c r="A78" s="247" t="s">
        <v>131</v>
      </c>
      <c r="B78" s="243"/>
      <c r="C78" s="137" t="str">
        <v>Sprouts</v>
      </c>
      <c r="D78" s="138">
        <v>10</v>
      </c>
      <c r="E78" s="139">
        <v>10</v>
      </c>
      <c r="F78" s="140" t="str">
        <f t="shared" si="4"/>
        <v/>
      </c>
      <c r="H78" s="108" t="str">
        <f>IF('(4).Midterm Results'!A78=0,"",'(4).Midterm Results'!A78)</f>
        <v>NO</v>
      </c>
      <c r="I78" s="108" t="str">
        <f>IF('(4).Midterm Results'!B78=0,"",'(4).Midterm Results'!B78)</f>
        <v>NAME</v>
      </c>
      <c r="J78" s="108" t="str">
        <f>IF('(4).Midterm Results'!C78=0,"",'(4).Midterm Results'!C78)</f>
        <v>SEX</v>
      </c>
      <c r="K78" s="108" t="str">
        <f>IF('(4).Midterm Results'!D78=0,"",'(4).Midterm Results'!D78)</f>
        <v>100 points</v>
      </c>
      <c r="L78" s="108" t="str">
        <f>IF('(4).Midterm Results'!E78=0,"",'(4).Midterm Results'!E78)</f>
        <v>10 points</v>
      </c>
      <c r="M78" s="108" t="str">
        <f>IF('(4).Midterm Results'!F78=0,"",'(4).Midterm Results'!F78)</f>
        <v>10 points</v>
      </c>
      <c r="N78" s="108" t="str">
        <f>IF('(4).Midterm Results'!G78=0,"",'(4).Midterm Results'!G78)</f>
        <v>10 points</v>
      </c>
      <c r="O78" s="108" t="str">
        <f>IF('(4).Midterm Results'!H78=0,"",'(4).Midterm Results'!H78)</f>
        <v>10 points</v>
      </c>
      <c r="P78" s="108" t="str">
        <f>IF('(4).Midterm Results'!I78=0,"",'(4).Midterm Results'!I78)</f>
        <v>10 points</v>
      </c>
      <c r="Q78" s="108" t="str">
        <f>IF('(4).Midterm Results'!J78=0,"",'(4).Midterm Results'!J78)</f>
        <v>10 points</v>
      </c>
      <c r="R78" s="108" t="str">
        <f>IF('(4).Midterm Results'!K78=0,"",'(4).Midterm Results'!K78)</f>
        <v>10 points</v>
      </c>
      <c r="S78" s="108" t="str">
        <f>IF('(4).Midterm Results'!L78=0,"",'(4).Midterm Results'!L78)</f>
        <v>10 points</v>
      </c>
      <c r="T78" s="108" t="str">
        <f>IF('(4).Midterm Results'!M78=0,"",'(4).Midterm Results'!M78)</f>
        <v>10 points</v>
      </c>
      <c r="U78" s="108" t="str">
        <f>IF('(4).Midterm Results'!N78=0,"",'(4).Midterm Results'!N78)</f>
        <v>10 points</v>
      </c>
      <c r="V78" s="108" t="str">
        <f>IF('(4).Midterm Results'!O78=0,"",'(4).Midterm Results'!O78)</f>
        <v>100 points</v>
      </c>
    </row>
    <row r="79" spans="1:22" ht="12.4" customHeight="1">
      <c r="A79" s="247"/>
      <c r="B79" s="243"/>
      <c r="C79" s="137" t="str">
        <v>Phonics</v>
      </c>
      <c r="D79" s="138">
        <v>10</v>
      </c>
      <c r="E79" s="139">
        <v>10</v>
      </c>
      <c r="F79" s="140" t="str">
        <f t="shared" si="4"/>
        <v/>
      </c>
      <c r="H79" s="108">
        <f>IF('(4).Midterm Results'!A79=0,"",'(4).Midterm Results'!A79)</f>
        <v>1</v>
      </c>
      <c r="I79" s="108" t="str">
        <f>IF('(4).Midterm Results'!B79=0,"",'(4).Midterm Results'!B79)</f>
        <v/>
      </c>
      <c r="J79" s="108" t="str">
        <f>IF('(4).Midterm Results'!C79=0,"",'(4).Midterm Results'!C79)</f>
        <v/>
      </c>
      <c r="K79" s="108" t="str">
        <f>IF('(4).Midterm Results'!D79=0,"",'(4).Midterm Results'!D79)</f>
        <v/>
      </c>
      <c r="L79" s="108" t="str">
        <f>IF('(4).Midterm Results'!E79=0,"",'(4).Midterm Results'!E79)</f>
        <v/>
      </c>
      <c r="M79" s="108" t="str">
        <f>IF('(4).Midterm Results'!F79=0,"",'(4).Midterm Results'!F79)</f>
        <v/>
      </c>
      <c r="N79" s="108" t="str">
        <f>IF('(4).Midterm Results'!G79=0,"",'(4).Midterm Results'!G79)</f>
        <v/>
      </c>
      <c r="O79" s="108" t="str">
        <f>IF('(4).Midterm Results'!H79=0,"",'(4).Midterm Results'!H79)</f>
        <v/>
      </c>
      <c r="P79" s="108" t="str">
        <f>IF('(4).Midterm Results'!I79=0,"",'(4).Midterm Results'!I79)</f>
        <v/>
      </c>
      <c r="Q79" s="108" t="str">
        <f>IF('(4).Midterm Results'!J79=0,"",'(4).Midterm Results'!J79)</f>
        <v/>
      </c>
      <c r="R79" s="108" t="str">
        <f>IF('(4).Midterm Results'!K79=0,"",'(4).Midterm Results'!K79)</f>
        <v/>
      </c>
      <c r="S79" s="108" t="str">
        <f>IF('(4).Midterm Results'!L79=0,"",'(4).Midterm Results'!L79)</f>
        <v/>
      </c>
      <c r="T79" s="108" t="str">
        <f>IF('(4).Midterm Results'!M79=0,"",'(4).Midterm Results'!M79)</f>
        <v/>
      </c>
      <c r="U79" s="108" t="str">
        <f>IF('(4).Midterm Results'!N79=0,"",'(4).Midterm Results'!N79)</f>
        <v/>
      </c>
      <c r="V79" s="108" t="str">
        <f>IF('(4).Midterm Results'!O79=0,"",'(4).Midterm Results'!O79)</f>
        <v/>
      </c>
    </row>
    <row r="80" spans="1:22" ht="12.4" customHeight="1">
      <c r="A80" s="247"/>
      <c r="B80" s="243"/>
      <c r="C80" s="137" t="str">
        <v>Math</v>
      </c>
      <c r="D80" s="138">
        <v>10</v>
      </c>
      <c r="E80" s="139">
        <v>10</v>
      </c>
      <c r="F80" s="140" t="str">
        <f t="shared" si="4"/>
        <v/>
      </c>
      <c r="H80" s="108">
        <f>IF('(4).Midterm Results'!A80=0,"",'(4).Midterm Results'!A80)</f>
        <v>2</v>
      </c>
      <c r="I80" s="108" t="str">
        <f>IF('(4).Midterm Results'!B80=0,"",'(4).Midterm Results'!B80)</f>
        <v/>
      </c>
      <c r="J80" s="108" t="str">
        <f>IF('(4).Midterm Results'!C80=0,"",'(4).Midterm Results'!C80)</f>
        <v/>
      </c>
      <c r="K80" s="108" t="str">
        <f>IF('(4).Midterm Results'!D80=0,"",'(4).Midterm Results'!D80)</f>
        <v/>
      </c>
      <c r="L80" s="108" t="str">
        <f>IF('(4).Midterm Results'!E80=0,"",'(4).Midterm Results'!E80)</f>
        <v/>
      </c>
      <c r="M80" s="108" t="str">
        <f>IF('(4).Midterm Results'!F80=0,"",'(4).Midterm Results'!F80)</f>
        <v/>
      </c>
      <c r="N80" s="108" t="str">
        <f>IF('(4).Midterm Results'!G80=0,"",'(4).Midterm Results'!G80)</f>
        <v/>
      </c>
      <c r="O80" s="108" t="str">
        <f>IF('(4).Midterm Results'!H80=0,"",'(4).Midterm Results'!H80)</f>
        <v/>
      </c>
      <c r="P80" s="108" t="str">
        <f>IF('(4).Midterm Results'!I80=0,"",'(4).Midterm Results'!I80)</f>
        <v/>
      </c>
      <c r="Q80" s="108" t="str">
        <f>IF('(4).Midterm Results'!J80=0,"",'(4).Midterm Results'!J80)</f>
        <v/>
      </c>
      <c r="R80" s="108" t="str">
        <f>IF('(4).Midterm Results'!K80=0,"",'(4).Midterm Results'!K80)</f>
        <v/>
      </c>
      <c r="S80" s="108" t="str">
        <f>IF('(4).Midterm Results'!L80=0,"",'(4).Midterm Results'!L80)</f>
        <v/>
      </c>
      <c r="T80" s="108" t="str">
        <f>IF('(4).Midterm Results'!M80=0,"",'(4).Midterm Results'!M80)</f>
        <v/>
      </c>
      <c r="U80" s="108" t="str">
        <f>IF('(4).Midterm Results'!N80=0,"",'(4).Midterm Results'!N80)</f>
        <v/>
      </c>
      <c r="V80" s="108" t="str">
        <f>IF('(4).Midterm Results'!O80=0,"",'(4).Midterm Results'!O80)</f>
        <v/>
      </c>
    </row>
    <row r="81" spans="1:22" ht="12.4" customHeight="1">
      <c r="A81" s="247"/>
      <c r="B81" s="243"/>
      <c r="C81" s="137" t="str">
        <v>Shape</v>
      </c>
      <c r="D81" s="138">
        <v>10</v>
      </c>
      <c r="E81" s="139">
        <v>10</v>
      </c>
      <c r="F81" s="140" t="str">
        <f t="shared" si="4"/>
        <v/>
      </c>
      <c r="H81" s="108">
        <f>IF('(4).Midterm Results'!A81=0,"",'(4).Midterm Results'!A81)</f>
        <v>3</v>
      </c>
      <c r="I81" s="108" t="str">
        <f>IF('(4).Midterm Results'!B81=0,"",'(4).Midterm Results'!B81)</f>
        <v/>
      </c>
      <c r="J81" s="108" t="str">
        <f>IF('(4).Midterm Results'!C81=0,"",'(4).Midterm Results'!C81)</f>
        <v/>
      </c>
      <c r="K81" s="108" t="str">
        <f>IF('(4).Midterm Results'!D81=0,"",'(4).Midterm Results'!D81)</f>
        <v/>
      </c>
      <c r="L81" s="108" t="str">
        <f>IF('(4).Midterm Results'!E81=0,"",'(4).Midterm Results'!E81)</f>
        <v/>
      </c>
      <c r="M81" s="108" t="str">
        <f>IF('(4).Midterm Results'!F81=0,"",'(4).Midterm Results'!F81)</f>
        <v/>
      </c>
      <c r="N81" s="108" t="str">
        <f>IF('(4).Midterm Results'!G81=0,"",'(4).Midterm Results'!G81)</f>
        <v/>
      </c>
      <c r="O81" s="108" t="str">
        <f>IF('(4).Midterm Results'!H81=0,"",'(4).Midterm Results'!H81)</f>
        <v/>
      </c>
      <c r="P81" s="108" t="str">
        <f>IF('(4).Midterm Results'!I81=0,"",'(4).Midterm Results'!I81)</f>
        <v/>
      </c>
      <c r="Q81" s="108" t="str">
        <f>IF('(4).Midterm Results'!J81=0,"",'(4).Midterm Results'!J81)</f>
        <v/>
      </c>
      <c r="R81" s="108" t="str">
        <f>IF('(4).Midterm Results'!K81=0,"",'(4).Midterm Results'!K81)</f>
        <v/>
      </c>
      <c r="S81" s="108" t="str">
        <f>IF('(4).Midterm Results'!L81=0,"",'(4).Midterm Results'!L81)</f>
        <v/>
      </c>
      <c r="T81" s="108" t="str">
        <f>IF('(4).Midterm Results'!M81=0,"",'(4).Midterm Results'!M81)</f>
        <v/>
      </c>
      <c r="U81" s="108" t="str">
        <f>IF('(4).Midterm Results'!N81=0,"",'(4).Midterm Results'!N81)</f>
        <v/>
      </c>
      <c r="V81" s="108" t="str">
        <f>IF('(4).Midterm Results'!O81=0,"",'(4).Midterm Results'!O81)</f>
        <v/>
      </c>
    </row>
    <row r="82" spans="1:22" ht="12.4" customHeight="1">
      <c r="A82" s="247"/>
      <c r="B82" s="243"/>
      <c r="C82" s="137" t="str">
        <v>Science</v>
      </c>
      <c r="D82" s="138">
        <v>10</v>
      </c>
      <c r="E82" s="139">
        <v>10</v>
      </c>
      <c r="F82" s="140" t="str">
        <f t="shared" si="4"/>
        <v/>
      </c>
      <c r="H82" s="108">
        <f>IF('(4).Midterm Results'!A82=0,"",'(4).Midterm Results'!A82)</f>
        <v>4</v>
      </c>
      <c r="I82" s="108" t="str">
        <f>IF('(4).Midterm Results'!B82=0,"",'(4).Midterm Results'!B82)</f>
        <v/>
      </c>
      <c r="J82" s="108" t="str">
        <f>IF('(4).Midterm Results'!C82=0,"",'(4).Midterm Results'!C82)</f>
        <v/>
      </c>
      <c r="K82" s="108" t="str">
        <f>IF('(4).Midterm Results'!D82=0,"",'(4).Midterm Results'!D82)</f>
        <v/>
      </c>
      <c r="L82" s="108" t="str">
        <f>IF('(4).Midterm Results'!E82=0,"",'(4).Midterm Results'!E82)</f>
        <v/>
      </c>
      <c r="M82" s="108" t="str">
        <f>IF('(4).Midterm Results'!F82=0,"",'(4).Midterm Results'!F82)</f>
        <v/>
      </c>
      <c r="N82" s="108" t="str">
        <f>IF('(4).Midterm Results'!G82=0,"",'(4).Midterm Results'!G82)</f>
        <v/>
      </c>
      <c r="O82" s="108" t="str">
        <f>IF('(4).Midterm Results'!H82=0,"",'(4).Midterm Results'!H82)</f>
        <v/>
      </c>
      <c r="P82" s="108" t="str">
        <f>IF('(4).Midterm Results'!I82=0,"",'(4).Midterm Results'!I82)</f>
        <v/>
      </c>
      <c r="Q82" s="108" t="str">
        <f>IF('(4).Midterm Results'!J82=0,"",'(4).Midterm Results'!J82)</f>
        <v/>
      </c>
      <c r="R82" s="108" t="str">
        <f>IF('(4).Midterm Results'!K82=0,"",'(4).Midterm Results'!K82)</f>
        <v/>
      </c>
      <c r="S82" s="108" t="str">
        <f>IF('(4).Midterm Results'!L82=0,"",'(4).Midterm Results'!L82)</f>
        <v/>
      </c>
      <c r="T82" s="108" t="str">
        <f>IF('(4).Midterm Results'!M82=0,"",'(4).Midterm Results'!M82)</f>
        <v/>
      </c>
      <c r="U82" s="108" t="str">
        <f>IF('(4).Midterm Results'!N82=0,"",'(4).Midterm Results'!N82)</f>
        <v/>
      </c>
      <c r="V82" s="108" t="str">
        <f>IF('(4).Midterm Results'!O82=0,"",'(4).Midterm Results'!O82)</f>
        <v/>
      </c>
    </row>
    <row r="83" spans="1:22" ht="12.4" customHeight="1">
      <c r="A83" s="247"/>
      <c r="B83" s="244"/>
      <c r="C83" s="141" t="str">
        <v>Tracing</v>
      </c>
      <c r="D83" s="142">
        <v>10</v>
      </c>
      <c r="E83" s="143">
        <v>10</v>
      </c>
      <c r="F83" s="144" t="str">
        <f t="shared" si="4"/>
        <v/>
      </c>
      <c r="H83" s="108">
        <f>IF('(4).Midterm Results'!A83=0,"",'(4).Midterm Results'!A83)</f>
        <v>5</v>
      </c>
      <c r="I83" s="108" t="str">
        <f>IF('(4).Midterm Results'!B83=0,"",'(4).Midterm Results'!B83)</f>
        <v/>
      </c>
      <c r="J83" s="108" t="str">
        <f>IF('(4).Midterm Results'!C83=0,"",'(4).Midterm Results'!C83)</f>
        <v/>
      </c>
      <c r="K83" s="108" t="str">
        <f>IF('(4).Midterm Results'!D83=0,"",'(4).Midterm Results'!D83)</f>
        <v/>
      </c>
      <c r="L83" s="108" t="str">
        <f>IF('(4).Midterm Results'!E83=0,"",'(4).Midterm Results'!E83)</f>
        <v/>
      </c>
      <c r="M83" s="108" t="str">
        <f>IF('(4).Midterm Results'!F83=0,"",'(4).Midterm Results'!F83)</f>
        <v/>
      </c>
      <c r="N83" s="108" t="str">
        <f>IF('(4).Midterm Results'!G83=0,"",'(4).Midterm Results'!G83)</f>
        <v/>
      </c>
      <c r="O83" s="108" t="str">
        <f>IF('(4).Midterm Results'!H83=0,"",'(4).Midterm Results'!H83)</f>
        <v/>
      </c>
      <c r="P83" s="108" t="str">
        <f>IF('(4).Midterm Results'!I83=0,"",'(4).Midterm Results'!I83)</f>
        <v/>
      </c>
      <c r="Q83" s="108" t="str">
        <f>IF('(4).Midterm Results'!J83=0,"",'(4).Midterm Results'!J83)</f>
        <v/>
      </c>
      <c r="R83" s="108" t="str">
        <f>IF('(4).Midterm Results'!K83=0,"",'(4).Midterm Results'!K83)</f>
        <v/>
      </c>
      <c r="S83" s="108" t="str">
        <f>IF('(4).Midterm Results'!L83=0,"",'(4).Midterm Results'!L83)</f>
        <v/>
      </c>
      <c r="T83" s="108" t="str">
        <f>IF('(4).Midterm Results'!M83=0,"",'(4).Midterm Results'!M83)</f>
        <v/>
      </c>
      <c r="U83" s="108" t="str">
        <f>IF('(4).Midterm Results'!N83=0,"",'(4).Midterm Results'!N83)</f>
        <v/>
      </c>
      <c r="V83" s="108" t="str">
        <f>IF('(4).Midterm Results'!O83=0,"",'(4).Midterm Results'!O83)</f>
        <v/>
      </c>
    </row>
    <row r="84" spans="1:22" ht="12.4" customHeight="1">
      <c r="A84" s="248"/>
      <c r="B84" s="240" t="s">
        <v>133</v>
      </c>
      <c r="C84" s="241"/>
      <c r="D84" s="103">
        <f>D73*20%+SUM(D74:D83)*80%</f>
        <v>100</v>
      </c>
      <c r="E84" s="110">
        <v>99.325000000000003</v>
      </c>
      <c r="F84" s="104" t="str">
        <f t="shared" si="4"/>
        <v/>
      </c>
      <c r="H84" s="108">
        <f>IF('(4).Midterm Results'!A84=0,"",'(4).Midterm Results'!A84)</f>
        <v>6</v>
      </c>
      <c r="I84" s="108" t="str">
        <f>IF('(4).Midterm Results'!B84=0,"",'(4).Midterm Results'!B84)</f>
        <v/>
      </c>
      <c r="J84" s="108" t="str">
        <f>IF('(4).Midterm Results'!C84=0,"",'(4).Midterm Results'!C84)</f>
        <v/>
      </c>
      <c r="K84" s="108" t="str">
        <f>IF('(4).Midterm Results'!D84=0,"",'(4).Midterm Results'!D84)</f>
        <v/>
      </c>
      <c r="L84" s="108" t="str">
        <f>IF('(4).Midterm Results'!E84=0,"",'(4).Midterm Results'!E84)</f>
        <v/>
      </c>
      <c r="M84" s="108" t="str">
        <f>IF('(4).Midterm Results'!F84=0,"",'(4).Midterm Results'!F84)</f>
        <v/>
      </c>
      <c r="N84" s="108" t="str">
        <f>IF('(4).Midterm Results'!G84=0,"",'(4).Midterm Results'!G84)</f>
        <v/>
      </c>
      <c r="O84" s="108" t="str">
        <f>IF('(4).Midterm Results'!H84=0,"",'(4).Midterm Results'!H84)</f>
        <v/>
      </c>
      <c r="P84" s="108" t="str">
        <f>IF('(4).Midterm Results'!I84=0,"",'(4).Midterm Results'!I84)</f>
        <v/>
      </c>
      <c r="Q84" s="108" t="str">
        <f>IF('(4).Midterm Results'!J84=0,"",'(4).Midterm Results'!J84)</f>
        <v/>
      </c>
      <c r="R84" s="108" t="str">
        <f>IF('(4).Midterm Results'!K84=0,"",'(4).Midterm Results'!K84)</f>
        <v/>
      </c>
      <c r="S84" s="108" t="str">
        <f>IF('(4).Midterm Results'!L84=0,"",'(4).Midterm Results'!L84)</f>
        <v/>
      </c>
      <c r="T84" s="108" t="str">
        <f>IF('(4).Midterm Results'!M84=0,"",'(4).Midterm Results'!M84)</f>
        <v/>
      </c>
      <c r="U84" s="108" t="str">
        <f>IF('(4).Midterm Results'!N84=0,"",'(4).Midterm Results'!N84)</f>
        <v/>
      </c>
      <c r="V84" s="108" t="str">
        <f>IF('(4).Midterm Results'!O84=0,"",'(4).Midterm Results'!O84)</f>
        <v/>
      </c>
    </row>
    <row r="85" spans="1:22" ht="12.4" customHeight="1">
      <c r="H85" s="108">
        <f>IF('(4).Midterm Results'!A85=0,"",'(4).Midterm Results'!A85)</f>
        <v>7</v>
      </c>
      <c r="I85" s="108" t="str">
        <f>IF('(4).Midterm Results'!B85=0,"",'(4).Midterm Results'!B85)</f>
        <v/>
      </c>
      <c r="J85" s="108" t="str">
        <f>IF('(4).Midterm Results'!C85=0,"",'(4).Midterm Results'!C85)</f>
        <v/>
      </c>
      <c r="K85" s="108" t="str">
        <f>IF('(4).Midterm Results'!D85=0,"",'(4).Midterm Results'!D85)</f>
        <v/>
      </c>
      <c r="L85" s="108" t="str">
        <f>IF('(4).Midterm Results'!E85=0,"",'(4).Midterm Results'!E85)</f>
        <v/>
      </c>
      <c r="M85" s="108" t="str">
        <f>IF('(4).Midterm Results'!F85=0,"",'(4).Midterm Results'!F85)</f>
        <v/>
      </c>
      <c r="N85" s="108" t="str">
        <f>IF('(4).Midterm Results'!G85=0,"",'(4).Midterm Results'!G85)</f>
        <v/>
      </c>
      <c r="O85" s="108" t="str">
        <f>IF('(4).Midterm Results'!H85=0,"",'(4).Midterm Results'!H85)</f>
        <v/>
      </c>
      <c r="P85" s="108" t="str">
        <f>IF('(4).Midterm Results'!I85=0,"",'(4).Midterm Results'!I85)</f>
        <v/>
      </c>
      <c r="Q85" s="108" t="str">
        <f>IF('(4).Midterm Results'!J85=0,"",'(4).Midterm Results'!J85)</f>
        <v/>
      </c>
      <c r="R85" s="108" t="str">
        <f>IF('(4).Midterm Results'!K85=0,"",'(4).Midterm Results'!K85)</f>
        <v/>
      </c>
      <c r="S85" s="108" t="str">
        <f>IF('(4).Midterm Results'!L85=0,"",'(4).Midterm Results'!L85)</f>
        <v/>
      </c>
      <c r="T85" s="108" t="str">
        <f>IF('(4).Midterm Results'!M85=0,"",'(4).Midterm Results'!M85)</f>
        <v/>
      </c>
      <c r="U85" s="108" t="str">
        <f>IF('(4).Midterm Results'!N85=0,"",'(4).Midterm Results'!N85)</f>
        <v/>
      </c>
      <c r="V85" s="108" t="str">
        <f>IF('(4).Midterm Results'!O85=0,"",'(4).Midterm Results'!O85)</f>
        <v/>
      </c>
    </row>
    <row r="86" spans="1:22" ht="12.4" customHeight="1">
      <c r="A86" s="230" t="s">
        <v>121</v>
      </c>
      <c r="B86" s="231"/>
      <c r="C86" s="231"/>
      <c r="D86" s="107" t="s">
        <v>123</v>
      </c>
      <c r="E86" s="232" t="str">
        <f>I12</f>
        <v>Heang Limhak</v>
      </c>
      <c r="F86" s="233"/>
      <c r="G86" s="101">
        <v>12</v>
      </c>
      <c r="H86" s="108">
        <f>IF('(4).Midterm Results'!A86=0,"",'(4).Midterm Results'!A86)</f>
        <v>8</v>
      </c>
      <c r="I86" s="108" t="str">
        <f>IF('(4).Midterm Results'!B86=0,"",'(4).Midterm Results'!B86)</f>
        <v/>
      </c>
      <c r="J86" s="108" t="str">
        <f>IF('(4).Midterm Results'!C86=0,"",'(4).Midterm Results'!C86)</f>
        <v/>
      </c>
      <c r="K86" s="108" t="str">
        <f>IF('(4).Midterm Results'!D86=0,"",'(4).Midterm Results'!D86)</f>
        <v/>
      </c>
      <c r="L86" s="108" t="str">
        <f>IF('(4).Midterm Results'!E86=0,"",'(4).Midterm Results'!E86)</f>
        <v/>
      </c>
      <c r="M86" s="108" t="str">
        <f>IF('(4).Midterm Results'!F86=0,"",'(4).Midterm Results'!F86)</f>
        <v/>
      </c>
      <c r="N86" s="108" t="str">
        <f>IF('(4).Midterm Results'!G86=0,"",'(4).Midterm Results'!G86)</f>
        <v/>
      </c>
      <c r="O86" s="108" t="str">
        <f>IF('(4).Midterm Results'!H86=0,"",'(4).Midterm Results'!H86)</f>
        <v/>
      </c>
      <c r="P86" s="108" t="str">
        <f>IF('(4).Midterm Results'!I86=0,"",'(4).Midterm Results'!I86)</f>
        <v/>
      </c>
      <c r="Q86" s="108" t="str">
        <f>IF('(4).Midterm Results'!J86=0,"",'(4).Midterm Results'!J86)</f>
        <v/>
      </c>
      <c r="R86" s="108" t="str">
        <f>IF('(4).Midterm Results'!K86=0,"",'(4).Midterm Results'!K86)</f>
        <v/>
      </c>
      <c r="S86" s="108" t="str">
        <f>IF('(4).Midterm Results'!L86=0,"",'(4).Midterm Results'!L86)</f>
        <v/>
      </c>
      <c r="T86" s="108" t="str">
        <f>IF('(4).Midterm Results'!M86=0,"",'(4).Midterm Results'!M86)</f>
        <v/>
      </c>
      <c r="U86" s="108" t="str">
        <f>IF('(4).Midterm Results'!N86=0,"",'(4).Midterm Results'!N86)</f>
        <v/>
      </c>
      <c r="V86" s="108" t="str">
        <f>IF('(4).Midterm Results'!O86=0,"",'(4).Midterm Results'!O86)</f>
        <v/>
      </c>
    </row>
    <row r="87" spans="1:22" ht="12.4" customHeight="1">
      <c r="A87" s="105" t="s">
        <v>122</v>
      </c>
      <c r="B87" s="234" t="str">
        <f>$K$2</f>
        <v>FEBRUARY - JULY 2026</v>
      </c>
      <c r="C87" s="234"/>
      <c r="D87" s="106" t="s">
        <v>124</v>
      </c>
      <c r="E87" s="235" t="str">
        <f>$I$2</f>
        <v>K1B</v>
      </c>
      <c r="F87" s="236"/>
      <c r="H87" s="108">
        <f>IF('(4).Midterm Results'!A87=0,"",'(4).Midterm Results'!A87)</f>
        <v>9</v>
      </c>
      <c r="I87" s="108" t="str">
        <f>IF('(4).Midterm Results'!B87=0,"",'(4).Midterm Results'!B87)</f>
        <v/>
      </c>
      <c r="J87" s="108" t="str">
        <f>IF('(4).Midterm Results'!C87=0,"",'(4).Midterm Results'!C87)</f>
        <v/>
      </c>
      <c r="K87" s="108" t="str">
        <f>IF('(4).Midterm Results'!D87=0,"",'(4).Midterm Results'!D87)</f>
        <v/>
      </c>
      <c r="L87" s="108" t="str">
        <f>IF('(4).Midterm Results'!E87=0,"",'(4).Midterm Results'!E87)</f>
        <v/>
      </c>
      <c r="M87" s="108" t="str">
        <f>IF('(4).Midterm Results'!F87=0,"",'(4).Midterm Results'!F87)</f>
        <v/>
      </c>
      <c r="N87" s="108" t="str">
        <f>IF('(4).Midterm Results'!G87=0,"",'(4).Midterm Results'!G87)</f>
        <v/>
      </c>
      <c r="O87" s="108" t="str">
        <f>IF('(4).Midterm Results'!H87=0,"",'(4).Midterm Results'!H87)</f>
        <v/>
      </c>
      <c r="P87" s="108" t="str">
        <f>IF('(4).Midterm Results'!I87=0,"",'(4).Midterm Results'!I87)</f>
        <v/>
      </c>
      <c r="Q87" s="108" t="str">
        <f>IF('(4).Midterm Results'!J87=0,"",'(4).Midterm Results'!J87)</f>
        <v/>
      </c>
      <c r="R87" s="108" t="str">
        <f>IF('(4).Midterm Results'!K87=0,"",'(4).Midterm Results'!K87)</f>
        <v/>
      </c>
      <c r="S87" s="108" t="str">
        <f>IF('(4).Midterm Results'!L87=0,"",'(4).Midterm Results'!L87)</f>
        <v/>
      </c>
      <c r="T87" s="108" t="str">
        <f>IF('(4).Midterm Results'!M87=0,"",'(4).Midterm Results'!M87)</f>
        <v/>
      </c>
      <c r="U87" s="108" t="str">
        <f>IF('(4).Midterm Results'!N87=0,"",'(4).Midterm Results'!N87)</f>
        <v/>
      </c>
      <c r="V87" s="108" t="str">
        <f>IF('(4).Midterm Results'!O87=0,"",'(4).Midterm Results'!O87)</f>
        <v/>
      </c>
    </row>
    <row r="88" spans="1:22" ht="12.4" customHeight="1">
      <c r="A88" s="237" t="s">
        <v>130</v>
      </c>
      <c r="B88" s="238"/>
      <c r="C88" s="238"/>
      <c r="D88" s="238"/>
      <c r="E88" s="238"/>
      <c r="F88" s="239"/>
      <c r="H88" s="108">
        <f>IF('(4).Midterm Results'!A88=0,"",'(4).Midterm Results'!A88)</f>
        <v>10</v>
      </c>
      <c r="I88" s="108" t="str">
        <f>IF('(4).Midterm Results'!B88=0,"",'(4).Midterm Results'!B88)</f>
        <v/>
      </c>
      <c r="J88" s="108" t="str">
        <f>IF('(4).Midterm Results'!C88=0,"",'(4).Midterm Results'!C88)</f>
        <v/>
      </c>
      <c r="K88" s="108" t="str">
        <f>IF('(4).Midterm Results'!D88=0,"",'(4).Midterm Results'!D88)</f>
        <v/>
      </c>
      <c r="L88" s="108" t="str">
        <f>IF('(4).Midterm Results'!E88=0,"",'(4).Midterm Results'!E88)</f>
        <v/>
      </c>
      <c r="M88" s="108" t="str">
        <f>IF('(4).Midterm Results'!F88=0,"",'(4).Midterm Results'!F88)</f>
        <v/>
      </c>
      <c r="N88" s="108" t="str">
        <f>IF('(4).Midterm Results'!G88=0,"",'(4).Midterm Results'!G88)</f>
        <v/>
      </c>
      <c r="O88" s="108" t="str">
        <f>IF('(4).Midterm Results'!H88=0,"",'(4).Midterm Results'!H88)</f>
        <v/>
      </c>
      <c r="P88" s="108" t="str">
        <f>IF('(4).Midterm Results'!I88=0,"",'(4).Midterm Results'!I88)</f>
        <v/>
      </c>
      <c r="Q88" s="108" t="str">
        <f>IF('(4).Midterm Results'!J88=0,"",'(4).Midterm Results'!J88)</f>
        <v/>
      </c>
      <c r="R88" s="108" t="str">
        <f>IF('(4).Midterm Results'!K88=0,"",'(4).Midterm Results'!K88)</f>
        <v/>
      </c>
      <c r="S88" s="108" t="str">
        <f>IF('(4).Midterm Results'!L88=0,"",'(4).Midterm Results'!L88)</f>
        <v/>
      </c>
      <c r="T88" s="108" t="str">
        <f>IF('(4).Midterm Results'!M88=0,"",'(4).Midterm Results'!M88)</f>
        <v/>
      </c>
      <c r="U88" s="108" t="str">
        <f>IF('(4).Midterm Results'!N88=0,"",'(4).Midterm Results'!N88)</f>
        <v/>
      </c>
      <c r="V88" s="108" t="str">
        <f>IF('(4).Midterm Results'!O88=0,"",'(4).Midterm Results'!O88)</f>
        <v/>
      </c>
    </row>
    <row r="89" spans="1:22" ht="12.4" customHeight="1">
      <c r="A89" s="245" t="s">
        <v>14</v>
      </c>
      <c r="B89" s="240" t="s">
        <v>125</v>
      </c>
      <c r="C89" s="241"/>
      <c r="D89" s="102" t="s">
        <v>126</v>
      </c>
      <c r="E89" s="109" t="s">
        <v>127</v>
      </c>
      <c r="F89" s="102" t="s">
        <v>128</v>
      </c>
      <c r="H89" s="108">
        <f>IF('(4).Midterm Results'!A89=0,"",'(4).Midterm Results'!A89)</f>
        <v>11</v>
      </c>
      <c r="I89" s="108" t="str">
        <f>IF('(4).Midterm Results'!B89=0,"",'(4).Midterm Results'!B89)</f>
        <v/>
      </c>
      <c r="J89" s="108" t="str">
        <f>IF('(4).Midterm Results'!C89=0,"",'(4).Midterm Results'!C89)</f>
        <v/>
      </c>
      <c r="K89" s="108" t="str">
        <f>IF('(4).Midterm Results'!D89=0,"",'(4).Midterm Results'!D89)</f>
        <v/>
      </c>
      <c r="L89" s="108" t="str">
        <f>IF('(4).Midterm Results'!E89=0,"",'(4).Midterm Results'!E89)</f>
        <v/>
      </c>
      <c r="M89" s="108" t="str">
        <f>IF('(4).Midterm Results'!F89=0,"",'(4).Midterm Results'!F89)</f>
        <v/>
      </c>
      <c r="N89" s="108" t="str">
        <f>IF('(4).Midterm Results'!G89=0,"",'(4).Midterm Results'!G89)</f>
        <v/>
      </c>
      <c r="O89" s="108" t="str">
        <f>IF('(4).Midterm Results'!H89=0,"",'(4).Midterm Results'!H89)</f>
        <v/>
      </c>
      <c r="P89" s="108" t="str">
        <f>IF('(4).Midterm Results'!I89=0,"",'(4).Midterm Results'!I89)</f>
        <v/>
      </c>
      <c r="Q89" s="108" t="str">
        <f>IF('(4).Midterm Results'!J89=0,"",'(4).Midterm Results'!J89)</f>
        <v/>
      </c>
      <c r="R89" s="108" t="str">
        <f>IF('(4).Midterm Results'!K89=0,"",'(4).Midterm Results'!K89)</f>
        <v/>
      </c>
      <c r="S89" s="108" t="str">
        <f>IF('(4).Midterm Results'!L89=0,"",'(4).Midterm Results'!L89)</f>
        <v/>
      </c>
      <c r="T89" s="108" t="str">
        <f>IF('(4).Midterm Results'!M89=0,"",'(4).Midterm Results'!M89)</f>
        <v/>
      </c>
      <c r="U89" s="108" t="str">
        <f>IF('(4).Midterm Results'!N89=0,"",'(4).Midterm Results'!N89)</f>
        <v/>
      </c>
      <c r="V89" s="108" t="str">
        <f>IF('(4).Midterm Results'!O89=0,"",'(4).Midterm Results'!O89)</f>
        <v/>
      </c>
    </row>
    <row r="90" spans="1:22" ht="12.4" customHeight="1">
      <c r="A90" s="246"/>
      <c r="B90" s="240" t="s">
        <v>129</v>
      </c>
      <c r="C90" s="241"/>
      <c r="D90" s="102">
        <v>100</v>
      </c>
      <c r="E90" s="110" cm="1">
        <f t="array" ref="E90:E101">TRANSPOSE(K12:V12)</f>
        <v>83.25</v>
      </c>
      <c r="F90" s="104" t="str">
        <f>IF(E90="","",IF(E90&lt;D90*60%,"Try harder",""))</f>
        <v/>
      </c>
      <c r="H90" s="108">
        <f>IF('(4).Midterm Results'!A90=0,"",'(4).Midterm Results'!A90)</f>
        <v>12</v>
      </c>
      <c r="I90" s="108" t="str">
        <f>IF('(4).Midterm Results'!B90=0,"",'(4).Midterm Results'!B90)</f>
        <v/>
      </c>
      <c r="J90" s="108" t="str">
        <f>IF('(4).Midterm Results'!C90=0,"",'(4).Midterm Results'!C90)</f>
        <v/>
      </c>
      <c r="K90" s="108" t="str">
        <f>IF('(4).Midterm Results'!D90=0,"",'(4).Midterm Results'!D90)</f>
        <v/>
      </c>
      <c r="L90" s="108" t="str">
        <f>IF('(4).Midterm Results'!E90=0,"",'(4).Midterm Results'!E90)</f>
        <v/>
      </c>
      <c r="M90" s="108" t="str">
        <f>IF('(4).Midterm Results'!F90=0,"",'(4).Midterm Results'!F90)</f>
        <v/>
      </c>
      <c r="N90" s="108" t="str">
        <f>IF('(4).Midterm Results'!G90=0,"",'(4).Midterm Results'!G90)</f>
        <v/>
      </c>
      <c r="O90" s="108" t="str">
        <f>IF('(4).Midterm Results'!H90=0,"",'(4).Midterm Results'!H90)</f>
        <v/>
      </c>
      <c r="P90" s="108" t="str">
        <f>IF('(4).Midterm Results'!I90=0,"",'(4).Midterm Results'!I90)</f>
        <v/>
      </c>
      <c r="Q90" s="108" t="str">
        <f>IF('(4).Midterm Results'!J90=0,"",'(4).Midterm Results'!J90)</f>
        <v/>
      </c>
      <c r="R90" s="108" t="str">
        <f>IF('(4).Midterm Results'!K90=0,"",'(4).Midterm Results'!K90)</f>
        <v/>
      </c>
      <c r="S90" s="108" t="str">
        <f>IF('(4).Midterm Results'!L90=0,"",'(4).Midterm Results'!L90)</f>
        <v/>
      </c>
      <c r="T90" s="108" t="str">
        <f>IF('(4).Midterm Results'!M90=0,"",'(4).Midterm Results'!M90)</f>
        <v/>
      </c>
      <c r="U90" s="108" t="str">
        <f>IF('(4).Midterm Results'!N90=0,"",'(4).Midterm Results'!N90)</f>
        <v/>
      </c>
      <c r="V90" s="108" t="str">
        <f>IF('(4).Midterm Results'!O90=0,"",'(4).Midterm Results'!O90)</f>
        <v/>
      </c>
    </row>
    <row r="91" spans="1:22" ht="12.4" customHeight="1">
      <c r="A91" s="246"/>
      <c r="B91" s="242" t="s">
        <v>132</v>
      </c>
      <c r="C91" s="133" t="str" cm="1">
        <f t="array" ref="C91:C100">TRANSPOSE($L$5:$U$5)</f>
        <v>Up-Low C</v>
      </c>
      <c r="D91" s="134">
        <v>10</v>
      </c>
      <c r="E91" s="135">
        <v>9.75</v>
      </c>
      <c r="F91" s="136" t="str">
        <f t="shared" ref="F91:F101" si="5">IF(E91="","",IF(E91&lt;D91*60%,"Try harder",""))</f>
        <v/>
      </c>
      <c r="H91" s="108">
        <f>IF('(4).Midterm Results'!A91=0,"",'(4).Midterm Results'!A91)</f>
        <v>13</v>
      </c>
      <c r="I91" s="108" t="str">
        <f>IF('(4).Midterm Results'!B91=0,"",'(4).Midterm Results'!B91)</f>
        <v/>
      </c>
      <c r="J91" s="108" t="str">
        <f>IF('(4).Midterm Results'!C91=0,"",'(4).Midterm Results'!C91)</f>
        <v/>
      </c>
      <c r="K91" s="108" t="str">
        <f>IF('(4).Midterm Results'!D91=0,"",'(4).Midterm Results'!D91)</f>
        <v/>
      </c>
      <c r="L91" s="108" t="str">
        <f>IF('(4).Midterm Results'!E91=0,"",'(4).Midterm Results'!E91)</f>
        <v/>
      </c>
      <c r="M91" s="108" t="str">
        <f>IF('(4).Midterm Results'!F91=0,"",'(4).Midterm Results'!F91)</f>
        <v/>
      </c>
      <c r="N91" s="108" t="str">
        <f>IF('(4).Midterm Results'!G91=0,"",'(4).Midterm Results'!G91)</f>
        <v/>
      </c>
      <c r="O91" s="108" t="str">
        <f>IF('(4).Midterm Results'!H91=0,"",'(4).Midterm Results'!H91)</f>
        <v/>
      </c>
      <c r="P91" s="108" t="str">
        <f>IF('(4).Midterm Results'!I91=0,"",'(4).Midterm Results'!I91)</f>
        <v/>
      </c>
      <c r="Q91" s="108" t="str">
        <f>IF('(4).Midterm Results'!J91=0,"",'(4).Midterm Results'!J91)</f>
        <v/>
      </c>
      <c r="R91" s="108" t="str">
        <f>IF('(4).Midterm Results'!K91=0,"",'(4).Midterm Results'!K91)</f>
        <v/>
      </c>
      <c r="S91" s="108" t="str">
        <f>IF('(4).Midterm Results'!L91=0,"",'(4).Midterm Results'!L91)</f>
        <v/>
      </c>
      <c r="T91" s="108" t="str">
        <f>IF('(4).Midterm Results'!M91=0,"",'(4).Midterm Results'!M91)</f>
        <v/>
      </c>
      <c r="U91" s="108" t="str">
        <f>IF('(4).Midterm Results'!N91=0,"",'(4).Midterm Results'!N91)</f>
        <v/>
      </c>
      <c r="V91" s="108" t="str">
        <f>IF('(4).Midterm Results'!O91=0,"",'(4).Midterm Results'!O91)</f>
        <v/>
      </c>
    </row>
    <row r="92" spans="1:22" ht="12.4" customHeight="1">
      <c r="A92" s="246"/>
      <c r="B92" s="243"/>
      <c r="C92" s="137" t="str">
        <v>Alphabet N</v>
      </c>
      <c r="D92" s="138">
        <v>10</v>
      </c>
      <c r="E92" s="139">
        <v>8.75</v>
      </c>
      <c r="F92" s="140" t="str">
        <f t="shared" si="5"/>
        <v/>
      </c>
      <c r="H92" s="108">
        <f>IF('(4).Midterm Results'!A92=0,"",'(4).Midterm Results'!A92)</f>
        <v>14</v>
      </c>
      <c r="I92" s="108" t="str">
        <f>IF('(4).Midterm Results'!B92=0,"",'(4).Midterm Results'!B92)</f>
        <v/>
      </c>
      <c r="J92" s="108" t="str">
        <f>IF('(4).Midterm Results'!C92=0,"",'(4).Midterm Results'!C92)</f>
        <v/>
      </c>
      <c r="K92" s="108" t="str">
        <f>IF('(4).Midterm Results'!D92=0,"",'(4).Midterm Results'!D92)</f>
        <v/>
      </c>
      <c r="L92" s="108" t="str">
        <f>IF('(4).Midterm Results'!E92=0,"",'(4).Midterm Results'!E92)</f>
        <v/>
      </c>
      <c r="M92" s="108" t="str">
        <f>IF('(4).Midterm Results'!F92=0,"",'(4).Midterm Results'!F92)</f>
        <v/>
      </c>
      <c r="N92" s="108" t="str">
        <f>IF('(4).Midterm Results'!G92=0,"",'(4).Midterm Results'!G92)</f>
        <v/>
      </c>
      <c r="O92" s="108" t="str">
        <f>IF('(4).Midterm Results'!H92=0,"",'(4).Midterm Results'!H92)</f>
        <v/>
      </c>
      <c r="P92" s="108" t="str">
        <f>IF('(4).Midterm Results'!I92=0,"",'(4).Midterm Results'!I92)</f>
        <v/>
      </c>
      <c r="Q92" s="108" t="str">
        <f>IF('(4).Midterm Results'!J92=0,"",'(4).Midterm Results'!J92)</f>
        <v/>
      </c>
      <c r="R92" s="108" t="str">
        <f>IF('(4).Midterm Results'!K92=0,"",'(4).Midterm Results'!K92)</f>
        <v/>
      </c>
      <c r="S92" s="108" t="str">
        <f>IF('(4).Midterm Results'!L92=0,"",'(4).Midterm Results'!L92)</f>
        <v/>
      </c>
      <c r="T92" s="108" t="str">
        <f>IF('(4).Midterm Results'!M92=0,"",'(4).Midterm Results'!M92)</f>
        <v/>
      </c>
      <c r="U92" s="108" t="str">
        <f>IF('(4).Midterm Results'!N92=0,"",'(4).Midterm Results'!N92)</f>
        <v/>
      </c>
      <c r="V92" s="108" t="str">
        <f>IF('(4).Midterm Results'!O92=0,"",'(4).Midterm Results'!O92)</f>
        <v/>
      </c>
    </row>
    <row r="93" spans="1:22" ht="12.4" customHeight="1">
      <c r="A93" s="246"/>
      <c r="B93" s="243"/>
      <c r="C93" s="137" t="str">
        <v>Alphabet S</v>
      </c>
      <c r="D93" s="138">
        <v>10</v>
      </c>
      <c r="E93" s="139">
        <v>9.5</v>
      </c>
      <c r="F93" s="140" t="str">
        <f t="shared" si="5"/>
        <v/>
      </c>
      <c r="H93" s="108">
        <f>IF('(4).Midterm Results'!A93=0,"",'(4).Midterm Results'!A93)</f>
        <v>15</v>
      </c>
      <c r="I93" s="108" t="str">
        <f>IF('(4).Midterm Results'!B93=0,"",'(4).Midterm Results'!B93)</f>
        <v/>
      </c>
      <c r="J93" s="108" t="str">
        <f>IF('(4).Midterm Results'!C93=0,"",'(4).Midterm Results'!C93)</f>
        <v/>
      </c>
      <c r="K93" s="108" t="str">
        <f>IF('(4).Midterm Results'!D93=0,"",'(4).Midterm Results'!D93)</f>
        <v/>
      </c>
      <c r="L93" s="108" t="str">
        <f>IF('(4).Midterm Results'!E93=0,"",'(4).Midterm Results'!E93)</f>
        <v/>
      </c>
      <c r="M93" s="108" t="str">
        <f>IF('(4).Midterm Results'!F93=0,"",'(4).Midterm Results'!F93)</f>
        <v/>
      </c>
      <c r="N93" s="108" t="str">
        <f>IF('(4).Midterm Results'!G93=0,"",'(4).Midterm Results'!G93)</f>
        <v/>
      </c>
      <c r="O93" s="108" t="str">
        <f>IF('(4).Midterm Results'!H93=0,"",'(4).Midterm Results'!H93)</f>
        <v/>
      </c>
      <c r="P93" s="108" t="str">
        <f>IF('(4).Midterm Results'!I93=0,"",'(4).Midterm Results'!I93)</f>
        <v/>
      </c>
      <c r="Q93" s="108" t="str">
        <f>IF('(4).Midterm Results'!J93=0,"",'(4).Midterm Results'!J93)</f>
        <v/>
      </c>
      <c r="R93" s="108" t="str">
        <f>IF('(4).Midterm Results'!K93=0,"",'(4).Midterm Results'!K93)</f>
        <v/>
      </c>
      <c r="S93" s="108" t="str">
        <f>IF('(4).Midterm Results'!L93=0,"",'(4).Midterm Results'!L93)</f>
        <v/>
      </c>
      <c r="T93" s="108" t="str">
        <f>IF('(4).Midterm Results'!M93=0,"",'(4).Midterm Results'!M93)</f>
        <v/>
      </c>
      <c r="U93" s="108" t="str">
        <f>IF('(4).Midterm Results'!N93=0,"",'(4).Midterm Results'!N93)</f>
        <v/>
      </c>
      <c r="V93" s="108" t="str">
        <f>IF('(4).Midterm Results'!O93=0,"",'(4).Midterm Results'!O93)</f>
        <v/>
      </c>
    </row>
    <row r="94" spans="1:22" ht="12.4" customHeight="1">
      <c r="A94" s="246"/>
      <c r="B94" s="243"/>
      <c r="C94" s="137" t="str">
        <v>Vocabulary</v>
      </c>
      <c r="D94" s="138">
        <v>10</v>
      </c>
      <c r="E94" s="139">
        <v>8</v>
      </c>
      <c r="F94" s="140" t="str">
        <f t="shared" si="5"/>
        <v/>
      </c>
      <c r="H94" s="108">
        <f>IF('(4).Midterm Results'!A94=0,"",'(4).Midterm Results'!A94)</f>
        <v>16</v>
      </c>
      <c r="I94" s="108" t="str">
        <f>IF('(4).Midterm Results'!B94=0,"",'(4).Midterm Results'!B94)</f>
        <v/>
      </c>
      <c r="J94" s="108" t="str">
        <f>IF('(4).Midterm Results'!C94=0,"",'(4).Midterm Results'!C94)</f>
        <v/>
      </c>
      <c r="K94" s="108" t="str">
        <f>IF('(4).Midterm Results'!D94=0,"",'(4).Midterm Results'!D94)</f>
        <v/>
      </c>
      <c r="L94" s="108" t="str">
        <f>IF('(4).Midterm Results'!E94=0,"",'(4).Midterm Results'!E94)</f>
        <v/>
      </c>
      <c r="M94" s="108" t="str">
        <f>IF('(4).Midterm Results'!F94=0,"",'(4).Midterm Results'!F94)</f>
        <v/>
      </c>
      <c r="N94" s="108" t="str">
        <f>IF('(4).Midterm Results'!G94=0,"",'(4).Midterm Results'!G94)</f>
        <v/>
      </c>
      <c r="O94" s="108" t="str">
        <f>IF('(4).Midterm Results'!H94=0,"",'(4).Midterm Results'!H94)</f>
        <v/>
      </c>
      <c r="P94" s="108" t="str">
        <f>IF('(4).Midterm Results'!I94=0,"",'(4).Midterm Results'!I94)</f>
        <v/>
      </c>
      <c r="Q94" s="108" t="str">
        <f>IF('(4).Midterm Results'!J94=0,"",'(4).Midterm Results'!J94)</f>
        <v/>
      </c>
      <c r="R94" s="108" t="str">
        <f>IF('(4).Midterm Results'!K94=0,"",'(4).Midterm Results'!K94)</f>
        <v/>
      </c>
      <c r="S94" s="108" t="str">
        <f>IF('(4).Midterm Results'!L94=0,"",'(4).Midterm Results'!L94)</f>
        <v/>
      </c>
      <c r="T94" s="108" t="str">
        <f>IF('(4).Midterm Results'!M94=0,"",'(4).Midterm Results'!M94)</f>
        <v/>
      </c>
      <c r="U94" s="108" t="str">
        <f>IF('(4).Midterm Results'!N94=0,"",'(4).Midterm Results'!N94)</f>
        <v/>
      </c>
      <c r="V94" s="108" t="str">
        <f>IF('(4).Midterm Results'!O94=0,"",'(4).Midterm Results'!O94)</f>
        <v/>
      </c>
    </row>
    <row r="95" spans="1:22" ht="12.4" customHeight="1">
      <c r="A95" s="247" t="s">
        <v>131</v>
      </c>
      <c r="B95" s="243"/>
      <c r="C95" s="137" t="str">
        <v>Sprouts</v>
      </c>
      <c r="D95" s="138">
        <v>10</v>
      </c>
      <c r="E95" s="139">
        <v>5</v>
      </c>
      <c r="F95" s="140" t="str">
        <f t="shared" si="5"/>
        <v>Try harder</v>
      </c>
      <c r="H95" s="108">
        <f>IF('(4).Midterm Results'!A95=0,"",'(4).Midterm Results'!A95)</f>
        <v>17</v>
      </c>
      <c r="I95" s="108" t="str">
        <f>IF('(4).Midterm Results'!B95=0,"",'(4).Midterm Results'!B95)</f>
        <v/>
      </c>
      <c r="J95" s="108" t="str">
        <f>IF('(4).Midterm Results'!C95=0,"",'(4).Midterm Results'!C95)</f>
        <v/>
      </c>
      <c r="K95" s="108" t="str">
        <f>IF('(4).Midterm Results'!D95=0,"",'(4).Midterm Results'!D95)</f>
        <v/>
      </c>
      <c r="L95" s="108" t="str">
        <f>IF('(4).Midterm Results'!E95=0,"",'(4).Midterm Results'!E95)</f>
        <v/>
      </c>
      <c r="M95" s="108" t="str">
        <f>IF('(4).Midterm Results'!F95=0,"",'(4).Midterm Results'!F95)</f>
        <v/>
      </c>
      <c r="N95" s="108" t="str">
        <f>IF('(4).Midterm Results'!G95=0,"",'(4).Midterm Results'!G95)</f>
        <v/>
      </c>
      <c r="O95" s="108" t="str">
        <f>IF('(4).Midterm Results'!H95=0,"",'(4).Midterm Results'!H95)</f>
        <v/>
      </c>
      <c r="P95" s="108" t="str">
        <f>IF('(4).Midterm Results'!I95=0,"",'(4).Midterm Results'!I95)</f>
        <v/>
      </c>
      <c r="Q95" s="108" t="str">
        <f>IF('(4).Midterm Results'!J95=0,"",'(4).Midterm Results'!J95)</f>
        <v/>
      </c>
      <c r="R95" s="108" t="str">
        <f>IF('(4).Midterm Results'!K95=0,"",'(4).Midterm Results'!K95)</f>
        <v/>
      </c>
      <c r="S95" s="108" t="str">
        <f>IF('(4).Midterm Results'!L95=0,"",'(4).Midterm Results'!L95)</f>
        <v/>
      </c>
      <c r="T95" s="108" t="str">
        <f>IF('(4).Midterm Results'!M95=0,"",'(4).Midterm Results'!M95)</f>
        <v/>
      </c>
      <c r="U95" s="108" t="str">
        <f>IF('(4).Midterm Results'!N95=0,"",'(4).Midterm Results'!N95)</f>
        <v/>
      </c>
      <c r="V95" s="108" t="str">
        <f>IF('(4).Midterm Results'!O95=0,"",'(4).Midterm Results'!O95)</f>
        <v/>
      </c>
    </row>
    <row r="96" spans="1:22" ht="12.4" customHeight="1">
      <c r="A96" s="247"/>
      <c r="B96" s="243"/>
      <c r="C96" s="137" t="str">
        <v>Phonics</v>
      </c>
      <c r="D96" s="138">
        <v>10</v>
      </c>
      <c r="E96" s="139">
        <v>10</v>
      </c>
      <c r="F96" s="140" t="str">
        <f t="shared" si="5"/>
        <v/>
      </c>
      <c r="H96" s="108">
        <f>IF('(4).Midterm Results'!A96=0,"",'(4).Midterm Results'!A96)</f>
        <v>18</v>
      </c>
      <c r="I96" s="108" t="str">
        <f>IF('(4).Midterm Results'!B96=0,"",'(4).Midterm Results'!B96)</f>
        <v/>
      </c>
      <c r="J96" s="108" t="str">
        <f>IF('(4).Midterm Results'!C96=0,"",'(4).Midterm Results'!C96)</f>
        <v/>
      </c>
      <c r="K96" s="108" t="str">
        <f>IF('(4).Midterm Results'!D96=0,"",'(4).Midterm Results'!D96)</f>
        <v/>
      </c>
      <c r="L96" s="108" t="str">
        <f>IF('(4).Midterm Results'!E96=0,"",'(4).Midterm Results'!E96)</f>
        <v/>
      </c>
      <c r="M96" s="108" t="str">
        <f>IF('(4).Midterm Results'!F96=0,"",'(4).Midterm Results'!F96)</f>
        <v/>
      </c>
      <c r="N96" s="108" t="str">
        <f>IF('(4).Midterm Results'!G96=0,"",'(4).Midterm Results'!G96)</f>
        <v/>
      </c>
      <c r="O96" s="108" t="str">
        <f>IF('(4).Midterm Results'!H96=0,"",'(4).Midterm Results'!H96)</f>
        <v/>
      </c>
      <c r="P96" s="108" t="str">
        <f>IF('(4).Midterm Results'!I96=0,"",'(4).Midterm Results'!I96)</f>
        <v/>
      </c>
      <c r="Q96" s="108" t="str">
        <f>IF('(4).Midterm Results'!J96=0,"",'(4).Midterm Results'!J96)</f>
        <v/>
      </c>
      <c r="R96" s="108" t="str">
        <f>IF('(4).Midterm Results'!K96=0,"",'(4).Midterm Results'!K96)</f>
        <v/>
      </c>
      <c r="S96" s="108" t="str">
        <f>IF('(4).Midterm Results'!L96=0,"",'(4).Midterm Results'!L96)</f>
        <v/>
      </c>
      <c r="T96" s="108" t="str">
        <f>IF('(4).Midterm Results'!M96=0,"",'(4).Midterm Results'!M96)</f>
        <v/>
      </c>
      <c r="U96" s="108" t="str">
        <f>IF('(4).Midterm Results'!N96=0,"",'(4).Midterm Results'!N96)</f>
        <v/>
      </c>
      <c r="V96" s="108" t="str">
        <f>IF('(4).Midterm Results'!O96=0,"",'(4).Midterm Results'!O96)</f>
        <v/>
      </c>
    </row>
    <row r="97" spans="1:22" ht="12.4" customHeight="1">
      <c r="A97" s="247"/>
      <c r="B97" s="243"/>
      <c r="C97" s="137" t="str">
        <v>Math</v>
      </c>
      <c r="D97" s="138">
        <v>10</v>
      </c>
      <c r="E97" s="139">
        <v>7</v>
      </c>
      <c r="F97" s="140" t="str">
        <f t="shared" si="5"/>
        <v/>
      </c>
      <c r="H97" s="108">
        <f>IF('(4).Midterm Results'!A97=0,"",'(4).Midterm Results'!A97)</f>
        <v>19</v>
      </c>
      <c r="I97" s="108" t="str">
        <f>IF('(4).Midterm Results'!B97=0,"",'(4).Midterm Results'!B97)</f>
        <v/>
      </c>
      <c r="J97" s="108" t="str">
        <f>IF('(4).Midterm Results'!C97=0,"",'(4).Midterm Results'!C97)</f>
        <v/>
      </c>
      <c r="K97" s="108" t="str">
        <f>IF('(4).Midterm Results'!D97=0,"",'(4).Midterm Results'!D97)</f>
        <v/>
      </c>
      <c r="L97" s="108" t="str">
        <f>IF('(4).Midterm Results'!E97=0,"",'(4).Midterm Results'!E97)</f>
        <v/>
      </c>
      <c r="M97" s="108" t="str">
        <f>IF('(4).Midterm Results'!F97=0,"",'(4).Midterm Results'!F97)</f>
        <v/>
      </c>
      <c r="N97" s="108" t="str">
        <f>IF('(4).Midterm Results'!G97=0,"",'(4).Midterm Results'!G97)</f>
        <v/>
      </c>
      <c r="O97" s="108" t="str">
        <f>IF('(4).Midterm Results'!H97=0,"",'(4).Midterm Results'!H97)</f>
        <v/>
      </c>
      <c r="P97" s="108" t="str">
        <f>IF('(4).Midterm Results'!I97=0,"",'(4).Midterm Results'!I97)</f>
        <v/>
      </c>
      <c r="Q97" s="108" t="str">
        <f>IF('(4).Midterm Results'!J97=0,"",'(4).Midterm Results'!J97)</f>
        <v/>
      </c>
      <c r="R97" s="108" t="str">
        <f>IF('(4).Midterm Results'!K97=0,"",'(4).Midterm Results'!K97)</f>
        <v/>
      </c>
      <c r="S97" s="108" t="str">
        <f>IF('(4).Midterm Results'!L97=0,"",'(4).Midterm Results'!L97)</f>
        <v/>
      </c>
      <c r="T97" s="108" t="str">
        <f>IF('(4).Midterm Results'!M97=0,"",'(4).Midterm Results'!M97)</f>
        <v/>
      </c>
      <c r="U97" s="108" t="str">
        <f>IF('(4).Midterm Results'!N97=0,"",'(4).Midterm Results'!N97)</f>
        <v/>
      </c>
      <c r="V97" s="108" t="str">
        <f>IF('(4).Midterm Results'!O97=0,"",'(4).Midterm Results'!O97)</f>
        <v/>
      </c>
    </row>
    <row r="98" spans="1:22" ht="12.4" customHeight="1">
      <c r="A98" s="247"/>
      <c r="B98" s="243"/>
      <c r="C98" s="137" t="str">
        <v>Shape</v>
      </c>
      <c r="D98" s="138">
        <v>10</v>
      </c>
      <c r="E98" s="139">
        <v>7</v>
      </c>
      <c r="F98" s="140" t="str">
        <f t="shared" si="5"/>
        <v/>
      </c>
      <c r="H98" s="108">
        <f>IF('(4).Midterm Results'!A98=0,"",'(4).Midterm Results'!A98)</f>
        <v>20</v>
      </c>
      <c r="I98" s="108" t="str">
        <f>IF('(4).Midterm Results'!B98=0,"",'(4).Midterm Results'!B98)</f>
        <v/>
      </c>
      <c r="J98" s="108" t="str">
        <f>IF('(4).Midterm Results'!C98=0,"",'(4).Midterm Results'!C98)</f>
        <v/>
      </c>
      <c r="K98" s="108" t="str">
        <f>IF('(4).Midterm Results'!D98=0,"",'(4).Midterm Results'!D98)</f>
        <v/>
      </c>
      <c r="L98" s="108" t="str">
        <f>IF('(4).Midterm Results'!E98=0,"",'(4).Midterm Results'!E98)</f>
        <v/>
      </c>
      <c r="M98" s="108" t="str">
        <f>IF('(4).Midterm Results'!F98=0,"",'(4).Midterm Results'!F98)</f>
        <v/>
      </c>
      <c r="N98" s="108" t="str">
        <f>IF('(4).Midterm Results'!G98=0,"",'(4).Midterm Results'!G98)</f>
        <v/>
      </c>
      <c r="O98" s="108" t="str">
        <f>IF('(4).Midterm Results'!H98=0,"",'(4).Midterm Results'!H98)</f>
        <v/>
      </c>
      <c r="P98" s="108" t="str">
        <f>IF('(4).Midterm Results'!I98=0,"",'(4).Midterm Results'!I98)</f>
        <v/>
      </c>
      <c r="Q98" s="108" t="str">
        <f>IF('(4).Midterm Results'!J98=0,"",'(4).Midterm Results'!J98)</f>
        <v/>
      </c>
      <c r="R98" s="108" t="str">
        <f>IF('(4).Midterm Results'!K98=0,"",'(4).Midterm Results'!K98)</f>
        <v/>
      </c>
      <c r="S98" s="108" t="str">
        <f>IF('(4).Midterm Results'!L98=0,"",'(4).Midterm Results'!L98)</f>
        <v/>
      </c>
      <c r="T98" s="108" t="str">
        <f>IF('(4).Midterm Results'!M98=0,"",'(4).Midterm Results'!M98)</f>
        <v/>
      </c>
      <c r="U98" s="108" t="str">
        <f>IF('(4).Midterm Results'!N98=0,"",'(4).Midterm Results'!N98)</f>
        <v/>
      </c>
      <c r="V98" s="108" t="str">
        <f>IF('(4).Midterm Results'!O98=0,"",'(4).Midterm Results'!O98)</f>
        <v/>
      </c>
    </row>
    <row r="99" spans="1:22" ht="12.4" customHeight="1">
      <c r="A99" s="247"/>
      <c r="B99" s="243"/>
      <c r="C99" s="137" t="str">
        <v>Science</v>
      </c>
      <c r="D99" s="138">
        <v>10</v>
      </c>
      <c r="E99" s="139">
        <v>9</v>
      </c>
      <c r="F99" s="140" t="str">
        <f t="shared" si="5"/>
        <v/>
      </c>
      <c r="H99" s="108">
        <f>IF('(4).Midterm Results'!A99=0,"",'(4).Midterm Results'!A99)</f>
        <v>21</v>
      </c>
      <c r="I99" s="108" t="str">
        <f>IF('(4).Midterm Results'!B99=0,"",'(4).Midterm Results'!B99)</f>
        <v/>
      </c>
      <c r="J99" s="108" t="str">
        <f>IF('(4).Midterm Results'!C99=0,"",'(4).Midterm Results'!C99)</f>
        <v/>
      </c>
      <c r="K99" s="108" t="str">
        <f>IF('(4).Midterm Results'!D99=0,"",'(4).Midterm Results'!D99)</f>
        <v/>
      </c>
      <c r="L99" s="108" t="str">
        <f>IF('(4).Midterm Results'!E99=0,"",'(4).Midterm Results'!E99)</f>
        <v/>
      </c>
      <c r="M99" s="108" t="str">
        <f>IF('(4).Midterm Results'!F99=0,"",'(4).Midterm Results'!F99)</f>
        <v/>
      </c>
      <c r="N99" s="108" t="str">
        <f>IF('(4).Midterm Results'!G99=0,"",'(4).Midterm Results'!G99)</f>
        <v/>
      </c>
      <c r="O99" s="108" t="str">
        <f>IF('(4).Midterm Results'!H99=0,"",'(4).Midterm Results'!H99)</f>
        <v/>
      </c>
      <c r="P99" s="108" t="str">
        <f>IF('(4).Midterm Results'!I99=0,"",'(4).Midterm Results'!I99)</f>
        <v/>
      </c>
      <c r="Q99" s="108" t="str">
        <f>IF('(4).Midterm Results'!J99=0,"",'(4).Midterm Results'!J99)</f>
        <v/>
      </c>
      <c r="R99" s="108" t="str">
        <f>IF('(4).Midterm Results'!K99=0,"",'(4).Midterm Results'!K99)</f>
        <v/>
      </c>
      <c r="S99" s="108" t="str">
        <f>IF('(4).Midterm Results'!L99=0,"",'(4).Midterm Results'!L99)</f>
        <v/>
      </c>
      <c r="T99" s="108" t="str">
        <f>IF('(4).Midterm Results'!M99=0,"",'(4).Midterm Results'!M99)</f>
        <v/>
      </c>
      <c r="U99" s="108" t="str">
        <f>IF('(4).Midterm Results'!N99=0,"",'(4).Midterm Results'!N99)</f>
        <v/>
      </c>
      <c r="V99" s="108" t="str">
        <f>IF('(4).Midterm Results'!O99=0,"",'(4).Midterm Results'!O99)</f>
        <v/>
      </c>
    </row>
    <row r="100" spans="1:22" ht="12.4" customHeight="1">
      <c r="A100" s="247"/>
      <c r="B100" s="244"/>
      <c r="C100" s="141" t="str">
        <v>Tracing</v>
      </c>
      <c r="D100" s="142">
        <v>10</v>
      </c>
      <c r="E100" s="143">
        <v>9.5</v>
      </c>
      <c r="F100" s="144" t="str">
        <f t="shared" si="5"/>
        <v/>
      </c>
      <c r="H100" s="108">
        <f>IF('(4).Midterm Results'!A100=0,"",'(4).Midterm Results'!A100)</f>
        <v>22</v>
      </c>
      <c r="I100" s="108" t="str">
        <f>IF('(4).Midterm Results'!B100=0,"",'(4).Midterm Results'!B100)</f>
        <v/>
      </c>
      <c r="J100" s="108" t="str">
        <f>IF('(4).Midterm Results'!C100=0,"",'(4).Midterm Results'!C100)</f>
        <v/>
      </c>
      <c r="K100" s="108" t="str">
        <f>IF('(4).Midterm Results'!D100=0,"",'(4).Midterm Results'!D100)</f>
        <v/>
      </c>
      <c r="L100" s="108" t="str">
        <f>IF('(4).Midterm Results'!E100=0,"",'(4).Midterm Results'!E100)</f>
        <v/>
      </c>
      <c r="M100" s="108" t="str">
        <f>IF('(4).Midterm Results'!F100=0,"",'(4).Midterm Results'!F100)</f>
        <v/>
      </c>
      <c r="N100" s="108" t="str">
        <f>IF('(4).Midterm Results'!G100=0,"",'(4).Midterm Results'!G100)</f>
        <v/>
      </c>
      <c r="O100" s="108" t="str">
        <f>IF('(4).Midterm Results'!H100=0,"",'(4).Midterm Results'!H100)</f>
        <v/>
      </c>
      <c r="P100" s="108" t="str">
        <f>IF('(4).Midterm Results'!I100=0,"",'(4).Midterm Results'!I100)</f>
        <v/>
      </c>
      <c r="Q100" s="108" t="str">
        <f>IF('(4).Midterm Results'!J100=0,"",'(4).Midterm Results'!J100)</f>
        <v/>
      </c>
      <c r="R100" s="108" t="str">
        <f>IF('(4).Midterm Results'!K100=0,"",'(4).Midterm Results'!K100)</f>
        <v/>
      </c>
      <c r="S100" s="108" t="str">
        <f>IF('(4).Midterm Results'!L100=0,"",'(4).Midterm Results'!L100)</f>
        <v/>
      </c>
      <c r="T100" s="108" t="str">
        <f>IF('(4).Midterm Results'!M100=0,"",'(4).Midterm Results'!M100)</f>
        <v/>
      </c>
      <c r="U100" s="108" t="str">
        <f>IF('(4).Midterm Results'!N100=0,"",'(4).Midterm Results'!N100)</f>
        <v/>
      </c>
      <c r="V100" s="108" t="str">
        <f>IF('(4).Midterm Results'!O100=0,"",'(4).Midterm Results'!O100)</f>
        <v/>
      </c>
    </row>
    <row r="101" spans="1:22" ht="12.4" customHeight="1">
      <c r="A101" s="248"/>
      <c r="B101" s="240" t="s">
        <v>133</v>
      </c>
      <c r="C101" s="241"/>
      <c r="D101" s="103">
        <f>D90*20%+SUM(D91:D100)*80%</f>
        <v>100</v>
      </c>
      <c r="E101" s="110">
        <v>83.45</v>
      </c>
      <c r="F101" s="104" t="str">
        <f t="shared" si="5"/>
        <v/>
      </c>
      <c r="H101" s="108">
        <f>IF('(4).Midterm Results'!A101=0,"",'(4).Midterm Results'!A101)</f>
        <v>23</v>
      </c>
      <c r="I101" s="108" t="str">
        <f>IF('(4).Midterm Results'!B101=0,"",'(4).Midterm Results'!B101)</f>
        <v/>
      </c>
      <c r="J101" s="108" t="str">
        <f>IF('(4).Midterm Results'!C101=0,"",'(4).Midterm Results'!C101)</f>
        <v/>
      </c>
      <c r="K101" s="108" t="str">
        <f>IF('(4).Midterm Results'!D101=0,"",'(4).Midterm Results'!D101)</f>
        <v/>
      </c>
      <c r="L101" s="108" t="str">
        <f>IF('(4).Midterm Results'!E101=0,"",'(4).Midterm Results'!E101)</f>
        <v/>
      </c>
      <c r="M101" s="108" t="str">
        <f>IF('(4).Midterm Results'!F101=0,"",'(4).Midterm Results'!F101)</f>
        <v/>
      </c>
      <c r="N101" s="108" t="str">
        <f>IF('(4).Midterm Results'!G101=0,"",'(4).Midterm Results'!G101)</f>
        <v/>
      </c>
      <c r="O101" s="108" t="str">
        <f>IF('(4).Midterm Results'!H101=0,"",'(4).Midterm Results'!H101)</f>
        <v/>
      </c>
      <c r="P101" s="108" t="str">
        <f>IF('(4).Midterm Results'!I101=0,"",'(4).Midterm Results'!I101)</f>
        <v/>
      </c>
      <c r="Q101" s="108" t="str">
        <f>IF('(4).Midterm Results'!J101=0,"",'(4).Midterm Results'!J101)</f>
        <v/>
      </c>
      <c r="R101" s="108" t="str">
        <f>IF('(4).Midterm Results'!K101=0,"",'(4).Midterm Results'!K101)</f>
        <v/>
      </c>
      <c r="S101" s="108" t="str">
        <f>IF('(4).Midterm Results'!L101=0,"",'(4).Midterm Results'!L101)</f>
        <v/>
      </c>
      <c r="T101" s="108" t="str">
        <f>IF('(4).Midterm Results'!M101=0,"",'(4).Midterm Results'!M101)</f>
        <v/>
      </c>
      <c r="U101" s="108" t="str">
        <f>IF('(4).Midterm Results'!N101=0,"",'(4).Midterm Results'!N101)</f>
        <v/>
      </c>
      <c r="V101" s="108" t="str">
        <f>IF('(4).Midterm Results'!O101=0,"",'(4).Midterm Results'!O101)</f>
        <v/>
      </c>
    </row>
    <row r="102" spans="1:22" ht="12.4" customHeight="1">
      <c r="H102" s="108">
        <f>IF('(4).Midterm Results'!A102=0,"",'(4).Midterm Results'!A102)</f>
        <v>24</v>
      </c>
      <c r="I102" s="108" t="str">
        <f>IF('(4).Midterm Results'!B102=0,"",'(4).Midterm Results'!B102)</f>
        <v/>
      </c>
      <c r="J102" s="108" t="str">
        <f>IF('(4).Midterm Results'!C102=0,"",'(4).Midterm Results'!C102)</f>
        <v/>
      </c>
      <c r="K102" s="108" t="str">
        <f>IF('(4).Midterm Results'!D102=0,"",'(4).Midterm Results'!D102)</f>
        <v/>
      </c>
      <c r="L102" s="108" t="str">
        <f>IF('(4).Midterm Results'!E102=0,"",'(4).Midterm Results'!E102)</f>
        <v/>
      </c>
      <c r="M102" s="108" t="str">
        <f>IF('(4).Midterm Results'!F102=0,"",'(4).Midterm Results'!F102)</f>
        <v/>
      </c>
      <c r="N102" s="108" t="str">
        <f>IF('(4).Midterm Results'!G102=0,"",'(4).Midterm Results'!G102)</f>
        <v/>
      </c>
      <c r="O102" s="108" t="str">
        <f>IF('(4).Midterm Results'!H102=0,"",'(4).Midterm Results'!H102)</f>
        <v/>
      </c>
      <c r="P102" s="108" t="str">
        <f>IF('(4).Midterm Results'!I102=0,"",'(4).Midterm Results'!I102)</f>
        <v/>
      </c>
      <c r="Q102" s="108" t="str">
        <f>IF('(4).Midterm Results'!J102=0,"",'(4).Midterm Results'!J102)</f>
        <v/>
      </c>
      <c r="R102" s="108" t="str">
        <f>IF('(4).Midterm Results'!K102=0,"",'(4).Midterm Results'!K102)</f>
        <v/>
      </c>
      <c r="S102" s="108" t="str">
        <f>IF('(4).Midterm Results'!L102=0,"",'(4).Midterm Results'!L102)</f>
        <v/>
      </c>
      <c r="T102" s="108" t="str">
        <f>IF('(4).Midterm Results'!M102=0,"",'(4).Midterm Results'!M102)</f>
        <v/>
      </c>
      <c r="U102" s="108" t="str">
        <f>IF('(4).Midterm Results'!N102=0,"",'(4).Midterm Results'!N102)</f>
        <v/>
      </c>
      <c r="V102" s="108" t="str">
        <f>IF('(4).Midterm Results'!O102=0,"",'(4).Midterm Results'!O102)</f>
        <v/>
      </c>
    </row>
    <row r="103" spans="1:22" ht="12.4" customHeight="1">
      <c r="A103" s="230" t="s">
        <v>121</v>
      </c>
      <c r="B103" s="231"/>
      <c r="C103" s="231"/>
      <c r="D103" s="107" t="s">
        <v>123</v>
      </c>
      <c r="E103" s="232" t="str">
        <f>I13</f>
        <v>Keo Tepsatsjak</v>
      </c>
      <c r="F103" s="233"/>
      <c r="G103" s="101">
        <v>13</v>
      </c>
      <c r="H103" s="108">
        <f>IF('(4).Midterm Results'!A103=0,"",'(4).Midterm Results'!A103)</f>
        <v>25</v>
      </c>
      <c r="I103" s="108" t="str">
        <f>IF('(4).Midterm Results'!B103=0,"",'(4).Midterm Results'!B103)</f>
        <v/>
      </c>
      <c r="J103" s="108" t="str">
        <f>IF('(4).Midterm Results'!C103=0,"",'(4).Midterm Results'!C103)</f>
        <v/>
      </c>
      <c r="K103" s="108" t="str">
        <f>IF('(4).Midterm Results'!D103=0,"",'(4).Midterm Results'!D103)</f>
        <v/>
      </c>
      <c r="L103" s="108" t="str">
        <f>IF('(4).Midterm Results'!E103=0,"",'(4).Midterm Results'!E103)</f>
        <v/>
      </c>
      <c r="M103" s="108" t="str">
        <f>IF('(4).Midterm Results'!F103=0,"",'(4).Midterm Results'!F103)</f>
        <v/>
      </c>
      <c r="N103" s="108" t="str">
        <f>IF('(4).Midterm Results'!G103=0,"",'(4).Midterm Results'!G103)</f>
        <v/>
      </c>
      <c r="O103" s="108" t="str">
        <f>IF('(4).Midterm Results'!H103=0,"",'(4).Midterm Results'!H103)</f>
        <v/>
      </c>
      <c r="P103" s="108" t="str">
        <f>IF('(4).Midterm Results'!I103=0,"",'(4).Midterm Results'!I103)</f>
        <v/>
      </c>
      <c r="Q103" s="108" t="str">
        <f>IF('(4).Midterm Results'!J103=0,"",'(4).Midterm Results'!J103)</f>
        <v/>
      </c>
      <c r="R103" s="108" t="str">
        <f>IF('(4).Midterm Results'!K103=0,"",'(4).Midterm Results'!K103)</f>
        <v/>
      </c>
      <c r="S103" s="108" t="str">
        <f>IF('(4).Midterm Results'!L103=0,"",'(4).Midterm Results'!L103)</f>
        <v/>
      </c>
      <c r="T103" s="108" t="str">
        <f>IF('(4).Midterm Results'!M103=0,"",'(4).Midterm Results'!M103)</f>
        <v/>
      </c>
      <c r="U103" s="108" t="str">
        <f>IF('(4).Midterm Results'!N103=0,"",'(4).Midterm Results'!N103)</f>
        <v/>
      </c>
      <c r="V103" s="108" t="str">
        <f>IF('(4).Midterm Results'!O103=0,"",'(4).Midterm Results'!O103)</f>
        <v/>
      </c>
    </row>
    <row r="104" spans="1:22" ht="12.4" customHeight="1">
      <c r="A104" s="105" t="s">
        <v>122</v>
      </c>
      <c r="B104" s="234" t="str">
        <f>$K$2</f>
        <v>FEBRUARY - JULY 2026</v>
      </c>
      <c r="C104" s="234"/>
      <c r="D104" s="106" t="s">
        <v>124</v>
      </c>
      <c r="E104" s="235" t="str">
        <f>$I$2</f>
        <v>K1B</v>
      </c>
      <c r="F104" s="236"/>
      <c r="H104" s="108">
        <f>IF('(4).Midterm Results'!A104=0,"",'(4).Midterm Results'!A104)</f>
        <v>26</v>
      </c>
      <c r="I104" s="108" t="str">
        <f>IF('(4).Midterm Results'!B104=0,"",'(4).Midterm Results'!B104)</f>
        <v/>
      </c>
      <c r="J104" s="108" t="str">
        <f>IF('(4).Midterm Results'!C104=0,"",'(4).Midterm Results'!C104)</f>
        <v/>
      </c>
      <c r="K104" s="108" t="str">
        <f>IF('(4).Midterm Results'!D104=0,"",'(4).Midterm Results'!D104)</f>
        <v/>
      </c>
      <c r="L104" s="108" t="str">
        <f>IF('(4).Midterm Results'!E104=0,"",'(4).Midterm Results'!E104)</f>
        <v/>
      </c>
      <c r="M104" s="108" t="str">
        <f>IF('(4).Midterm Results'!F104=0,"",'(4).Midterm Results'!F104)</f>
        <v/>
      </c>
      <c r="N104" s="108" t="str">
        <f>IF('(4).Midterm Results'!G104=0,"",'(4).Midterm Results'!G104)</f>
        <v/>
      </c>
      <c r="O104" s="108" t="str">
        <f>IF('(4).Midterm Results'!H104=0,"",'(4).Midterm Results'!H104)</f>
        <v/>
      </c>
      <c r="P104" s="108" t="str">
        <f>IF('(4).Midterm Results'!I104=0,"",'(4).Midterm Results'!I104)</f>
        <v/>
      </c>
      <c r="Q104" s="108" t="str">
        <f>IF('(4).Midterm Results'!J104=0,"",'(4).Midterm Results'!J104)</f>
        <v/>
      </c>
      <c r="R104" s="108" t="str">
        <f>IF('(4).Midterm Results'!K104=0,"",'(4).Midterm Results'!K104)</f>
        <v/>
      </c>
      <c r="S104" s="108" t="str">
        <f>IF('(4).Midterm Results'!L104=0,"",'(4).Midterm Results'!L104)</f>
        <v/>
      </c>
      <c r="T104" s="108" t="str">
        <f>IF('(4).Midterm Results'!M104=0,"",'(4).Midterm Results'!M104)</f>
        <v/>
      </c>
      <c r="U104" s="108" t="str">
        <f>IF('(4).Midterm Results'!N104=0,"",'(4).Midterm Results'!N104)</f>
        <v/>
      </c>
      <c r="V104" s="108" t="str">
        <f>IF('(4).Midterm Results'!O104=0,"",'(4).Midterm Results'!O104)</f>
        <v/>
      </c>
    </row>
    <row r="105" spans="1:22" ht="12.4" customHeight="1">
      <c r="A105" s="237" t="s">
        <v>130</v>
      </c>
      <c r="B105" s="238"/>
      <c r="C105" s="238"/>
      <c r="D105" s="238"/>
      <c r="E105" s="238"/>
      <c r="F105" s="239"/>
      <c r="H105" s="108">
        <f>IF('(4).Midterm Results'!A105=0,"",'(4).Midterm Results'!A105)</f>
        <v>27</v>
      </c>
      <c r="I105" s="108" t="str">
        <f>IF('(4).Midterm Results'!B105=0,"",'(4).Midterm Results'!B105)</f>
        <v/>
      </c>
      <c r="J105" s="108" t="str">
        <f>IF('(4).Midterm Results'!C105=0,"",'(4).Midterm Results'!C105)</f>
        <v/>
      </c>
      <c r="K105" s="108" t="str">
        <f>IF('(4).Midterm Results'!D105=0,"",'(4).Midterm Results'!D105)</f>
        <v/>
      </c>
      <c r="L105" s="108" t="str">
        <f>IF('(4).Midterm Results'!E105=0,"",'(4).Midterm Results'!E105)</f>
        <v/>
      </c>
      <c r="M105" s="108" t="str">
        <f>IF('(4).Midterm Results'!F105=0,"",'(4).Midterm Results'!F105)</f>
        <v/>
      </c>
      <c r="N105" s="108" t="str">
        <f>IF('(4).Midterm Results'!G105=0,"",'(4).Midterm Results'!G105)</f>
        <v/>
      </c>
      <c r="O105" s="108" t="str">
        <f>IF('(4).Midterm Results'!H105=0,"",'(4).Midterm Results'!H105)</f>
        <v/>
      </c>
      <c r="P105" s="108" t="str">
        <f>IF('(4).Midterm Results'!I105=0,"",'(4).Midterm Results'!I105)</f>
        <v/>
      </c>
      <c r="Q105" s="108" t="str">
        <f>IF('(4).Midterm Results'!J105=0,"",'(4).Midterm Results'!J105)</f>
        <v/>
      </c>
      <c r="R105" s="108" t="str">
        <f>IF('(4).Midterm Results'!K105=0,"",'(4).Midterm Results'!K105)</f>
        <v/>
      </c>
      <c r="S105" s="108" t="str">
        <f>IF('(4).Midterm Results'!L105=0,"",'(4).Midterm Results'!L105)</f>
        <v/>
      </c>
      <c r="T105" s="108" t="str">
        <f>IF('(4).Midterm Results'!M105=0,"",'(4).Midterm Results'!M105)</f>
        <v/>
      </c>
      <c r="U105" s="108" t="str">
        <f>IF('(4).Midterm Results'!N105=0,"",'(4).Midterm Results'!N105)</f>
        <v/>
      </c>
      <c r="V105" s="108" t="str">
        <f>IF('(4).Midterm Results'!O105=0,"",'(4).Midterm Results'!O105)</f>
        <v/>
      </c>
    </row>
    <row r="106" spans="1:22" ht="12.4" customHeight="1">
      <c r="A106" s="245" t="s">
        <v>14</v>
      </c>
      <c r="B106" s="240" t="s">
        <v>125</v>
      </c>
      <c r="C106" s="241"/>
      <c r="D106" s="102" t="s">
        <v>126</v>
      </c>
      <c r="E106" s="109" t="s">
        <v>127</v>
      </c>
      <c r="F106" s="102" t="s">
        <v>128</v>
      </c>
      <c r="H106" s="108">
        <f>IF('(4).Midterm Results'!A106=0,"",'(4).Midterm Results'!A106)</f>
        <v>28</v>
      </c>
      <c r="I106" s="108" t="str">
        <f>IF('(4).Midterm Results'!B106=0,"",'(4).Midterm Results'!B106)</f>
        <v/>
      </c>
      <c r="J106" s="108" t="str">
        <f>IF('(4).Midterm Results'!C106=0,"",'(4).Midterm Results'!C106)</f>
        <v/>
      </c>
      <c r="K106" s="108" t="str">
        <f>IF('(4).Midterm Results'!D106=0,"",'(4).Midterm Results'!D106)</f>
        <v/>
      </c>
      <c r="L106" s="108" t="str">
        <f>IF('(4).Midterm Results'!E106=0,"",'(4).Midterm Results'!E106)</f>
        <v/>
      </c>
      <c r="M106" s="108" t="str">
        <f>IF('(4).Midterm Results'!F106=0,"",'(4).Midterm Results'!F106)</f>
        <v/>
      </c>
      <c r="N106" s="108" t="str">
        <f>IF('(4).Midterm Results'!G106=0,"",'(4).Midterm Results'!G106)</f>
        <v/>
      </c>
      <c r="O106" s="108" t="str">
        <f>IF('(4).Midterm Results'!H106=0,"",'(4).Midterm Results'!H106)</f>
        <v/>
      </c>
      <c r="P106" s="108" t="str">
        <f>IF('(4).Midterm Results'!I106=0,"",'(4).Midterm Results'!I106)</f>
        <v/>
      </c>
      <c r="Q106" s="108" t="str">
        <f>IF('(4).Midterm Results'!J106=0,"",'(4).Midterm Results'!J106)</f>
        <v/>
      </c>
      <c r="R106" s="108" t="str">
        <f>IF('(4).Midterm Results'!K106=0,"",'(4).Midterm Results'!K106)</f>
        <v/>
      </c>
      <c r="S106" s="108" t="str">
        <f>IF('(4).Midterm Results'!L106=0,"",'(4).Midterm Results'!L106)</f>
        <v/>
      </c>
      <c r="T106" s="108" t="str">
        <f>IF('(4).Midterm Results'!M106=0,"",'(4).Midterm Results'!M106)</f>
        <v/>
      </c>
      <c r="U106" s="108" t="str">
        <f>IF('(4).Midterm Results'!N106=0,"",'(4).Midterm Results'!N106)</f>
        <v/>
      </c>
      <c r="V106" s="108" t="str">
        <f>IF('(4).Midterm Results'!O106=0,"",'(4).Midterm Results'!O106)</f>
        <v/>
      </c>
    </row>
    <row r="107" spans="1:22" ht="12.4" customHeight="1">
      <c r="A107" s="246"/>
      <c r="B107" s="240" t="s">
        <v>129</v>
      </c>
      <c r="C107" s="241"/>
      <c r="D107" s="102">
        <v>100</v>
      </c>
      <c r="E107" s="110" cm="1">
        <f t="array" ref="E107:E118">TRANSPOSE(K13:V13)</f>
        <v>91.5</v>
      </c>
      <c r="F107" s="104" t="str">
        <f>IF(E107="","",IF(E107&lt;D107*60%,"Try harder",""))</f>
        <v/>
      </c>
      <c r="H107" s="108">
        <f>IF('(4).Midterm Results'!A107=0,"",'(4).Midterm Results'!A107)</f>
        <v>29</v>
      </c>
      <c r="I107" s="108" t="str">
        <f>IF('(4).Midterm Results'!B107=0,"",'(4).Midterm Results'!B107)</f>
        <v/>
      </c>
      <c r="J107" s="108" t="str">
        <f>IF('(4).Midterm Results'!C107=0,"",'(4).Midterm Results'!C107)</f>
        <v/>
      </c>
      <c r="K107" s="108" t="str">
        <f>IF('(4).Midterm Results'!D107=0,"",'(4).Midterm Results'!D107)</f>
        <v/>
      </c>
      <c r="L107" s="108" t="str">
        <f>IF('(4).Midterm Results'!E107=0,"",'(4).Midterm Results'!E107)</f>
        <v/>
      </c>
      <c r="M107" s="108" t="str">
        <f>IF('(4).Midterm Results'!F107=0,"",'(4).Midterm Results'!F107)</f>
        <v/>
      </c>
      <c r="N107" s="108" t="str">
        <f>IF('(4).Midterm Results'!G107=0,"",'(4).Midterm Results'!G107)</f>
        <v/>
      </c>
      <c r="O107" s="108" t="str">
        <f>IF('(4).Midterm Results'!H107=0,"",'(4).Midterm Results'!H107)</f>
        <v/>
      </c>
      <c r="P107" s="108" t="str">
        <f>IF('(4).Midterm Results'!I107=0,"",'(4).Midterm Results'!I107)</f>
        <v/>
      </c>
      <c r="Q107" s="108" t="str">
        <f>IF('(4).Midterm Results'!J107=0,"",'(4).Midterm Results'!J107)</f>
        <v/>
      </c>
      <c r="R107" s="108" t="str">
        <f>IF('(4).Midterm Results'!K107=0,"",'(4).Midterm Results'!K107)</f>
        <v/>
      </c>
      <c r="S107" s="108" t="str">
        <f>IF('(4).Midterm Results'!L107=0,"",'(4).Midterm Results'!L107)</f>
        <v/>
      </c>
      <c r="T107" s="108" t="str">
        <f>IF('(4).Midterm Results'!M107=0,"",'(4).Midterm Results'!M107)</f>
        <v/>
      </c>
      <c r="U107" s="108" t="str">
        <f>IF('(4).Midterm Results'!N107=0,"",'(4).Midterm Results'!N107)</f>
        <v/>
      </c>
      <c r="V107" s="108" t="str">
        <f>IF('(4).Midterm Results'!O107=0,"",'(4).Midterm Results'!O107)</f>
        <v/>
      </c>
    </row>
    <row r="108" spans="1:22" ht="12.4" customHeight="1">
      <c r="A108" s="246"/>
      <c r="B108" s="242" t="s">
        <v>132</v>
      </c>
      <c r="C108" s="133" t="str" cm="1">
        <f t="array" ref="C108:C117">TRANSPOSE($L$5:$U$5)</f>
        <v>Up-Low C</v>
      </c>
      <c r="D108" s="134">
        <v>10</v>
      </c>
      <c r="E108" s="135">
        <v>9</v>
      </c>
      <c r="F108" s="136" t="str">
        <f t="shared" ref="F108:F118" si="6">IF(E108="","",IF(E108&lt;D108*60%,"Try harder",""))</f>
        <v/>
      </c>
      <c r="H108" s="108">
        <f>IF('(4).Midterm Results'!A108=0,"",'(4).Midterm Results'!A108)</f>
        <v>30</v>
      </c>
      <c r="I108" s="108" t="str">
        <f>IF('(4).Midterm Results'!B108=0,"",'(4).Midterm Results'!B108)</f>
        <v/>
      </c>
      <c r="J108" s="108" t="str">
        <f>IF('(4).Midterm Results'!C108=0,"",'(4).Midterm Results'!C108)</f>
        <v/>
      </c>
      <c r="K108" s="108" t="str">
        <f>IF('(4).Midterm Results'!D108=0,"",'(4).Midterm Results'!D108)</f>
        <v/>
      </c>
      <c r="L108" s="108" t="str">
        <f>IF('(4).Midterm Results'!E108=0,"",'(4).Midterm Results'!E108)</f>
        <v/>
      </c>
      <c r="M108" s="108" t="str">
        <f>IF('(4).Midterm Results'!F108=0,"",'(4).Midterm Results'!F108)</f>
        <v/>
      </c>
      <c r="N108" s="108" t="str">
        <f>IF('(4).Midterm Results'!G108=0,"",'(4).Midterm Results'!G108)</f>
        <v/>
      </c>
      <c r="O108" s="108" t="str">
        <f>IF('(4).Midterm Results'!H108=0,"",'(4).Midterm Results'!H108)</f>
        <v/>
      </c>
      <c r="P108" s="108" t="str">
        <f>IF('(4).Midterm Results'!I108=0,"",'(4).Midterm Results'!I108)</f>
        <v/>
      </c>
      <c r="Q108" s="108" t="str">
        <f>IF('(4).Midterm Results'!J108=0,"",'(4).Midterm Results'!J108)</f>
        <v/>
      </c>
      <c r="R108" s="108" t="str">
        <f>IF('(4).Midterm Results'!K108=0,"",'(4).Midterm Results'!K108)</f>
        <v/>
      </c>
      <c r="S108" s="108" t="str">
        <f>IF('(4).Midterm Results'!L108=0,"",'(4).Midterm Results'!L108)</f>
        <v/>
      </c>
      <c r="T108" s="108" t="str">
        <f>IF('(4).Midterm Results'!M108=0,"",'(4).Midterm Results'!M108)</f>
        <v/>
      </c>
      <c r="U108" s="108" t="str">
        <f>IF('(4).Midterm Results'!N108=0,"",'(4).Midterm Results'!N108)</f>
        <v/>
      </c>
      <c r="V108" s="108" t="str">
        <f>IF('(4).Midterm Results'!O108=0,"",'(4).Midterm Results'!O108)</f>
        <v/>
      </c>
    </row>
    <row r="109" spans="1:22" ht="12.4" customHeight="1">
      <c r="A109" s="246"/>
      <c r="B109" s="243"/>
      <c r="C109" s="137" t="str">
        <v>Alphabet N</v>
      </c>
      <c r="D109" s="138">
        <v>10</v>
      </c>
      <c r="E109" s="139">
        <v>8.5</v>
      </c>
      <c r="F109" s="140" t="str">
        <f t="shared" si="6"/>
        <v/>
      </c>
      <c r="H109" s="108" t="str">
        <f>IF('(4).Midterm Results'!A109=0,"",'(4).Midterm Results'!A109)</f>
        <v>Br:</v>
      </c>
      <c r="I109" s="108" t="str">
        <f>IF('(4).Midterm Results'!B109=0,"",'(4).Midterm Results'!B109)</f>
        <v/>
      </c>
      <c r="J109" s="108" t="str">
        <f>IF('(4).Midterm Results'!C109=0,"",'(4).Midterm Results'!C109)</f>
        <v/>
      </c>
      <c r="K109" s="108" t="str">
        <f>IF('(4).Midterm Results'!D109=0,"",'(4).Midterm Results'!D109)</f>
        <v>MIDTERM RESULTS</v>
      </c>
      <c r="L109" s="108" t="str">
        <f>IF('(4).Midterm Results'!E109=0,"",'(4).Midterm Results'!E109)</f>
        <v/>
      </c>
      <c r="M109" s="108" t="str">
        <f>IF('(4).Midterm Results'!F109=0,"",'(4).Midterm Results'!F109)</f>
        <v/>
      </c>
      <c r="N109" s="108" t="str">
        <f>IF('(4).Midterm Results'!G109=0,"",'(4).Midterm Results'!G109)</f>
        <v/>
      </c>
      <c r="O109" s="108" t="str">
        <f>IF('(4).Midterm Results'!H109=0,"",'(4).Midterm Results'!H109)</f>
        <v/>
      </c>
      <c r="P109" s="108" t="str">
        <f>IF('(4).Midterm Results'!I109=0,"",'(4).Midterm Results'!I109)</f>
        <v/>
      </c>
      <c r="Q109" s="108" t="str">
        <f>IF('(4).Midterm Results'!J109=0,"",'(4).Midterm Results'!J109)</f>
        <v/>
      </c>
      <c r="R109" s="108" t="str">
        <f>IF('(4).Midterm Results'!K109=0,"",'(4).Midterm Results'!K109)</f>
        <v/>
      </c>
      <c r="S109" s="108" t="str">
        <f>IF('(4).Midterm Results'!L109=0,"",'(4).Midterm Results'!L109)</f>
        <v/>
      </c>
      <c r="T109" s="108" t="str">
        <f>IF('(4).Midterm Results'!M109=0,"",'(4).Midterm Results'!M109)</f>
        <v/>
      </c>
      <c r="U109" s="108" t="str">
        <f>IF('(4).Midterm Results'!N109=0,"",'(4).Midterm Results'!N109)</f>
        <v/>
      </c>
      <c r="V109" s="108" t="str">
        <f>IF('(4).Midterm Results'!O109=0,"",'(4).Midterm Results'!O109)</f>
        <v/>
      </c>
    </row>
    <row r="110" spans="1:22" ht="12.4" customHeight="1">
      <c r="A110" s="246"/>
      <c r="B110" s="243"/>
      <c r="C110" s="137" t="str">
        <v>Alphabet S</v>
      </c>
      <c r="D110" s="138">
        <v>10</v>
      </c>
      <c r="E110" s="139">
        <v>10</v>
      </c>
      <c r="F110" s="140" t="str">
        <f t="shared" si="6"/>
        <v/>
      </c>
      <c r="H110" s="108" t="str">
        <f>IF('(4).Midterm Results'!A110=0,"",'(4).Midterm Results'!A110)</f>
        <v>Level:</v>
      </c>
      <c r="I110" s="108" t="str">
        <f>IF('(4).Midterm Results'!B110=0,"",'(4).Midterm Results'!B110)</f>
        <v/>
      </c>
      <c r="J110" s="108" t="str">
        <f>IF('(4).Midterm Results'!C110=0,"",'(4).Midterm Results'!C110)</f>
        <v/>
      </c>
      <c r="K110" s="108" t="str">
        <f>IF('(4).Midterm Results'!D110=0,"",'(4).Midterm Results'!D110)</f>
        <v>FEBRUARY - JULY 2026</v>
      </c>
      <c r="L110" s="108" t="str">
        <f>IF('(4).Midterm Results'!E110=0,"",'(4).Midterm Results'!E110)</f>
        <v/>
      </c>
      <c r="M110" s="108" t="str">
        <f>IF('(4).Midterm Results'!F110=0,"",'(4).Midterm Results'!F110)</f>
        <v/>
      </c>
      <c r="N110" s="108" t="str">
        <f>IF('(4).Midterm Results'!G110=0,"",'(4).Midterm Results'!G110)</f>
        <v/>
      </c>
      <c r="O110" s="108" t="str">
        <f>IF('(4).Midterm Results'!H110=0,"",'(4).Midterm Results'!H110)</f>
        <v/>
      </c>
      <c r="P110" s="108" t="str">
        <f>IF('(4).Midterm Results'!I110=0,"",'(4).Midterm Results'!I110)</f>
        <v/>
      </c>
      <c r="Q110" s="108" t="str">
        <f>IF('(4).Midterm Results'!J110=0,"",'(4).Midterm Results'!J110)</f>
        <v/>
      </c>
      <c r="R110" s="108" t="str">
        <f>IF('(4).Midterm Results'!K110=0,"",'(4).Midterm Results'!K110)</f>
        <v/>
      </c>
      <c r="S110" s="108" t="str">
        <f>IF('(4).Midterm Results'!L110=0,"",'(4).Midterm Results'!L110)</f>
        <v/>
      </c>
      <c r="T110" s="108" t="str">
        <f>IF('(4).Midterm Results'!M110=0,"",'(4).Midterm Results'!M110)</f>
        <v/>
      </c>
      <c r="U110" s="108" t="str">
        <f>IF('(4).Midterm Results'!N110=0,"",'(4).Midterm Results'!N110)</f>
        <v/>
      </c>
      <c r="V110" s="108" t="str">
        <f>IF('(4).Midterm Results'!O110=0,"",'(4).Midterm Results'!O110)</f>
        <v/>
      </c>
    </row>
    <row r="111" spans="1:22" ht="12.4" customHeight="1">
      <c r="A111" s="246"/>
      <c r="B111" s="243"/>
      <c r="C111" s="137" t="str">
        <v>Vocabulary</v>
      </c>
      <c r="D111" s="138">
        <v>10</v>
      </c>
      <c r="E111" s="139">
        <v>9.5</v>
      </c>
      <c r="F111" s="140" t="str">
        <f t="shared" si="6"/>
        <v/>
      </c>
      <c r="H111" s="108" t="str">
        <f>IF('(4).Midterm Results'!A111=0,"",'(4).Midterm Results'!A111)</f>
        <v>Time:</v>
      </c>
      <c r="I111" s="108" t="str">
        <f>IF('(4).Midterm Results'!B111=0,"",'(4).Midterm Results'!B111)</f>
        <v/>
      </c>
      <c r="J111" s="108" t="str">
        <f>IF('(4).Midterm Results'!C111=0,"",'(4).Midterm Results'!C111)</f>
        <v/>
      </c>
      <c r="K111" s="108" t="str">
        <f>IF('(4).Midterm Results'!D111=0,"",'(4).Midterm Results'!D111)</f>
        <v>*** Midterm Results (Total Scores) = Midterm Daily (20%) + Midterm Exam (80%) ***</v>
      </c>
      <c r="L111" s="108" t="str">
        <f>IF('(4).Midterm Results'!E111=0,"",'(4).Midterm Results'!E111)</f>
        <v/>
      </c>
      <c r="M111" s="108" t="str">
        <f>IF('(4).Midterm Results'!F111=0,"",'(4).Midterm Results'!F111)</f>
        <v/>
      </c>
      <c r="N111" s="108" t="str">
        <f>IF('(4).Midterm Results'!G111=0,"",'(4).Midterm Results'!G111)</f>
        <v/>
      </c>
      <c r="O111" s="108" t="str">
        <f>IF('(4).Midterm Results'!H111=0,"",'(4).Midterm Results'!H111)</f>
        <v/>
      </c>
      <c r="P111" s="108" t="str">
        <f>IF('(4).Midterm Results'!I111=0,"",'(4).Midterm Results'!I111)</f>
        <v/>
      </c>
      <c r="Q111" s="108" t="str">
        <f>IF('(4).Midterm Results'!J111=0,"",'(4).Midterm Results'!J111)</f>
        <v/>
      </c>
      <c r="R111" s="108" t="str">
        <f>IF('(4).Midterm Results'!K111=0,"",'(4).Midterm Results'!K111)</f>
        <v/>
      </c>
      <c r="S111" s="108" t="str">
        <f>IF('(4).Midterm Results'!L111=0,"",'(4).Midterm Results'!L111)</f>
        <v/>
      </c>
      <c r="T111" s="108" t="str">
        <f>IF('(4).Midterm Results'!M111=0,"",'(4).Midterm Results'!M111)</f>
        <v/>
      </c>
      <c r="U111" s="108" t="str">
        <f>IF('(4).Midterm Results'!N111=0,"",'(4).Midterm Results'!N111)</f>
        <v/>
      </c>
      <c r="V111" s="108" t="str">
        <f>IF('(4).Midterm Results'!O111=0,"",'(4).Midterm Results'!O111)</f>
        <v/>
      </c>
    </row>
    <row r="112" spans="1:22" ht="12.4" customHeight="1">
      <c r="A112" s="247" t="s">
        <v>131</v>
      </c>
      <c r="B112" s="243"/>
      <c r="C112" s="137" t="str">
        <v>Sprouts</v>
      </c>
      <c r="D112" s="138">
        <v>10</v>
      </c>
      <c r="E112" s="139">
        <v>9</v>
      </c>
      <c r="F112" s="140" t="str">
        <f t="shared" si="6"/>
        <v/>
      </c>
      <c r="H112" s="108" t="str">
        <f>IF('(4).Midterm Results'!A112=0,"",'(4).Midterm Results'!A112)</f>
        <v>Room:</v>
      </c>
      <c r="I112" s="108" t="str">
        <f>IF('(4).Midterm Results'!B112=0,"",'(4).Midterm Results'!B112)</f>
        <v/>
      </c>
      <c r="J112" s="108" t="str">
        <f>IF('(4).Midterm Results'!C112=0,"",'(4).Midterm Results'!C112)</f>
        <v/>
      </c>
      <c r="K112" s="108" t="str">
        <f>IF('(4).Midterm Results'!D112=0,"",'(4).Midterm Results'!D112)</f>
        <v>MIDTERM</v>
      </c>
      <c r="L112" s="108" t="str">
        <f>IF('(4).Midterm Results'!E112=0,"",'(4).Midterm Results'!E112)</f>
        <v>MIDTERM EXAM</v>
      </c>
      <c r="M112" s="108" t="str">
        <f>IF('(4).Midterm Results'!F112=0,"",'(4).Midterm Results'!F112)</f>
        <v/>
      </c>
      <c r="N112" s="108" t="str">
        <f>IF('(4).Midterm Results'!G112=0,"",'(4).Midterm Results'!G112)</f>
        <v/>
      </c>
      <c r="O112" s="108" t="str">
        <f>IF('(4).Midterm Results'!H112=0,"",'(4).Midterm Results'!H112)</f>
        <v/>
      </c>
      <c r="P112" s="108" t="str">
        <f>IF('(4).Midterm Results'!I112=0,"",'(4).Midterm Results'!I112)</f>
        <v/>
      </c>
      <c r="Q112" s="108" t="str">
        <f>IF('(4).Midterm Results'!J112=0,"",'(4).Midterm Results'!J112)</f>
        <v/>
      </c>
      <c r="R112" s="108" t="str">
        <f>IF('(4).Midterm Results'!K112=0,"",'(4).Midterm Results'!K112)</f>
        <v/>
      </c>
      <c r="S112" s="108" t="str">
        <f>IF('(4).Midterm Results'!L112=0,"",'(4).Midterm Results'!L112)</f>
        <v/>
      </c>
      <c r="T112" s="108" t="str">
        <f>IF('(4).Midterm Results'!M112=0,"",'(4).Midterm Results'!M112)</f>
        <v/>
      </c>
      <c r="U112" s="108" t="str">
        <f>IF('(4).Midterm Results'!N112=0,"",'(4).Midterm Results'!N112)</f>
        <v/>
      </c>
      <c r="V112" s="108" t="str">
        <f>IF('(4).Midterm Results'!O112=0,"",'(4).Midterm Results'!O112)</f>
        <v>TOTAL</v>
      </c>
    </row>
    <row r="113" spans="1:22" ht="12.4" customHeight="1">
      <c r="A113" s="247"/>
      <c r="B113" s="243"/>
      <c r="C113" s="137" t="str">
        <v>Phonics</v>
      </c>
      <c r="D113" s="138">
        <v>10</v>
      </c>
      <c r="E113" s="139">
        <v>10</v>
      </c>
      <c r="F113" s="140" t="str">
        <f t="shared" si="6"/>
        <v/>
      </c>
      <c r="H113" s="108" t="str">
        <f>IF('(4).Midterm Results'!A113=0,"",'(4).Midterm Results'!A113)</f>
        <v>Tr:</v>
      </c>
      <c r="I113" s="108" t="str">
        <f>IF('(4).Midterm Results'!B113=0,"",'(4).Midterm Results'!B113)</f>
        <v/>
      </c>
      <c r="J113" s="108" t="str">
        <f>IF('(4).Midterm Results'!C113=0,"",'(4).Midterm Results'!C113)</f>
        <v/>
      </c>
      <c r="K113" s="108" t="str">
        <f>IF('(4).Midterm Results'!D113=0,"",'(4).Midterm Results'!D113)</f>
        <v>DAILY</v>
      </c>
      <c r="L113" s="108" t="str">
        <f>IF('(4).Midterm Results'!E113=0,"",'(4).Midterm Results'!E113)</f>
        <v>Up-Low C</v>
      </c>
      <c r="M113" s="108" t="str">
        <f>IF('(4).Midterm Results'!F113=0,"",'(4).Midterm Results'!F113)</f>
        <v>Alphabet N</v>
      </c>
      <c r="N113" s="108" t="str">
        <f>IF('(4).Midterm Results'!G113=0,"",'(4).Midterm Results'!G113)</f>
        <v>Alphabet S</v>
      </c>
      <c r="O113" s="108" t="str">
        <f>IF('(4).Midterm Results'!H113=0,"",'(4).Midterm Results'!H113)</f>
        <v>Vocabulary</v>
      </c>
      <c r="P113" s="108" t="str">
        <f>IF('(4).Midterm Results'!I113=0,"",'(4).Midterm Results'!I113)</f>
        <v>Sprouts</v>
      </c>
      <c r="Q113" s="108" t="str">
        <f>IF('(4).Midterm Results'!J113=0,"",'(4).Midterm Results'!J113)</f>
        <v>Phonics</v>
      </c>
      <c r="R113" s="108" t="str">
        <f>IF('(4).Midterm Results'!K113=0,"",'(4).Midterm Results'!K113)</f>
        <v>Math</v>
      </c>
      <c r="S113" s="108" t="str">
        <f>IF('(4).Midterm Results'!L113=0,"",'(4).Midterm Results'!L113)</f>
        <v>Shape</v>
      </c>
      <c r="T113" s="108" t="str">
        <f>IF('(4).Midterm Results'!M113=0,"",'(4).Midterm Results'!M113)</f>
        <v>Science</v>
      </c>
      <c r="U113" s="108" t="str">
        <f>IF('(4).Midterm Results'!N113=0,"",'(4).Midterm Results'!N113)</f>
        <v>Tracing</v>
      </c>
      <c r="V113" s="108" t="str">
        <f>IF('(4).Midterm Results'!O113=0,"",'(4).Midterm Results'!O113)</f>
        <v>SCORES</v>
      </c>
    </row>
    <row r="114" spans="1:22" ht="12.4" customHeight="1">
      <c r="A114" s="247"/>
      <c r="B114" s="243"/>
      <c r="C114" s="137" t="str">
        <v>Math</v>
      </c>
      <c r="D114" s="138">
        <v>10</v>
      </c>
      <c r="E114" s="139">
        <v>10</v>
      </c>
      <c r="F114" s="140" t="str">
        <f t="shared" si="6"/>
        <v/>
      </c>
      <c r="H114" s="108" t="str">
        <f>IF('(4).Midterm Results'!A114=0,"",'(4).Midterm Results'!A114)</f>
        <v>NO</v>
      </c>
      <c r="I114" s="108" t="str">
        <f>IF('(4).Midterm Results'!B114=0,"",'(4).Midterm Results'!B114)</f>
        <v>NAME</v>
      </c>
      <c r="J114" s="108" t="str">
        <f>IF('(4).Midterm Results'!C114=0,"",'(4).Midterm Results'!C114)</f>
        <v>SEX</v>
      </c>
      <c r="K114" s="108" t="str">
        <f>IF('(4).Midterm Results'!D114=0,"",'(4).Midterm Results'!D114)</f>
        <v>100 points</v>
      </c>
      <c r="L114" s="108" t="str">
        <f>IF('(4).Midterm Results'!E114=0,"",'(4).Midterm Results'!E114)</f>
        <v>10 points</v>
      </c>
      <c r="M114" s="108" t="str">
        <f>IF('(4).Midterm Results'!F114=0,"",'(4).Midterm Results'!F114)</f>
        <v>10 points</v>
      </c>
      <c r="N114" s="108" t="str">
        <f>IF('(4).Midterm Results'!G114=0,"",'(4).Midterm Results'!G114)</f>
        <v>10 points</v>
      </c>
      <c r="O114" s="108" t="str">
        <f>IF('(4).Midterm Results'!H114=0,"",'(4).Midterm Results'!H114)</f>
        <v>10 points</v>
      </c>
      <c r="P114" s="108" t="str">
        <f>IF('(4).Midterm Results'!I114=0,"",'(4).Midterm Results'!I114)</f>
        <v>10 points</v>
      </c>
      <c r="Q114" s="108" t="str">
        <f>IF('(4).Midterm Results'!J114=0,"",'(4).Midterm Results'!J114)</f>
        <v>10 points</v>
      </c>
      <c r="R114" s="108" t="str">
        <f>IF('(4).Midterm Results'!K114=0,"",'(4).Midterm Results'!K114)</f>
        <v>10 points</v>
      </c>
      <c r="S114" s="108" t="str">
        <f>IF('(4).Midterm Results'!L114=0,"",'(4).Midterm Results'!L114)</f>
        <v>10 points</v>
      </c>
      <c r="T114" s="108" t="str">
        <f>IF('(4).Midterm Results'!M114=0,"",'(4).Midterm Results'!M114)</f>
        <v>10 points</v>
      </c>
      <c r="U114" s="108" t="str">
        <f>IF('(4).Midterm Results'!N114=0,"",'(4).Midterm Results'!N114)</f>
        <v>10 points</v>
      </c>
      <c r="V114" s="108" t="str">
        <f>IF('(4).Midterm Results'!O114=0,"",'(4).Midterm Results'!O114)</f>
        <v>100 points</v>
      </c>
    </row>
    <row r="115" spans="1:22" ht="12.4" customHeight="1">
      <c r="A115" s="247"/>
      <c r="B115" s="243"/>
      <c r="C115" s="137" t="str">
        <v>Shape</v>
      </c>
      <c r="D115" s="138">
        <v>10</v>
      </c>
      <c r="E115" s="139">
        <v>10</v>
      </c>
      <c r="F115" s="140" t="str">
        <f t="shared" si="6"/>
        <v/>
      </c>
      <c r="H115" s="108">
        <f>IF('(4).Midterm Results'!A115=0,"",'(4).Midterm Results'!A115)</f>
        <v>1</v>
      </c>
      <c r="I115" s="108" t="str">
        <f>IF('(4).Midterm Results'!B115=0,"",'(4).Midterm Results'!B115)</f>
        <v/>
      </c>
      <c r="J115" s="108" t="str">
        <f>IF('(4).Midterm Results'!C115=0,"",'(4).Midterm Results'!C115)</f>
        <v/>
      </c>
      <c r="K115" s="108" t="str">
        <f>IF('(4).Midterm Results'!D115=0,"",'(4).Midterm Results'!D115)</f>
        <v/>
      </c>
      <c r="L115" s="108" t="str">
        <f>IF('(4).Midterm Results'!E115=0,"",'(4).Midterm Results'!E115)</f>
        <v/>
      </c>
      <c r="M115" s="108" t="str">
        <f>IF('(4).Midterm Results'!F115=0,"",'(4).Midterm Results'!F115)</f>
        <v/>
      </c>
      <c r="N115" s="108" t="str">
        <f>IF('(4).Midterm Results'!G115=0,"",'(4).Midterm Results'!G115)</f>
        <v/>
      </c>
      <c r="O115" s="108" t="str">
        <f>IF('(4).Midterm Results'!H115=0,"",'(4).Midterm Results'!H115)</f>
        <v/>
      </c>
      <c r="P115" s="108" t="str">
        <f>IF('(4).Midterm Results'!I115=0,"",'(4).Midterm Results'!I115)</f>
        <v/>
      </c>
      <c r="Q115" s="108" t="str">
        <f>IF('(4).Midterm Results'!J115=0,"",'(4).Midterm Results'!J115)</f>
        <v/>
      </c>
      <c r="R115" s="108" t="str">
        <f>IF('(4).Midterm Results'!K115=0,"",'(4).Midterm Results'!K115)</f>
        <v/>
      </c>
      <c r="S115" s="108" t="str">
        <f>IF('(4).Midterm Results'!L115=0,"",'(4).Midterm Results'!L115)</f>
        <v/>
      </c>
      <c r="T115" s="108" t="str">
        <f>IF('(4).Midterm Results'!M115=0,"",'(4).Midterm Results'!M115)</f>
        <v/>
      </c>
      <c r="U115" s="108" t="str">
        <f>IF('(4).Midterm Results'!N115=0,"",'(4).Midterm Results'!N115)</f>
        <v/>
      </c>
      <c r="V115" s="108" t="str">
        <f>IF('(4).Midterm Results'!O115=0,"",'(4).Midterm Results'!O115)</f>
        <v/>
      </c>
    </row>
    <row r="116" spans="1:22" ht="12.4" customHeight="1">
      <c r="A116" s="247"/>
      <c r="B116" s="243"/>
      <c r="C116" s="137" t="str">
        <v>Science</v>
      </c>
      <c r="D116" s="138">
        <v>10</v>
      </c>
      <c r="E116" s="139">
        <v>10</v>
      </c>
      <c r="F116" s="140" t="str">
        <f t="shared" si="6"/>
        <v/>
      </c>
      <c r="H116" s="108">
        <f>IF('(4).Midterm Results'!A116=0,"",'(4).Midterm Results'!A116)</f>
        <v>2</v>
      </c>
      <c r="I116" s="108" t="str">
        <f>IF('(4).Midterm Results'!B116=0,"",'(4).Midterm Results'!B116)</f>
        <v/>
      </c>
      <c r="J116" s="108" t="str">
        <f>IF('(4).Midterm Results'!C116=0,"",'(4).Midterm Results'!C116)</f>
        <v/>
      </c>
      <c r="K116" s="108" t="str">
        <f>IF('(4).Midterm Results'!D116=0,"",'(4).Midterm Results'!D116)</f>
        <v/>
      </c>
      <c r="L116" s="108" t="str">
        <f>IF('(4).Midterm Results'!E116=0,"",'(4).Midterm Results'!E116)</f>
        <v/>
      </c>
      <c r="M116" s="108" t="str">
        <f>IF('(4).Midterm Results'!F116=0,"",'(4).Midterm Results'!F116)</f>
        <v/>
      </c>
      <c r="N116" s="108" t="str">
        <f>IF('(4).Midterm Results'!G116=0,"",'(4).Midterm Results'!G116)</f>
        <v/>
      </c>
      <c r="O116" s="108" t="str">
        <f>IF('(4).Midterm Results'!H116=0,"",'(4).Midterm Results'!H116)</f>
        <v/>
      </c>
      <c r="P116" s="108" t="str">
        <f>IF('(4).Midterm Results'!I116=0,"",'(4).Midterm Results'!I116)</f>
        <v/>
      </c>
      <c r="Q116" s="108" t="str">
        <f>IF('(4).Midterm Results'!J116=0,"",'(4).Midterm Results'!J116)</f>
        <v/>
      </c>
      <c r="R116" s="108" t="str">
        <f>IF('(4).Midterm Results'!K116=0,"",'(4).Midterm Results'!K116)</f>
        <v/>
      </c>
      <c r="S116" s="108" t="str">
        <f>IF('(4).Midterm Results'!L116=0,"",'(4).Midterm Results'!L116)</f>
        <v/>
      </c>
      <c r="T116" s="108" t="str">
        <f>IF('(4).Midterm Results'!M116=0,"",'(4).Midterm Results'!M116)</f>
        <v/>
      </c>
      <c r="U116" s="108" t="str">
        <f>IF('(4).Midterm Results'!N116=0,"",'(4).Midterm Results'!N116)</f>
        <v/>
      </c>
      <c r="V116" s="108" t="str">
        <f>IF('(4).Midterm Results'!O116=0,"",'(4).Midterm Results'!O116)</f>
        <v/>
      </c>
    </row>
    <row r="117" spans="1:22" ht="12.4" customHeight="1">
      <c r="A117" s="247"/>
      <c r="B117" s="244"/>
      <c r="C117" s="141" t="str">
        <v>Tracing</v>
      </c>
      <c r="D117" s="142">
        <v>10</v>
      </c>
      <c r="E117" s="143">
        <v>9.75</v>
      </c>
      <c r="F117" s="144" t="str">
        <f t="shared" si="6"/>
        <v/>
      </c>
      <c r="H117" s="108">
        <f>IF('(4).Midterm Results'!A117=0,"",'(4).Midterm Results'!A117)</f>
        <v>3</v>
      </c>
      <c r="I117" s="108" t="str">
        <f>IF('(4).Midterm Results'!B117=0,"",'(4).Midterm Results'!B117)</f>
        <v/>
      </c>
      <c r="J117" s="108" t="str">
        <f>IF('(4).Midterm Results'!C117=0,"",'(4).Midterm Results'!C117)</f>
        <v/>
      </c>
      <c r="K117" s="108" t="str">
        <f>IF('(4).Midterm Results'!D117=0,"",'(4).Midterm Results'!D117)</f>
        <v/>
      </c>
      <c r="L117" s="108" t="str">
        <f>IF('(4).Midterm Results'!E117=0,"",'(4).Midterm Results'!E117)</f>
        <v/>
      </c>
      <c r="M117" s="108" t="str">
        <f>IF('(4).Midterm Results'!F117=0,"",'(4).Midterm Results'!F117)</f>
        <v/>
      </c>
      <c r="N117" s="108" t="str">
        <f>IF('(4).Midterm Results'!G117=0,"",'(4).Midterm Results'!G117)</f>
        <v/>
      </c>
      <c r="O117" s="108" t="str">
        <f>IF('(4).Midterm Results'!H117=0,"",'(4).Midterm Results'!H117)</f>
        <v/>
      </c>
      <c r="P117" s="108" t="str">
        <f>IF('(4).Midterm Results'!I117=0,"",'(4).Midterm Results'!I117)</f>
        <v/>
      </c>
      <c r="Q117" s="108" t="str">
        <f>IF('(4).Midterm Results'!J117=0,"",'(4).Midterm Results'!J117)</f>
        <v/>
      </c>
      <c r="R117" s="108" t="str">
        <f>IF('(4).Midterm Results'!K117=0,"",'(4).Midterm Results'!K117)</f>
        <v/>
      </c>
      <c r="S117" s="108" t="str">
        <f>IF('(4).Midterm Results'!L117=0,"",'(4).Midterm Results'!L117)</f>
        <v/>
      </c>
      <c r="T117" s="108" t="str">
        <f>IF('(4).Midterm Results'!M117=0,"",'(4).Midterm Results'!M117)</f>
        <v/>
      </c>
      <c r="U117" s="108" t="str">
        <f>IF('(4).Midterm Results'!N117=0,"",'(4).Midterm Results'!N117)</f>
        <v/>
      </c>
      <c r="V117" s="108" t="str">
        <f>IF('(4).Midterm Results'!O117=0,"",'(4).Midterm Results'!O117)</f>
        <v/>
      </c>
    </row>
    <row r="118" spans="1:22" ht="12.4" customHeight="1">
      <c r="A118" s="248"/>
      <c r="B118" s="240" t="s">
        <v>133</v>
      </c>
      <c r="C118" s="241"/>
      <c r="D118" s="103">
        <f>D107*20%+SUM(D108:D117)*80%</f>
        <v>100</v>
      </c>
      <c r="E118" s="110">
        <v>94.9</v>
      </c>
      <c r="F118" s="104" t="str">
        <f t="shared" si="6"/>
        <v/>
      </c>
      <c r="H118" s="108">
        <f>IF('(4).Midterm Results'!A118=0,"",'(4).Midterm Results'!A118)</f>
        <v>4</v>
      </c>
      <c r="I118" s="108" t="str">
        <f>IF('(4).Midterm Results'!B118=0,"",'(4).Midterm Results'!B118)</f>
        <v/>
      </c>
      <c r="J118" s="108" t="str">
        <f>IF('(4).Midterm Results'!C118=0,"",'(4).Midterm Results'!C118)</f>
        <v/>
      </c>
      <c r="K118" s="108" t="str">
        <f>IF('(4).Midterm Results'!D118=0,"",'(4).Midterm Results'!D118)</f>
        <v/>
      </c>
      <c r="L118" s="108" t="str">
        <f>IF('(4).Midterm Results'!E118=0,"",'(4).Midterm Results'!E118)</f>
        <v/>
      </c>
      <c r="M118" s="108" t="str">
        <f>IF('(4).Midterm Results'!F118=0,"",'(4).Midterm Results'!F118)</f>
        <v/>
      </c>
      <c r="N118" s="108" t="str">
        <f>IF('(4).Midterm Results'!G118=0,"",'(4).Midterm Results'!G118)</f>
        <v/>
      </c>
      <c r="O118" s="108" t="str">
        <f>IF('(4).Midterm Results'!H118=0,"",'(4).Midterm Results'!H118)</f>
        <v/>
      </c>
      <c r="P118" s="108" t="str">
        <f>IF('(4).Midterm Results'!I118=0,"",'(4).Midterm Results'!I118)</f>
        <v/>
      </c>
      <c r="Q118" s="108" t="str">
        <f>IF('(4).Midterm Results'!J118=0,"",'(4).Midterm Results'!J118)</f>
        <v/>
      </c>
      <c r="R118" s="108" t="str">
        <f>IF('(4).Midterm Results'!K118=0,"",'(4).Midterm Results'!K118)</f>
        <v/>
      </c>
      <c r="S118" s="108" t="str">
        <f>IF('(4).Midterm Results'!L118=0,"",'(4).Midterm Results'!L118)</f>
        <v/>
      </c>
      <c r="T118" s="108" t="str">
        <f>IF('(4).Midterm Results'!M118=0,"",'(4).Midterm Results'!M118)</f>
        <v/>
      </c>
      <c r="U118" s="108" t="str">
        <f>IF('(4).Midterm Results'!N118=0,"",'(4).Midterm Results'!N118)</f>
        <v/>
      </c>
      <c r="V118" s="108" t="str">
        <f>IF('(4).Midterm Results'!O118=0,"",'(4).Midterm Results'!O118)</f>
        <v/>
      </c>
    </row>
    <row r="119" spans="1:22" ht="12.4" customHeight="1">
      <c r="H119" s="108">
        <f>IF('(4).Midterm Results'!A119=0,"",'(4).Midterm Results'!A119)</f>
        <v>5</v>
      </c>
      <c r="I119" s="108" t="str">
        <f>IF('(4).Midterm Results'!B119=0,"",'(4).Midterm Results'!B119)</f>
        <v/>
      </c>
      <c r="J119" s="108" t="str">
        <f>IF('(4).Midterm Results'!C119=0,"",'(4).Midterm Results'!C119)</f>
        <v/>
      </c>
      <c r="K119" s="108" t="str">
        <f>IF('(4).Midterm Results'!D119=0,"",'(4).Midterm Results'!D119)</f>
        <v/>
      </c>
      <c r="L119" s="108" t="str">
        <f>IF('(4).Midterm Results'!E119=0,"",'(4).Midterm Results'!E119)</f>
        <v/>
      </c>
      <c r="M119" s="108" t="str">
        <f>IF('(4).Midterm Results'!F119=0,"",'(4).Midterm Results'!F119)</f>
        <v/>
      </c>
      <c r="N119" s="108" t="str">
        <f>IF('(4).Midterm Results'!G119=0,"",'(4).Midterm Results'!G119)</f>
        <v/>
      </c>
      <c r="O119" s="108" t="str">
        <f>IF('(4).Midterm Results'!H119=0,"",'(4).Midterm Results'!H119)</f>
        <v/>
      </c>
      <c r="P119" s="108" t="str">
        <f>IF('(4).Midterm Results'!I119=0,"",'(4).Midterm Results'!I119)</f>
        <v/>
      </c>
      <c r="Q119" s="108" t="str">
        <f>IF('(4).Midterm Results'!J119=0,"",'(4).Midterm Results'!J119)</f>
        <v/>
      </c>
      <c r="R119" s="108" t="str">
        <f>IF('(4).Midterm Results'!K119=0,"",'(4).Midterm Results'!K119)</f>
        <v/>
      </c>
      <c r="S119" s="108" t="str">
        <f>IF('(4).Midterm Results'!L119=0,"",'(4).Midterm Results'!L119)</f>
        <v/>
      </c>
      <c r="T119" s="108" t="str">
        <f>IF('(4).Midterm Results'!M119=0,"",'(4).Midterm Results'!M119)</f>
        <v/>
      </c>
      <c r="U119" s="108" t="str">
        <f>IF('(4).Midterm Results'!N119=0,"",'(4).Midterm Results'!N119)</f>
        <v/>
      </c>
      <c r="V119" s="108" t="str">
        <f>IF('(4).Midterm Results'!O119=0,"",'(4).Midterm Results'!O119)</f>
        <v/>
      </c>
    </row>
    <row r="120" spans="1:22" ht="12.4" customHeight="1">
      <c r="A120" s="230" t="s">
        <v>121</v>
      </c>
      <c r="B120" s="231"/>
      <c r="C120" s="231"/>
      <c r="D120" s="107" t="s">
        <v>123</v>
      </c>
      <c r="E120" s="232" t="str">
        <f>I14</f>
        <v>Kong Yonghae</v>
      </c>
      <c r="F120" s="233"/>
      <c r="G120" s="101">
        <v>14</v>
      </c>
      <c r="H120" s="108">
        <f>IF('(4).Midterm Results'!A120=0,"",'(4).Midterm Results'!A120)</f>
        <v>6</v>
      </c>
      <c r="I120" s="108" t="str">
        <f>IF('(4).Midterm Results'!B120=0,"",'(4).Midterm Results'!B120)</f>
        <v/>
      </c>
      <c r="J120" s="108" t="str">
        <f>IF('(4).Midterm Results'!C120=0,"",'(4).Midterm Results'!C120)</f>
        <v/>
      </c>
      <c r="K120" s="108" t="str">
        <f>IF('(4).Midterm Results'!D120=0,"",'(4).Midterm Results'!D120)</f>
        <v/>
      </c>
      <c r="L120" s="108" t="str">
        <f>IF('(4).Midterm Results'!E120=0,"",'(4).Midterm Results'!E120)</f>
        <v/>
      </c>
      <c r="M120" s="108" t="str">
        <f>IF('(4).Midterm Results'!F120=0,"",'(4).Midterm Results'!F120)</f>
        <v/>
      </c>
      <c r="N120" s="108" t="str">
        <f>IF('(4).Midterm Results'!G120=0,"",'(4).Midterm Results'!G120)</f>
        <v/>
      </c>
      <c r="O120" s="108" t="str">
        <f>IF('(4).Midterm Results'!H120=0,"",'(4).Midterm Results'!H120)</f>
        <v/>
      </c>
      <c r="P120" s="108" t="str">
        <f>IF('(4).Midterm Results'!I120=0,"",'(4).Midterm Results'!I120)</f>
        <v/>
      </c>
      <c r="Q120" s="108" t="str">
        <f>IF('(4).Midterm Results'!J120=0,"",'(4).Midterm Results'!J120)</f>
        <v/>
      </c>
      <c r="R120" s="108" t="str">
        <f>IF('(4).Midterm Results'!K120=0,"",'(4).Midterm Results'!K120)</f>
        <v/>
      </c>
      <c r="S120" s="108" t="str">
        <f>IF('(4).Midterm Results'!L120=0,"",'(4).Midterm Results'!L120)</f>
        <v/>
      </c>
      <c r="T120" s="108" t="str">
        <f>IF('(4).Midterm Results'!M120=0,"",'(4).Midterm Results'!M120)</f>
        <v/>
      </c>
      <c r="U120" s="108" t="str">
        <f>IF('(4).Midterm Results'!N120=0,"",'(4).Midterm Results'!N120)</f>
        <v/>
      </c>
      <c r="V120" s="108" t="str">
        <f>IF('(4).Midterm Results'!O120=0,"",'(4).Midterm Results'!O120)</f>
        <v/>
      </c>
    </row>
    <row r="121" spans="1:22" ht="12.4" customHeight="1">
      <c r="A121" s="105" t="s">
        <v>122</v>
      </c>
      <c r="B121" s="234" t="str">
        <f>$K$2</f>
        <v>FEBRUARY - JULY 2026</v>
      </c>
      <c r="C121" s="234"/>
      <c r="D121" s="106" t="s">
        <v>124</v>
      </c>
      <c r="E121" s="235" t="str">
        <f>$I$2</f>
        <v>K1B</v>
      </c>
      <c r="F121" s="236"/>
      <c r="H121" s="108">
        <f>IF('(4).Midterm Results'!A121=0,"",'(4).Midterm Results'!A121)</f>
        <v>7</v>
      </c>
      <c r="I121" s="108" t="str">
        <f>IF('(4).Midterm Results'!B121=0,"",'(4).Midterm Results'!B121)</f>
        <v/>
      </c>
      <c r="J121" s="108" t="str">
        <f>IF('(4).Midterm Results'!C121=0,"",'(4).Midterm Results'!C121)</f>
        <v/>
      </c>
      <c r="K121" s="108" t="str">
        <f>IF('(4).Midterm Results'!D121=0,"",'(4).Midterm Results'!D121)</f>
        <v/>
      </c>
      <c r="L121" s="108" t="str">
        <f>IF('(4).Midterm Results'!E121=0,"",'(4).Midterm Results'!E121)</f>
        <v/>
      </c>
      <c r="M121" s="108" t="str">
        <f>IF('(4).Midterm Results'!F121=0,"",'(4).Midterm Results'!F121)</f>
        <v/>
      </c>
      <c r="N121" s="108" t="str">
        <f>IF('(4).Midterm Results'!G121=0,"",'(4).Midterm Results'!G121)</f>
        <v/>
      </c>
      <c r="O121" s="108" t="str">
        <f>IF('(4).Midterm Results'!H121=0,"",'(4).Midterm Results'!H121)</f>
        <v/>
      </c>
      <c r="P121" s="108" t="str">
        <f>IF('(4).Midterm Results'!I121=0,"",'(4).Midterm Results'!I121)</f>
        <v/>
      </c>
      <c r="Q121" s="108" t="str">
        <f>IF('(4).Midterm Results'!J121=0,"",'(4).Midterm Results'!J121)</f>
        <v/>
      </c>
      <c r="R121" s="108" t="str">
        <f>IF('(4).Midterm Results'!K121=0,"",'(4).Midterm Results'!K121)</f>
        <v/>
      </c>
      <c r="S121" s="108" t="str">
        <f>IF('(4).Midterm Results'!L121=0,"",'(4).Midterm Results'!L121)</f>
        <v/>
      </c>
      <c r="T121" s="108" t="str">
        <f>IF('(4).Midterm Results'!M121=0,"",'(4).Midterm Results'!M121)</f>
        <v/>
      </c>
      <c r="U121" s="108" t="str">
        <f>IF('(4).Midterm Results'!N121=0,"",'(4).Midterm Results'!N121)</f>
        <v/>
      </c>
      <c r="V121" s="108" t="str">
        <f>IF('(4).Midterm Results'!O121=0,"",'(4).Midterm Results'!O121)</f>
        <v/>
      </c>
    </row>
    <row r="122" spans="1:22" ht="12.4" customHeight="1">
      <c r="A122" s="237" t="s">
        <v>130</v>
      </c>
      <c r="B122" s="238"/>
      <c r="C122" s="238"/>
      <c r="D122" s="238"/>
      <c r="E122" s="238"/>
      <c r="F122" s="239"/>
      <c r="H122" s="108">
        <f>IF('(4).Midterm Results'!A122=0,"",'(4).Midterm Results'!A122)</f>
        <v>8</v>
      </c>
      <c r="I122" s="108" t="str">
        <f>IF('(4).Midterm Results'!B122=0,"",'(4).Midterm Results'!B122)</f>
        <v/>
      </c>
      <c r="J122" s="108" t="str">
        <f>IF('(4).Midterm Results'!C122=0,"",'(4).Midterm Results'!C122)</f>
        <v/>
      </c>
      <c r="K122" s="108" t="str">
        <f>IF('(4).Midterm Results'!D122=0,"",'(4).Midterm Results'!D122)</f>
        <v/>
      </c>
      <c r="L122" s="108" t="str">
        <f>IF('(4).Midterm Results'!E122=0,"",'(4).Midterm Results'!E122)</f>
        <v/>
      </c>
      <c r="M122" s="108" t="str">
        <f>IF('(4).Midterm Results'!F122=0,"",'(4).Midterm Results'!F122)</f>
        <v/>
      </c>
      <c r="N122" s="108" t="str">
        <f>IF('(4).Midterm Results'!G122=0,"",'(4).Midterm Results'!G122)</f>
        <v/>
      </c>
      <c r="O122" s="108" t="str">
        <f>IF('(4).Midterm Results'!H122=0,"",'(4).Midterm Results'!H122)</f>
        <v/>
      </c>
      <c r="P122" s="108" t="str">
        <f>IF('(4).Midterm Results'!I122=0,"",'(4).Midterm Results'!I122)</f>
        <v/>
      </c>
      <c r="Q122" s="108" t="str">
        <f>IF('(4).Midterm Results'!J122=0,"",'(4).Midterm Results'!J122)</f>
        <v/>
      </c>
      <c r="R122" s="108" t="str">
        <f>IF('(4).Midterm Results'!K122=0,"",'(4).Midterm Results'!K122)</f>
        <v/>
      </c>
      <c r="S122" s="108" t="str">
        <f>IF('(4).Midterm Results'!L122=0,"",'(4).Midterm Results'!L122)</f>
        <v/>
      </c>
      <c r="T122" s="108" t="str">
        <f>IF('(4).Midterm Results'!M122=0,"",'(4).Midterm Results'!M122)</f>
        <v/>
      </c>
      <c r="U122" s="108" t="str">
        <f>IF('(4).Midterm Results'!N122=0,"",'(4).Midterm Results'!N122)</f>
        <v/>
      </c>
      <c r="V122" s="108" t="str">
        <f>IF('(4).Midterm Results'!O122=0,"",'(4).Midterm Results'!O122)</f>
        <v/>
      </c>
    </row>
    <row r="123" spans="1:22" ht="12.4" customHeight="1">
      <c r="A123" s="245" t="s">
        <v>14</v>
      </c>
      <c r="B123" s="240" t="s">
        <v>125</v>
      </c>
      <c r="C123" s="241"/>
      <c r="D123" s="102" t="s">
        <v>126</v>
      </c>
      <c r="E123" s="109" t="s">
        <v>127</v>
      </c>
      <c r="F123" s="102" t="s">
        <v>128</v>
      </c>
      <c r="H123" s="108">
        <f>IF('(4).Midterm Results'!A123=0,"",'(4).Midterm Results'!A123)</f>
        <v>9</v>
      </c>
      <c r="I123" s="108" t="str">
        <f>IF('(4).Midterm Results'!B123=0,"",'(4).Midterm Results'!B123)</f>
        <v/>
      </c>
      <c r="J123" s="108" t="str">
        <f>IF('(4).Midterm Results'!C123=0,"",'(4).Midterm Results'!C123)</f>
        <v/>
      </c>
      <c r="K123" s="108" t="str">
        <f>IF('(4).Midterm Results'!D123=0,"",'(4).Midterm Results'!D123)</f>
        <v/>
      </c>
      <c r="L123" s="108" t="str">
        <f>IF('(4).Midterm Results'!E123=0,"",'(4).Midterm Results'!E123)</f>
        <v/>
      </c>
      <c r="M123" s="108" t="str">
        <f>IF('(4).Midterm Results'!F123=0,"",'(4).Midterm Results'!F123)</f>
        <v/>
      </c>
      <c r="N123" s="108" t="str">
        <f>IF('(4).Midterm Results'!G123=0,"",'(4).Midterm Results'!G123)</f>
        <v/>
      </c>
      <c r="O123" s="108" t="str">
        <f>IF('(4).Midterm Results'!H123=0,"",'(4).Midterm Results'!H123)</f>
        <v/>
      </c>
      <c r="P123" s="108" t="str">
        <f>IF('(4).Midterm Results'!I123=0,"",'(4).Midterm Results'!I123)</f>
        <v/>
      </c>
      <c r="Q123" s="108" t="str">
        <f>IF('(4).Midterm Results'!J123=0,"",'(4).Midterm Results'!J123)</f>
        <v/>
      </c>
      <c r="R123" s="108" t="str">
        <f>IF('(4).Midterm Results'!K123=0,"",'(4).Midterm Results'!K123)</f>
        <v/>
      </c>
      <c r="S123" s="108" t="str">
        <f>IF('(4).Midterm Results'!L123=0,"",'(4).Midterm Results'!L123)</f>
        <v/>
      </c>
      <c r="T123" s="108" t="str">
        <f>IF('(4).Midterm Results'!M123=0,"",'(4).Midterm Results'!M123)</f>
        <v/>
      </c>
      <c r="U123" s="108" t="str">
        <f>IF('(4).Midterm Results'!N123=0,"",'(4).Midterm Results'!N123)</f>
        <v/>
      </c>
      <c r="V123" s="108" t="str">
        <f>IF('(4).Midterm Results'!O123=0,"",'(4).Midterm Results'!O123)</f>
        <v/>
      </c>
    </row>
    <row r="124" spans="1:22" ht="12.4" customHeight="1">
      <c r="A124" s="246"/>
      <c r="B124" s="240" t="s">
        <v>129</v>
      </c>
      <c r="C124" s="241"/>
      <c r="D124" s="102">
        <v>100</v>
      </c>
      <c r="E124" s="110" cm="1">
        <f t="array" ref="E124:E135">TRANSPOSE(K14:V14)</f>
        <v>91</v>
      </c>
      <c r="F124" s="104" t="str">
        <f>IF(E124="","",IF(E124&lt;D124*60%,"Try harder",""))</f>
        <v/>
      </c>
      <c r="H124" s="108">
        <f>IF('(4).Midterm Results'!A124=0,"",'(4).Midterm Results'!A124)</f>
        <v>10</v>
      </c>
      <c r="I124" s="108" t="str">
        <f>IF('(4).Midterm Results'!B124=0,"",'(4).Midterm Results'!B124)</f>
        <v/>
      </c>
      <c r="J124" s="108" t="str">
        <f>IF('(4).Midterm Results'!C124=0,"",'(4).Midterm Results'!C124)</f>
        <v/>
      </c>
      <c r="K124" s="108" t="str">
        <f>IF('(4).Midterm Results'!D124=0,"",'(4).Midterm Results'!D124)</f>
        <v/>
      </c>
      <c r="L124" s="108" t="str">
        <f>IF('(4).Midterm Results'!E124=0,"",'(4).Midterm Results'!E124)</f>
        <v/>
      </c>
      <c r="M124" s="108" t="str">
        <f>IF('(4).Midterm Results'!F124=0,"",'(4).Midterm Results'!F124)</f>
        <v/>
      </c>
      <c r="N124" s="108" t="str">
        <f>IF('(4).Midterm Results'!G124=0,"",'(4).Midterm Results'!G124)</f>
        <v/>
      </c>
      <c r="O124" s="108" t="str">
        <f>IF('(4).Midterm Results'!H124=0,"",'(4).Midterm Results'!H124)</f>
        <v/>
      </c>
      <c r="P124" s="108" t="str">
        <f>IF('(4).Midterm Results'!I124=0,"",'(4).Midterm Results'!I124)</f>
        <v/>
      </c>
      <c r="Q124" s="108" t="str">
        <f>IF('(4).Midterm Results'!J124=0,"",'(4).Midterm Results'!J124)</f>
        <v/>
      </c>
      <c r="R124" s="108" t="str">
        <f>IF('(4).Midterm Results'!K124=0,"",'(4).Midterm Results'!K124)</f>
        <v/>
      </c>
      <c r="S124" s="108" t="str">
        <f>IF('(4).Midterm Results'!L124=0,"",'(4).Midterm Results'!L124)</f>
        <v/>
      </c>
      <c r="T124" s="108" t="str">
        <f>IF('(4).Midterm Results'!M124=0,"",'(4).Midterm Results'!M124)</f>
        <v/>
      </c>
      <c r="U124" s="108" t="str">
        <f>IF('(4).Midterm Results'!N124=0,"",'(4).Midterm Results'!N124)</f>
        <v/>
      </c>
      <c r="V124" s="108" t="str">
        <f>IF('(4).Midterm Results'!O124=0,"",'(4).Midterm Results'!O124)</f>
        <v/>
      </c>
    </row>
    <row r="125" spans="1:22" ht="12.4" customHeight="1">
      <c r="A125" s="246"/>
      <c r="B125" s="242" t="s">
        <v>132</v>
      </c>
      <c r="C125" s="133" t="str" cm="1">
        <f t="array" ref="C125:C134">TRANSPOSE($L$5:$U$5)</f>
        <v>Up-Low C</v>
      </c>
      <c r="D125" s="134">
        <v>10</v>
      </c>
      <c r="E125" s="135">
        <v>10</v>
      </c>
      <c r="F125" s="136" t="str">
        <f t="shared" ref="F125:F135" si="7">IF(E125="","",IF(E125&lt;D125*60%,"Try harder",""))</f>
        <v/>
      </c>
      <c r="H125" s="108">
        <f>IF('(4).Midterm Results'!A125=0,"",'(4).Midterm Results'!A125)</f>
        <v>11</v>
      </c>
      <c r="I125" s="108" t="str">
        <f>IF('(4).Midterm Results'!B125=0,"",'(4).Midterm Results'!B125)</f>
        <v/>
      </c>
      <c r="J125" s="108" t="str">
        <f>IF('(4).Midterm Results'!C125=0,"",'(4).Midterm Results'!C125)</f>
        <v/>
      </c>
      <c r="K125" s="108" t="str">
        <f>IF('(4).Midterm Results'!D125=0,"",'(4).Midterm Results'!D125)</f>
        <v/>
      </c>
      <c r="L125" s="108" t="str">
        <f>IF('(4).Midterm Results'!E125=0,"",'(4).Midterm Results'!E125)</f>
        <v/>
      </c>
      <c r="M125" s="108" t="str">
        <f>IF('(4).Midterm Results'!F125=0,"",'(4).Midterm Results'!F125)</f>
        <v/>
      </c>
      <c r="N125" s="108" t="str">
        <f>IF('(4).Midterm Results'!G125=0,"",'(4).Midterm Results'!G125)</f>
        <v/>
      </c>
      <c r="O125" s="108" t="str">
        <f>IF('(4).Midterm Results'!H125=0,"",'(4).Midterm Results'!H125)</f>
        <v/>
      </c>
      <c r="P125" s="108" t="str">
        <f>IF('(4).Midterm Results'!I125=0,"",'(4).Midterm Results'!I125)</f>
        <v/>
      </c>
      <c r="Q125" s="108" t="str">
        <f>IF('(4).Midterm Results'!J125=0,"",'(4).Midterm Results'!J125)</f>
        <v/>
      </c>
      <c r="R125" s="108" t="str">
        <f>IF('(4).Midterm Results'!K125=0,"",'(4).Midterm Results'!K125)</f>
        <v/>
      </c>
      <c r="S125" s="108" t="str">
        <f>IF('(4).Midterm Results'!L125=0,"",'(4).Midterm Results'!L125)</f>
        <v/>
      </c>
      <c r="T125" s="108" t="str">
        <f>IF('(4).Midterm Results'!M125=0,"",'(4).Midterm Results'!M125)</f>
        <v/>
      </c>
      <c r="U125" s="108" t="str">
        <f>IF('(4).Midterm Results'!N125=0,"",'(4).Midterm Results'!N125)</f>
        <v/>
      </c>
      <c r="V125" s="108" t="str">
        <f>IF('(4).Midterm Results'!O125=0,"",'(4).Midterm Results'!O125)</f>
        <v/>
      </c>
    </row>
    <row r="126" spans="1:22" ht="12.4" customHeight="1">
      <c r="A126" s="246"/>
      <c r="B126" s="243"/>
      <c r="C126" s="137" t="str">
        <v>Alphabet N</v>
      </c>
      <c r="D126" s="138">
        <v>10</v>
      </c>
      <c r="E126" s="139">
        <v>9.25</v>
      </c>
      <c r="F126" s="140" t="str">
        <f t="shared" si="7"/>
        <v/>
      </c>
      <c r="H126" s="108">
        <f>IF('(4).Midterm Results'!A126=0,"",'(4).Midterm Results'!A126)</f>
        <v>12</v>
      </c>
      <c r="I126" s="108" t="str">
        <f>IF('(4).Midterm Results'!B126=0,"",'(4).Midterm Results'!B126)</f>
        <v/>
      </c>
      <c r="J126" s="108" t="str">
        <f>IF('(4).Midterm Results'!C126=0,"",'(4).Midterm Results'!C126)</f>
        <v/>
      </c>
      <c r="K126" s="108" t="str">
        <f>IF('(4).Midterm Results'!D126=0,"",'(4).Midterm Results'!D126)</f>
        <v/>
      </c>
      <c r="L126" s="108" t="str">
        <f>IF('(4).Midterm Results'!E126=0,"",'(4).Midterm Results'!E126)</f>
        <v/>
      </c>
      <c r="M126" s="108" t="str">
        <f>IF('(4).Midterm Results'!F126=0,"",'(4).Midterm Results'!F126)</f>
        <v/>
      </c>
      <c r="N126" s="108" t="str">
        <f>IF('(4).Midterm Results'!G126=0,"",'(4).Midterm Results'!G126)</f>
        <v/>
      </c>
      <c r="O126" s="108" t="str">
        <f>IF('(4).Midterm Results'!H126=0,"",'(4).Midterm Results'!H126)</f>
        <v/>
      </c>
      <c r="P126" s="108" t="str">
        <f>IF('(4).Midterm Results'!I126=0,"",'(4).Midterm Results'!I126)</f>
        <v/>
      </c>
      <c r="Q126" s="108" t="str">
        <f>IF('(4).Midterm Results'!J126=0,"",'(4).Midterm Results'!J126)</f>
        <v/>
      </c>
      <c r="R126" s="108" t="str">
        <f>IF('(4).Midterm Results'!K126=0,"",'(4).Midterm Results'!K126)</f>
        <v/>
      </c>
      <c r="S126" s="108" t="str">
        <f>IF('(4).Midterm Results'!L126=0,"",'(4).Midterm Results'!L126)</f>
        <v/>
      </c>
      <c r="T126" s="108" t="str">
        <f>IF('(4).Midterm Results'!M126=0,"",'(4).Midterm Results'!M126)</f>
        <v/>
      </c>
      <c r="U126" s="108" t="str">
        <f>IF('(4).Midterm Results'!N126=0,"",'(4).Midterm Results'!N126)</f>
        <v/>
      </c>
      <c r="V126" s="108" t="str">
        <f>IF('(4).Midterm Results'!O126=0,"",'(4).Midterm Results'!O126)</f>
        <v/>
      </c>
    </row>
    <row r="127" spans="1:22" ht="12.4" customHeight="1">
      <c r="A127" s="246"/>
      <c r="B127" s="243"/>
      <c r="C127" s="137" t="str">
        <v>Alphabet S</v>
      </c>
      <c r="D127" s="138">
        <v>10</v>
      </c>
      <c r="E127" s="139">
        <v>9.75</v>
      </c>
      <c r="F127" s="140" t="str">
        <f t="shared" si="7"/>
        <v/>
      </c>
      <c r="H127" s="108">
        <f>IF('(4).Midterm Results'!A127=0,"",'(4).Midterm Results'!A127)</f>
        <v>13</v>
      </c>
      <c r="I127" s="108" t="str">
        <f>IF('(4).Midterm Results'!B127=0,"",'(4).Midterm Results'!B127)</f>
        <v/>
      </c>
      <c r="J127" s="108" t="str">
        <f>IF('(4).Midterm Results'!C127=0,"",'(4).Midterm Results'!C127)</f>
        <v/>
      </c>
      <c r="K127" s="108" t="str">
        <f>IF('(4).Midterm Results'!D127=0,"",'(4).Midterm Results'!D127)</f>
        <v/>
      </c>
      <c r="L127" s="108" t="str">
        <f>IF('(4).Midterm Results'!E127=0,"",'(4).Midterm Results'!E127)</f>
        <v/>
      </c>
      <c r="M127" s="108" t="str">
        <f>IF('(4).Midterm Results'!F127=0,"",'(4).Midterm Results'!F127)</f>
        <v/>
      </c>
      <c r="N127" s="108" t="str">
        <f>IF('(4).Midterm Results'!G127=0,"",'(4).Midterm Results'!G127)</f>
        <v/>
      </c>
      <c r="O127" s="108" t="str">
        <f>IF('(4).Midterm Results'!H127=0,"",'(4).Midterm Results'!H127)</f>
        <v/>
      </c>
      <c r="P127" s="108" t="str">
        <f>IF('(4).Midterm Results'!I127=0,"",'(4).Midterm Results'!I127)</f>
        <v/>
      </c>
      <c r="Q127" s="108" t="str">
        <f>IF('(4).Midterm Results'!J127=0,"",'(4).Midterm Results'!J127)</f>
        <v/>
      </c>
      <c r="R127" s="108" t="str">
        <f>IF('(4).Midterm Results'!K127=0,"",'(4).Midterm Results'!K127)</f>
        <v/>
      </c>
      <c r="S127" s="108" t="str">
        <f>IF('(4).Midterm Results'!L127=0,"",'(4).Midterm Results'!L127)</f>
        <v/>
      </c>
      <c r="T127" s="108" t="str">
        <f>IF('(4).Midterm Results'!M127=0,"",'(4).Midterm Results'!M127)</f>
        <v/>
      </c>
      <c r="U127" s="108" t="str">
        <f>IF('(4).Midterm Results'!N127=0,"",'(4).Midterm Results'!N127)</f>
        <v/>
      </c>
      <c r="V127" s="108" t="str">
        <f>IF('(4).Midterm Results'!O127=0,"",'(4).Midterm Results'!O127)</f>
        <v/>
      </c>
    </row>
    <row r="128" spans="1:22" ht="12.4" customHeight="1">
      <c r="A128" s="246"/>
      <c r="B128" s="243"/>
      <c r="C128" s="137" t="str">
        <v>Vocabulary</v>
      </c>
      <c r="D128" s="138">
        <v>10</v>
      </c>
      <c r="E128" s="139">
        <v>10</v>
      </c>
      <c r="F128" s="140" t="str">
        <f t="shared" si="7"/>
        <v/>
      </c>
      <c r="H128" s="108">
        <f>IF('(4).Midterm Results'!A128=0,"",'(4).Midterm Results'!A128)</f>
        <v>14</v>
      </c>
      <c r="I128" s="108" t="str">
        <f>IF('(4).Midterm Results'!B128=0,"",'(4).Midterm Results'!B128)</f>
        <v/>
      </c>
      <c r="J128" s="108" t="str">
        <f>IF('(4).Midterm Results'!C128=0,"",'(4).Midterm Results'!C128)</f>
        <v/>
      </c>
      <c r="K128" s="108" t="str">
        <f>IF('(4).Midterm Results'!D128=0,"",'(4).Midterm Results'!D128)</f>
        <v/>
      </c>
      <c r="L128" s="108" t="str">
        <f>IF('(4).Midterm Results'!E128=0,"",'(4).Midterm Results'!E128)</f>
        <v/>
      </c>
      <c r="M128" s="108" t="str">
        <f>IF('(4).Midterm Results'!F128=0,"",'(4).Midterm Results'!F128)</f>
        <v/>
      </c>
      <c r="N128" s="108" t="str">
        <f>IF('(4).Midterm Results'!G128=0,"",'(4).Midterm Results'!G128)</f>
        <v/>
      </c>
      <c r="O128" s="108" t="str">
        <f>IF('(4).Midterm Results'!H128=0,"",'(4).Midterm Results'!H128)</f>
        <v/>
      </c>
      <c r="P128" s="108" t="str">
        <f>IF('(4).Midterm Results'!I128=0,"",'(4).Midterm Results'!I128)</f>
        <v/>
      </c>
      <c r="Q128" s="108" t="str">
        <f>IF('(4).Midterm Results'!J128=0,"",'(4).Midterm Results'!J128)</f>
        <v/>
      </c>
      <c r="R128" s="108" t="str">
        <f>IF('(4).Midterm Results'!K128=0,"",'(4).Midterm Results'!K128)</f>
        <v/>
      </c>
      <c r="S128" s="108" t="str">
        <f>IF('(4).Midterm Results'!L128=0,"",'(4).Midterm Results'!L128)</f>
        <v/>
      </c>
      <c r="T128" s="108" t="str">
        <f>IF('(4).Midterm Results'!M128=0,"",'(4).Midterm Results'!M128)</f>
        <v/>
      </c>
      <c r="U128" s="108" t="str">
        <f>IF('(4).Midterm Results'!N128=0,"",'(4).Midterm Results'!N128)</f>
        <v/>
      </c>
      <c r="V128" s="108" t="str">
        <f>IF('(4).Midterm Results'!O128=0,"",'(4).Midterm Results'!O128)</f>
        <v/>
      </c>
    </row>
    <row r="129" spans="1:22" ht="12.4" customHeight="1">
      <c r="A129" s="247" t="s">
        <v>131</v>
      </c>
      <c r="B129" s="243"/>
      <c r="C129" s="137" t="str">
        <v>Sprouts</v>
      </c>
      <c r="D129" s="138">
        <v>10</v>
      </c>
      <c r="E129" s="139">
        <v>9</v>
      </c>
      <c r="F129" s="140" t="str">
        <f t="shared" si="7"/>
        <v/>
      </c>
      <c r="H129" s="108">
        <f>IF('(4).Midterm Results'!A129=0,"",'(4).Midterm Results'!A129)</f>
        <v>15</v>
      </c>
      <c r="I129" s="108" t="str">
        <f>IF('(4).Midterm Results'!B129=0,"",'(4).Midterm Results'!B129)</f>
        <v/>
      </c>
      <c r="J129" s="108" t="str">
        <f>IF('(4).Midterm Results'!C129=0,"",'(4).Midterm Results'!C129)</f>
        <v/>
      </c>
      <c r="K129" s="108" t="str">
        <f>IF('(4).Midterm Results'!D129=0,"",'(4).Midterm Results'!D129)</f>
        <v/>
      </c>
      <c r="L129" s="108" t="str">
        <f>IF('(4).Midterm Results'!E129=0,"",'(4).Midterm Results'!E129)</f>
        <v/>
      </c>
      <c r="M129" s="108" t="str">
        <f>IF('(4).Midterm Results'!F129=0,"",'(4).Midterm Results'!F129)</f>
        <v/>
      </c>
      <c r="N129" s="108" t="str">
        <f>IF('(4).Midterm Results'!G129=0,"",'(4).Midterm Results'!G129)</f>
        <v/>
      </c>
      <c r="O129" s="108" t="str">
        <f>IF('(4).Midterm Results'!H129=0,"",'(4).Midterm Results'!H129)</f>
        <v/>
      </c>
      <c r="P129" s="108" t="str">
        <f>IF('(4).Midterm Results'!I129=0,"",'(4).Midterm Results'!I129)</f>
        <v/>
      </c>
      <c r="Q129" s="108" t="str">
        <f>IF('(4).Midterm Results'!J129=0,"",'(4).Midterm Results'!J129)</f>
        <v/>
      </c>
      <c r="R129" s="108" t="str">
        <f>IF('(4).Midterm Results'!K129=0,"",'(4).Midterm Results'!K129)</f>
        <v/>
      </c>
      <c r="S129" s="108" t="str">
        <f>IF('(4).Midterm Results'!L129=0,"",'(4).Midterm Results'!L129)</f>
        <v/>
      </c>
      <c r="T129" s="108" t="str">
        <f>IF('(4).Midterm Results'!M129=0,"",'(4).Midterm Results'!M129)</f>
        <v/>
      </c>
      <c r="U129" s="108" t="str">
        <f>IF('(4).Midterm Results'!N129=0,"",'(4).Midterm Results'!N129)</f>
        <v/>
      </c>
      <c r="V129" s="108" t="str">
        <f>IF('(4).Midterm Results'!O129=0,"",'(4).Midterm Results'!O129)</f>
        <v/>
      </c>
    </row>
    <row r="130" spans="1:22" ht="12.4" customHeight="1">
      <c r="A130" s="247"/>
      <c r="B130" s="243"/>
      <c r="C130" s="137" t="str">
        <v>Phonics</v>
      </c>
      <c r="D130" s="138">
        <v>10</v>
      </c>
      <c r="E130" s="139">
        <v>10</v>
      </c>
      <c r="F130" s="140" t="str">
        <f t="shared" si="7"/>
        <v/>
      </c>
      <c r="H130" s="108">
        <f>IF('(4).Midterm Results'!A130=0,"",'(4).Midterm Results'!A130)</f>
        <v>16</v>
      </c>
      <c r="I130" s="108" t="str">
        <f>IF('(4).Midterm Results'!B130=0,"",'(4).Midterm Results'!B130)</f>
        <v/>
      </c>
      <c r="J130" s="108" t="str">
        <f>IF('(4).Midterm Results'!C130=0,"",'(4).Midterm Results'!C130)</f>
        <v/>
      </c>
      <c r="K130" s="108" t="str">
        <f>IF('(4).Midterm Results'!D130=0,"",'(4).Midterm Results'!D130)</f>
        <v/>
      </c>
      <c r="L130" s="108" t="str">
        <f>IF('(4).Midterm Results'!E130=0,"",'(4).Midterm Results'!E130)</f>
        <v/>
      </c>
      <c r="M130" s="108" t="str">
        <f>IF('(4).Midterm Results'!F130=0,"",'(4).Midterm Results'!F130)</f>
        <v/>
      </c>
      <c r="N130" s="108" t="str">
        <f>IF('(4).Midterm Results'!G130=0,"",'(4).Midterm Results'!G130)</f>
        <v/>
      </c>
      <c r="O130" s="108" t="str">
        <f>IF('(4).Midterm Results'!H130=0,"",'(4).Midterm Results'!H130)</f>
        <v/>
      </c>
      <c r="P130" s="108" t="str">
        <f>IF('(4).Midterm Results'!I130=0,"",'(4).Midterm Results'!I130)</f>
        <v/>
      </c>
      <c r="Q130" s="108" t="str">
        <f>IF('(4).Midterm Results'!J130=0,"",'(4).Midterm Results'!J130)</f>
        <v/>
      </c>
      <c r="R130" s="108" t="str">
        <f>IF('(4).Midterm Results'!K130=0,"",'(4).Midterm Results'!K130)</f>
        <v/>
      </c>
      <c r="S130" s="108" t="str">
        <f>IF('(4).Midterm Results'!L130=0,"",'(4).Midterm Results'!L130)</f>
        <v/>
      </c>
      <c r="T130" s="108" t="str">
        <f>IF('(4).Midterm Results'!M130=0,"",'(4).Midterm Results'!M130)</f>
        <v/>
      </c>
      <c r="U130" s="108" t="str">
        <f>IF('(4).Midterm Results'!N130=0,"",'(4).Midterm Results'!N130)</f>
        <v/>
      </c>
      <c r="V130" s="108" t="str">
        <f>IF('(4).Midterm Results'!O130=0,"",'(4).Midterm Results'!O130)</f>
        <v/>
      </c>
    </row>
    <row r="131" spans="1:22" ht="12.4" customHeight="1">
      <c r="A131" s="247"/>
      <c r="B131" s="243"/>
      <c r="C131" s="137" t="str">
        <v>Math</v>
      </c>
      <c r="D131" s="138">
        <v>10</v>
      </c>
      <c r="E131" s="139">
        <v>10</v>
      </c>
      <c r="F131" s="140" t="str">
        <f t="shared" si="7"/>
        <v/>
      </c>
      <c r="H131" s="108">
        <f>IF('(4).Midterm Results'!A131=0,"",'(4).Midterm Results'!A131)</f>
        <v>17</v>
      </c>
      <c r="I131" s="108" t="str">
        <f>IF('(4).Midterm Results'!B131=0,"",'(4).Midterm Results'!B131)</f>
        <v/>
      </c>
      <c r="J131" s="108" t="str">
        <f>IF('(4).Midterm Results'!C131=0,"",'(4).Midterm Results'!C131)</f>
        <v/>
      </c>
      <c r="K131" s="108" t="str">
        <f>IF('(4).Midterm Results'!D131=0,"",'(4).Midterm Results'!D131)</f>
        <v/>
      </c>
      <c r="L131" s="108" t="str">
        <f>IF('(4).Midterm Results'!E131=0,"",'(4).Midterm Results'!E131)</f>
        <v/>
      </c>
      <c r="M131" s="108" t="str">
        <f>IF('(4).Midterm Results'!F131=0,"",'(4).Midterm Results'!F131)</f>
        <v/>
      </c>
      <c r="N131" s="108" t="str">
        <f>IF('(4).Midterm Results'!G131=0,"",'(4).Midterm Results'!G131)</f>
        <v/>
      </c>
      <c r="O131" s="108" t="str">
        <f>IF('(4).Midterm Results'!H131=0,"",'(4).Midterm Results'!H131)</f>
        <v/>
      </c>
      <c r="P131" s="108" t="str">
        <f>IF('(4).Midterm Results'!I131=0,"",'(4).Midterm Results'!I131)</f>
        <v/>
      </c>
      <c r="Q131" s="108" t="str">
        <f>IF('(4).Midterm Results'!J131=0,"",'(4).Midterm Results'!J131)</f>
        <v/>
      </c>
      <c r="R131" s="108" t="str">
        <f>IF('(4).Midterm Results'!K131=0,"",'(4).Midterm Results'!K131)</f>
        <v/>
      </c>
      <c r="S131" s="108" t="str">
        <f>IF('(4).Midterm Results'!L131=0,"",'(4).Midterm Results'!L131)</f>
        <v/>
      </c>
      <c r="T131" s="108" t="str">
        <f>IF('(4).Midterm Results'!M131=0,"",'(4).Midterm Results'!M131)</f>
        <v/>
      </c>
      <c r="U131" s="108" t="str">
        <f>IF('(4).Midterm Results'!N131=0,"",'(4).Midterm Results'!N131)</f>
        <v/>
      </c>
      <c r="V131" s="108" t="str">
        <f>IF('(4).Midterm Results'!O131=0,"",'(4).Midterm Results'!O131)</f>
        <v/>
      </c>
    </row>
    <row r="132" spans="1:22" ht="12.4" customHeight="1">
      <c r="A132" s="247"/>
      <c r="B132" s="243"/>
      <c r="C132" s="137" t="str">
        <v>Shape</v>
      </c>
      <c r="D132" s="138">
        <v>10</v>
      </c>
      <c r="E132" s="139">
        <v>10</v>
      </c>
      <c r="F132" s="140" t="str">
        <f t="shared" si="7"/>
        <v/>
      </c>
      <c r="H132" s="108">
        <f>IF('(4).Midterm Results'!A132=0,"",'(4).Midterm Results'!A132)</f>
        <v>18</v>
      </c>
      <c r="I132" s="108" t="str">
        <f>IF('(4).Midterm Results'!B132=0,"",'(4).Midterm Results'!B132)</f>
        <v/>
      </c>
      <c r="J132" s="108" t="str">
        <f>IF('(4).Midterm Results'!C132=0,"",'(4).Midterm Results'!C132)</f>
        <v/>
      </c>
      <c r="K132" s="108" t="str">
        <f>IF('(4).Midterm Results'!D132=0,"",'(4).Midterm Results'!D132)</f>
        <v/>
      </c>
      <c r="L132" s="108" t="str">
        <f>IF('(4).Midterm Results'!E132=0,"",'(4).Midterm Results'!E132)</f>
        <v/>
      </c>
      <c r="M132" s="108" t="str">
        <f>IF('(4).Midterm Results'!F132=0,"",'(4).Midterm Results'!F132)</f>
        <v/>
      </c>
      <c r="N132" s="108" t="str">
        <f>IF('(4).Midterm Results'!G132=0,"",'(4).Midterm Results'!G132)</f>
        <v/>
      </c>
      <c r="O132" s="108" t="str">
        <f>IF('(4).Midterm Results'!H132=0,"",'(4).Midterm Results'!H132)</f>
        <v/>
      </c>
      <c r="P132" s="108" t="str">
        <f>IF('(4).Midterm Results'!I132=0,"",'(4).Midterm Results'!I132)</f>
        <v/>
      </c>
      <c r="Q132" s="108" t="str">
        <f>IF('(4).Midterm Results'!J132=0,"",'(4).Midterm Results'!J132)</f>
        <v/>
      </c>
      <c r="R132" s="108" t="str">
        <f>IF('(4).Midterm Results'!K132=0,"",'(4).Midterm Results'!K132)</f>
        <v/>
      </c>
      <c r="S132" s="108" t="str">
        <f>IF('(4).Midterm Results'!L132=0,"",'(4).Midterm Results'!L132)</f>
        <v/>
      </c>
      <c r="T132" s="108" t="str">
        <f>IF('(4).Midterm Results'!M132=0,"",'(4).Midterm Results'!M132)</f>
        <v/>
      </c>
      <c r="U132" s="108" t="str">
        <f>IF('(4).Midterm Results'!N132=0,"",'(4).Midterm Results'!N132)</f>
        <v/>
      </c>
      <c r="V132" s="108" t="str">
        <f>IF('(4).Midterm Results'!O132=0,"",'(4).Midterm Results'!O132)</f>
        <v/>
      </c>
    </row>
    <row r="133" spans="1:22" ht="12.4" customHeight="1">
      <c r="A133" s="247"/>
      <c r="B133" s="243"/>
      <c r="C133" s="137" t="str">
        <v>Science</v>
      </c>
      <c r="D133" s="138">
        <v>10</v>
      </c>
      <c r="E133" s="139">
        <v>10</v>
      </c>
      <c r="F133" s="140" t="str">
        <f t="shared" si="7"/>
        <v/>
      </c>
      <c r="H133" s="108">
        <f>IF('(4).Midterm Results'!A133=0,"",'(4).Midterm Results'!A133)</f>
        <v>19</v>
      </c>
      <c r="I133" s="108" t="str">
        <f>IF('(4).Midterm Results'!B133=0,"",'(4).Midterm Results'!B133)</f>
        <v/>
      </c>
      <c r="J133" s="108" t="str">
        <f>IF('(4).Midterm Results'!C133=0,"",'(4).Midterm Results'!C133)</f>
        <v/>
      </c>
      <c r="K133" s="108" t="str">
        <f>IF('(4).Midterm Results'!D133=0,"",'(4).Midterm Results'!D133)</f>
        <v/>
      </c>
      <c r="L133" s="108" t="str">
        <f>IF('(4).Midterm Results'!E133=0,"",'(4).Midterm Results'!E133)</f>
        <v/>
      </c>
      <c r="M133" s="108" t="str">
        <f>IF('(4).Midterm Results'!F133=0,"",'(4).Midterm Results'!F133)</f>
        <v/>
      </c>
      <c r="N133" s="108" t="str">
        <f>IF('(4).Midterm Results'!G133=0,"",'(4).Midterm Results'!G133)</f>
        <v/>
      </c>
      <c r="O133" s="108" t="str">
        <f>IF('(4).Midterm Results'!H133=0,"",'(4).Midterm Results'!H133)</f>
        <v/>
      </c>
      <c r="P133" s="108" t="str">
        <f>IF('(4).Midterm Results'!I133=0,"",'(4).Midterm Results'!I133)</f>
        <v/>
      </c>
      <c r="Q133" s="108" t="str">
        <f>IF('(4).Midterm Results'!J133=0,"",'(4).Midterm Results'!J133)</f>
        <v/>
      </c>
      <c r="R133" s="108" t="str">
        <f>IF('(4).Midterm Results'!K133=0,"",'(4).Midterm Results'!K133)</f>
        <v/>
      </c>
      <c r="S133" s="108" t="str">
        <f>IF('(4).Midterm Results'!L133=0,"",'(4).Midterm Results'!L133)</f>
        <v/>
      </c>
      <c r="T133" s="108" t="str">
        <f>IF('(4).Midterm Results'!M133=0,"",'(4).Midterm Results'!M133)</f>
        <v/>
      </c>
      <c r="U133" s="108" t="str">
        <f>IF('(4).Midterm Results'!N133=0,"",'(4).Midterm Results'!N133)</f>
        <v/>
      </c>
      <c r="V133" s="108" t="str">
        <f>IF('(4).Midterm Results'!O133=0,"",'(4).Midterm Results'!O133)</f>
        <v/>
      </c>
    </row>
    <row r="134" spans="1:22" ht="12.4" customHeight="1">
      <c r="A134" s="247"/>
      <c r="B134" s="244"/>
      <c r="C134" s="141" t="str">
        <v>Tracing</v>
      </c>
      <c r="D134" s="142">
        <v>10</v>
      </c>
      <c r="E134" s="143">
        <v>10</v>
      </c>
      <c r="F134" s="144" t="str">
        <f t="shared" si="7"/>
        <v/>
      </c>
      <c r="H134" s="108">
        <f>IF('(4).Midterm Results'!A134=0,"",'(4).Midterm Results'!A134)</f>
        <v>20</v>
      </c>
      <c r="I134" s="108" t="str">
        <f>IF('(4).Midterm Results'!B134=0,"",'(4).Midterm Results'!B134)</f>
        <v/>
      </c>
      <c r="J134" s="108" t="str">
        <f>IF('(4).Midterm Results'!C134=0,"",'(4).Midterm Results'!C134)</f>
        <v/>
      </c>
      <c r="K134" s="108" t="str">
        <f>IF('(4).Midterm Results'!D134=0,"",'(4).Midterm Results'!D134)</f>
        <v/>
      </c>
      <c r="L134" s="108" t="str">
        <f>IF('(4).Midterm Results'!E134=0,"",'(4).Midterm Results'!E134)</f>
        <v/>
      </c>
      <c r="M134" s="108" t="str">
        <f>IF('(4).Midterm Results'!F134=0,"",'(4).Midterm Results'!F134)</f>
        <v/>
      </c>
      <c r="N134" s="108" t="str">
        <f>IF('(4).Midterm Results'!G134=0,"",'(4).Midterm Results'!G134)</f>
        <v/>
      </c>
      <c r="O134" s="108" t="str">
        <f>IF('(4).Midterm Results'!H134=0,"",'(4).Midterm Results'!H134)</f>
        <v/>
      </c>
      <c r="P134" s="108" t="str">
        <f>IF('(4).Midterm Results'!I134=0,"",'(4).Midterm Results'!I134)</f>
        <v/>
      </c>
      <c r="Q134" s="108" t="str">
        <f>IF('(4).Midterm Results'!J134=0,"",'(4).Midterm Results'!J134)</f>
        <v/>
      </c>
      <c r="R134" s="108" t="str">
        <f>IF('(4).Midterm Results'!K134=0,"",'(4).Midterm Results'!K134)</f>
        <v/>
      </c>
      <c r="S134" s="108" t="str">
        <f>IF('(4).Midterm Results'!L134=0,"",'(4).Midterm Results'!L134)</f>
        <v/>
      </c>
      <c r="T134" s="108" t="str">
        <f>IF('(4).Midterm Results'!M134=0,"",'(4).Midterm Results'!M134)</f>
        <v/>
      </c>
      <c r="U134" s="108" t="str">
        <f>IF('(4).Midterm Results'!N134=0,"",'(4).Midterm Results'!N134)</f>
        <v/>
      </c>
      <c r="V134" s="108" t="str">
        <f>IF('(4).Midterm Results'!O134=0,"",'(4).Midterm Results'!O134)</f>
        <v/>
      </c>
    </row>
    <row r="135" spans="1:22" ht="12.4" customHeight="1">
      <c r="A135" s="248"/>
      <c r="B135" s="240" t="s">
        <v>133</v>
      </c>
      <c r="C135" s="241"/>
      <c r="D135" s="103">
        <f>D124*20%+SUM(D125:D134)*80%</f>
        <v>100</v>
      </c>
      <c r="E135" s="110">
        <v>96.600000000000009</v>
      </c>
      <c r="F135" s="104" t="str">
        <f t="shared" si="7"/>
        <v/>
      </c>
      <c r="H135" s="108">
        <f>IF('(4).Midterm Results'!A135=0,"",'(4).Midterm Results'!A135)</f>
        <v>21</v>
      </c>
      <c r="I135" s="108" t="str">
        <f>IF('(4).Midterm Results'!B135=0,"",'(4).Midterm Results'!B135)</f>
        <v/>
      </c>
      <c r="J135" s="108" t="str">
        <f>IF('(4).Midterm Results'!C135=0,"",'(4).Midterm Results'!C135)</f>
        <v/>
      </c>
      <c r="K135" s="108" t="str">
        <f>IF('(4).Midterm Results'!D135=0,"",'(4).Midterm Results'!D135)</f>
        <v/>
      </c>
      <c r="L135" s="108" t="str">
        <f>IF('(4).Midterm Results'!E135=0,"",'(4).Midterm Results'!E135)</f>
        <v/>
      </c>
      <c r="M135" s="108" t="str">
        <f>IF('(4).Midterm Results'!F135=0,"",'(4).Midterm Results'!F135)</f>
        <v/>
      </c>
      <c r="N135" s="108" t="str">
        <f>IF('(4).Midterm Results'!G135=0,"",'(4).Midterm Results'!G135)</f>
        <v/>
      </c>
      <c r="O135" s="108" t="str">
        <f>IF('(4).Midterm Results'!H135=0,"",'(4).Midterm Results'!H135)</f>
        <v/>
      </c>
      <c r="P135" s="108" t="str">
        <f>IF('(4).Midterm Results'!I135=0,"",'(4).Midterm Results'!I135)</f>
        <v/>
      </c>
      <c r="Q135" s="108" t="str">
        <f>IF('(4).Midterm Results'!J135=0,"",'(4).Midterm Results'!J135)</f>
        <v/>
      </c>
      <c r="R135" s="108" t="str">
        <f>IF('(4).Midterm Results'!K135=0,"",'(4).Midterm Results'!K135)</f>
        <v/>
      </c>
      <c r="S135" s="108" t="str">
        <f>IF('(4).Midterm Results'!L135=0,"",'(4).Midterm Results'!L135)</f>
        <v/>
      </c>
      <c r="T135" s="108" t="str">
        <f>IF('(4).Midterm Results'!M135=0,"",'(4).Midterm Results'!M135)</f>
        <v/>
      </c>
      <c r="U135" s="108" t="str">
        <f>IF('(4).Midterm Results'!N135=0,"",'(4).Midterm Results'!N135)</f>
        <v/>
      </c>
      <c r="V135" s="108" t="str">
        <f>IF('(4).Midterm Results'!O135=0,"",'(4).Midterm Results'!O135)</f>
        <v/>
      </c>
    </row>
    <row r="136" spans="1:22" ht="12.4" customHeight="1">
      <c r="H136" s="108">
        <f>IF('(4).Midterm Results'!A136=0,"",'(4).Midterm Results'!A136)</f>
        <v>22</v>
      </c>
      <c r="I136" s="108" t="str">
        <f>IF('(4).Midterm Results'!B136=0,"",'(4).Midterm Results'!B136)</f>
        <v/>
      </c>
      <c r="J136" s="108" t="str">
        <f>IF('(4).Midterm Results'!C136=0,"",'(4).Midterm Results'!C136)</f>
        <v/>
      </c>
      <c r="K136" s="108" t="str">
        <f>IF('(4).Midterm Results'!D136=0,"",'(4).Midterm Results'!D136)</f>
        <v/>
      </c>
      <c r="L136" s="108" t="str">
        <f>IF('(4).Midterm Results'!E136=0,"",'(4).Midterm Results'!E136)</f>
        <v/>
      </c>
      <c r="M136" s="108" t="str">
        <f>IF('(4).Midterm Results'!F136=0,"",'(4).Midterm Results'!F136)</f>
        <v/>
      </c>
      <c r="N136" s="108" t="str">
        <f>IF('(4).Midterm Results'!G136=0,"",'(4).Midterm Results'!G136)</f>
        <v/>
      </c>
      <c r="O136" s="108" t="str">
        <f>IF('(4).Midterm Results'!H136=0,"",'(4).Midterm Results'!H136)</f>
        <v/>
      </c>
      <c r="P136" s="108" t="str">
        <f>IF('(4).Midterm Results'!I136=0,"",'(4).Midterm Results'!I136)</f>
        <v/>
      </c>
      <c r="Q136" s="108" t="str">
        <f>IF('(4).Midterm Results'!J136=0,"",'(4).Midterm Results'!J136)</f>
        <v/>
      </c>
      <c r="R136" s="108" t="str">
        <f>IF('(4).Midterm Results'!K136=0,"",'(4).Midterm Results'!K136)</f>
        <v/>
      </c>
      <c r="S136" s="108" t="str">
        <f>IF('(4).Midterm Results'!L136=0,"",'(4).Midterm Results'!L136)</f>
        <v/>
      </c>
      <c r="T136" s="108" t="str">
        <f>IF('(4).Midterm Results'!M136=0,"",'(4).Midterm Results'!M136)</f>
        <v/>
      </c>
      <c r="U136" s="108" t="str">
        <f>IF('(4).Midterm Results'!N136=0,"",'(4).Midterm Results'!N136)</f>
        <v/>
      </c>
      <c r="V136" s="108" t="str">
        <f>IF('(4).Midterm Results'!O136=0,"",'(4).Midterm Results'!O136)</f>
        <v/>
      </c>
    </row>
    <row r="137" spans="1:22" ht="12.4" customHeight="1">
      <c r="A137" s="230" t="s">
        <v>121</v>
      </c>
      <c r="B137" s="231"/>
      <c r="C137" s="231"/>
      <c r="D137" s="107" t="s">
        <v>123</v>
      </c>
      <c r="E137" s="232" t="str">
        <f>I15</f>
        <v>Lim Davymulika</v>
      </c>
      <c r="F137" s="233"/>
      <c r="G137" s="101">
        <v>15</v>
      </c>
      <c r="H137" s="108">
        <f>IF('(4).Midterm Results'!A137=0,"",'(4).Midterm Results'!A137)</f>
        <v>23</v>
      </c>
      <c r="I137" s="108" t="str">
        <f>IF('(4).Midterm Results'!B137=0,"",'(4).Midterm Results'!B137)</f>
        <v/>
      </c>
      <c r="J137" s="108" t="str">
        <f>IF('(4).Midterm Results'!C137=0,"",'(4).Midterm Results'!C137)</f>
        <v/>
      </c>
      <c r="K137" s="108" t="str">
        <f>IF('(4).Midterm Results'!D137=0,"",'(4).Midterm Results'!D137)</f>
        <v/>
      </c>
      <c r="L137" s="108" t="str">
        <f>IF('(4).Midterm Results'!E137=0,"",'(4).Midterm Results'!E137)</f>
        <v/>
      </c>
      <c r="M137" s="108" t="str">
        <f>IF('(4).Midterm Results'!F137=0,"",'(4).Midterm Results'!F137)</f>
        <v/>
      </c>
      <c r="N137" s="108" t="str">
        <f>IF('(4).Midterm Results'!G137=0,"",'(4).Midterm Results'!G137)</f>
        <v/>
      </c>
      <c r="O137" s="108" t="str">
        <f>IF('(4).Midterm Results'!H137=0,"",'(4).Midterm Results'!H137)</f>
        <v/>
      </c>
      <c r="P137" s="108" t="str">
        <f>IF('(4).Midterm Results'!I137=0,"",'(4).Midterm Results'!I137)</f>
        <v/>
      </c>
      <c r="Q137" s="108" t="str">
        <f>IF('(4).Midterm Results'!J137=0,"",'(4).Midterm Results'!J137)</f>
        <v/>
      </c>
      <c r="R137" s="108" t="str">
        <f>IF('(4).Midterm Results'!K137=0,"",'(4).Midterm Results'!K137)</f>
        <v/>
      </c>
      <c r="S137" s="108" t="str">
        <f>IF('(4).Midterm Results'!L137=0,"",'(4).Midterm Results'!L137)</f>
        <v/>
      </c>
      <c r="T137" s="108" t="str">
        <f>IF('(4).Midterm Results'!M137=0,"",'(4).Midterm Results'!M137)</f>
        <v/>
      </c>
      <c r="U137" s="108" t="str">
        <f>IF('(4).Midterm Results'!N137=0,"",'(4).Midterm Results'!N137)</f>
        <v/>
      </c>
      <c r="V137" s="108" t="str">
        <f>IF('(4).Midterm Results'!O137=0,"",'(4).Midterm Results'!O137)</f>
        <v/>
      </c>
    </row>
    <row r="138" spans="1:22" ht="12.4" customHeight="1">
      <c r="A138" s="105" t="s">
        <v>122</v>
      </c>
      <c r="B138" s="234" t="str">
        <f>$K$2</f>
        <v>FEBRUARY - JULY 2026</v>
      </c>
      <c r="C138" s="234"/>
      <c r="D138" s="106" t="s">
        <v>124</v>
      </c>
      <c r="E138" s="235" t="str">
        <f>$I$2</f>
        <v>K1B</v>
      </c>
      <c r="F138" s="236"/>
      <c r="H138" s="108">
        <f>IF('(4).Midterm Results'!A138=0,"",'(4).Midterm Results'!A138)</f>
        <v>24</v>
      </c>
      <c r="I138" s="108" t="str">
        <f>IF('(4).Midterm Results'!B138=0,"",'(4).Midterm Results'!B138)</f>
        <v/>
      </c>
      <c r="J138" s="108" t="str">
        <f>IF('(4).Midterm Results'!C138=0,"",'(4).Midterm Results'!C138)</f>
        <v/>
      </c>
      <c r="K138" s="108" t="str">
        <f>IF('(4).Midterm Results'!D138=0,"",'(4).Midterm Results'!D138)</f>
        <v/>
      </c>
      <c r="L138" s="108" t="str">
        <f>IF('(4).Midterm Results'!E138=0,"",'(4).Midterm Results'!E138)</f>
        <v/>
      </c>
      <c r="M138" s="108" t="str">
        <f>IF('(4).Midterm Results'!F138=0,"",'(4).Midterm Results'!F138)</f>
        <v/>
      </c>
      <c r="N138" s="108" t="str">
        <f>IF('(4).Midterm Results'!G138=0,"",'(4).Midterm Results'!G138)</f>
        <v/>
      </c>
      <c r="O138" s="108" t="str">
        <f>IF('(4).Midterm Results'!H138=0,"",'(4).Midterm Results'!H138)</f>
        <v/>
      </c>
      <c r="P138" s="108" t="str">
        <f>IF('(4).Midterm Results'!I138=0,"",'(4).Midterm Results'!I138)</f>
        <v/>
      </c>
      <c r="Q138" s="108" t="str">
        <f>IF('(4).Midterm Results'!J138=0,"",'(4).Midterm Results'!J138)</f>
        <v/>
      </c>
      <c r="R138" s="108" t="str">
        <f>IF('(4).Midterm Results'!K138=0,"",'(4).Midterm Results'!K138)</f>
        <v/>
      </c>
      <c r="S138" s="108" t="str">
        <f>IF('(4).Midterm Results'!L138=0,"",'(4).Midterm Results'!L138)</f>
        <v/>
      </c>
      <c r="T138" s="108" t="str">
        <f>IF('(4).Midterm Results'!M138=0,"",'(4).Midterm Results'!M138)</f>
        <v/>
      </c>
      <c r="U138" s="108" t="str">
        <f>IF('(4).Midterm Results'!N138=0,"",'(4).Midterm Results'!N138)</f>
        <v/>
      </c>
      <c r="V138" s="108" t="str">
        <f>IF('(4).Midterm Results'!O138=0,"",'(4).Midterm Results'!O138)</f>
        <v/>
      </c>
    </row>
    <row r="139" spans="1:22" ht="12.4" customHeight="1">
      <c r="A139" s="237" t="s">
        <v>130</v>
      </c>
      <c r="B139" s="238"/>
      <c r="C139" s="238"/>
      <c r="D139" s="238"/>
      <c r="E139" s="238"/>
      <c r="F139" s="239"/>
      <c r="H139" s="108">
        <f>IF('(4).Midterm Results'!A139=0,"",'(4).Midterm Results'!A139)</f>
        <v>25</v>
      </c>
      <c r="I139" s="108" t="str">
        <f>IF('(4).Midterm Results'!B139=0,"",'(4).Midterm Results'!B139)</f>
        <v/>
      </c>
      <c r="J139" s="108" t="str">
        <f>IF('(4).Midterm Results'!C139=0,"",'(4).Midterm Results'!C139)</f>
        <v/>
      </c>
      <c r="K139" s="108" t="str">
        <f>IF('(4).Midterm Results'!D139=0,"",'(4).Midterm Results'!D139)</f>
        <v/>
      </c>
      <c r="L139" s="108" t="str">
        <f>IF('(4).Midterm Results'!E139=0,"",'(4).Midterm Results'!E139)</f>
        <v/>
      </c>
      <c r="M139" s="108" t="str">
        <f>IF('(4).Midterm Results'!F139=0,"",'(4).Midterm Results'!F139)</f>
        <v/>
      </c>
      <c r="N139" s="108" t="str">
        <f>IF('(4).Midterm Results'!G139=0,"",'(4).Midterm Results'!G139)</f>
        <v/>
      </c>
      <c r="O139" s="108" t="str">
        <f>IF('(4).Midterm Results'!H139=0,"",'(4).Midterm Results'!H139)</f>
        <v/>
      </c>
      <c r="P139" s="108" t="str">
        <f>IF('(4).Midterm Results'!I139=0,"",'(4).Midterm Results'!I139)</f>
        <v/>
      </c>
      <c r="Q139" s="108" t="str">
        <f>IF('(4).Midterm Results'!J139=0,"",'(4).Midterm Results'!J139)</f>
        <v/>
      </c>
      <c r="R139" s="108" t="str">
        <f>IF('(4).Midterm Results'!K139=0,"",'(4).Midterm Results'!K139)</f>
        <v/>
      </c>
      <c r="S139" s="108" t="str">
        <f>IF('(4).Midterm Results'!L139=0,"",'(4).Midterm Results'!L139)</f>
        <v/>
      </c>
      <c r="T139" s="108" t="str">
        <f>IF('(4).Midterm Results'!M139=0,"",'(4).Midterm Results'!M139)</f>
        <v/>
      </c>
      <c r="U139" s="108" t="str">
        <f>IF('(4).Midterm Results'!N139=0,"",'(4).Midterm Results'!N139)</f>
        <v/>
      </c>
      <c r="V139" s="108" t="str">
        <f>IF('(4).Midterm Results'!O139=0,"",'(4).Midterm Results'!O139)</f>
        <v/>
      </c>
    </row>
    <row r="140" spans="1:22" ht="12.4" customHeight="1">
      <c r="A140" s="245" t="s">
        <v>14</v>
      </c>
      <c r="B140" s="240" t="s">
        <v>125</v>
      </c>
      <c r="C140" s="241"/>
      <c r="D140" s="102" t="s">
        <v>126</v>
      </c>
      <c r="E140" s="109" t="s">
        <v>127</v>
      </c>
      <c r="F140" s="102" t="s">
        <v>128</v>
      </c>
      <c r="H140" s="108">
        <f>IF('(4).Midterm Results'!A140=0,"",'(4).Midterm Results'!A140)</f>
        <v>26</v>
      </c>
      <c r="I140" s="108" t="str">
        <f>IF('(4).Midterm Results'!B140=0,"",'(4).Midterm Results'!B140)</f>
        <v/>
      </c>
      <c r="J140" s="108" t="str">
        <f>IF('(4).Midterm Results'!C140=0,"",'(4).Midterm Results'!C140)</f>
        <v/>
      </c>
      <c r="K140" s="108" t="str">
        <f>IF('(4).Midterm Results'!D140=0,"",'(4).Midterm Results'!D140)</f>
        <v/>
      </c>
      <c r="L140" s="108" t="str">
        <f>IF('(4).Midterm Results'!E140=0,"",'(4).Midterm Results'!E140)</f>
        <v/>
      </c>
      <c r="M140" s="108" t="str">
        <f>IF('(4).Midterm Results'!F140=0,"",'(4).Midterm Results'!F140)</f>
        <v/>
      </c>
      <c r="N140" s="108" t="str">
        <f>IF('(4).Midterm Results'!G140=0,"",'(4).Midterm Results'!G140)</f>
        <v/>
      </c>
      <c r="O140" s="108" t="str">
        <f>IF('(4).Midterm Results'!H140=0,"",'(4).Midterm Results'!H140)</f>
        <v/>
      </c>
      <c r="P140" s="108" t="str">
        <f>IF('(4).Midterm Results'!I140=0,"",'(4).Midterm Results'!I140)</f>
        <v/>
      </c>
      <c r="Q140" s="108" t="str">
        <f>IF('(4).Midterm Results'!J140=0,"",'(4).Midterm Results'!J140)</f>
        <v/>
      </c>
      <c r="R140" s="108" t="str">
        <f>IF('(4).Midterm Results'!K140=0,"",'(4).Midterm Results'!K140)</f>
        <v/>
      </c>
      <c r="S140" s="108" t="str">
        <f>IF('(4).Midterm Results'!L140=0,"",'(4).Midterm Results'!L140)</f>
        <v/>
      </c>
      <c r="T140" s="108" t="str">
        <f>IF('(4).Midterm Results'!M140=0,"",'(4).Midterm Results'!M140)</f>
        <v/>
      </c>
      <c r="U140" s="108" t="str">
        <f>IF('(4).Midterm Results'!N140=0,"",'(4).Midterm Results'!N140)</f>
        <v/>
      </c>
      <c r="V140" s="108" t="str">
        <f>IF('(4).Midterm Results'!O140=0,"",'(4).Midterm Results'!O140)</f>
        <v/>
      </c>
    </row>
    <row r="141" spans="1:22" ht="12.4" customHeight="1">
      <c r="A141" s="246"/>
      <c r="B141" s="240" t="s">
        <v>129</v>
      </c>
      <c r="C141" s="241"/>
      <c r="D141" s="102">
        <v>100</v>
      </c>
      <c r="E141" s="110" cm="1">
        <f t="array" ref="E141:E152">TRANSPOSE(K15:V15)</f>
        <v>60.875</v>
      </c>
      <c r="F141" s="104" t="str">
        <f>IF(E141="","",IF(E141&lt;D141*60%,"Try harder",""))</f>
        <v/>
      </c>
      <c r="H141" s="108">
        <f>IF('(4).Midterm Results'!A141=0,"",'(4).Midterm Results'!A141)</f>
        <v>27</v>
      </c>
      <c r="I141" s="108" t="str">
        <f>IF('(4).Midterm Results'!B141=0,"",'(4).Midterm Results'!B141)</f>
        <v/>
      </c>
      <c r="J141" s="108" t="str">
        <f>IF('(4).Midterm Results'!C141=0,"",'(4).Midterm Results'!C141)</f>
        <v/>
      </c>
      <c r="K141" s="108" t="str">
        <f>IF('(4).Midterm Results'!D141=0,"",'(4).Midterm Results'!D141)</f>
        <v/>
      </c>
      <c r="L141" s="108" t="str">
        <f>IF('(4).Midterm Results'!E141=0,"",'(4).Midterm Results'!E141)</f>
        <v/>
      </c>
      <c r="M141" s="108" t="str">
        <f>IF('(4).Midterm Results'!F141=0,"",'(4).Midterm Results'!F141)</f>
        <v/>
      </c>
      <c r="N141" s="108" t="str">
        <f>IF('(4).Midterm Results'!G141=0,"",'(4).Midterm Results'!G141)</f>
        <v/>
      </c>
      <c r="O141" s="108" t="str">
        <f>IF('(4).Midterm Results'!H141=0,"",'(4).Midterm Results'!H141)</f>
        <v/>
      </c>
      <c r="P141" s="108" t="str">
        <f>IF('(4).Midterm Results'!I141=0,"",'(4).Midterm Results'!I141)</f>
        <v/>
      </c>
      <c r="Q141" s="108" t="str">
        <f>IF('(4).Midterm Results'!J141=0,"",'(4).Midterm Results'!J141)</f>
        <v/>
      </c>
      <c r="R141" s="108" t="str">
        <f>IF('(4).Midterm Results'!K141=0,"",'(4).Midterm Results'!K141)</f>
        <v/>
      </c>
      <c r="S141" s="108" t="str">
        <f>IF('(4).Midterm Results'!L141=0,"",'(4).Midterm Results'!L141)</f>
        <v/>
      </c>
      <c r="T141" s="108" t="str">
        <f>IF('(4).Midterm Results'!M141=0,"",'(4).Midterm Results'!M141)</f>
        <v/>
      </c>
      <c r="U141" s="108" t="str">
        <f>IF('(4).Midterm Results'!N141=0,"",'(4).Midterm Results'!N141)</f>
        <v/>
      </c>
      <c r="V141" s="108" t="str">
        <f>IF('(4).Midterm Results'!O141=0,"",'(4).Midterm Results'!O141)</f>
        <v/>
      </c>
    </row>
    <row r="142" spans="1:22" ht="12.4" customHeight="1">
      <c r="A142" s="246"/>
      <c r="B142" s="242" t="s">
        <v>132</v>
      </c>
      <c r="C142" s="133" t="str" cm="1">
        <f t="array" ref="C142:C151">TRANSPOSE($L$5:$U$5)</f>
        <v>Up-Low C</v>
      </c>
      <c r="D142" s="134">
        <v>10</v>
      </c>
      <c r="E142" s="135">
        <v>9.5</v>
      </c>
      <c r="F142" s="136" t="str">
        <f t="shared" ref="F142:F152" si="8">IF(E142="","",IF(E142&lt;D142*60%,"Try harder",""))</f>
        <v/>
      </c>
      <c r="H142" s="108">
        <f>IF('(4).Midterm Results'!A142=0,"",'(4).Midterm Results'!A142)</f>
        <v>28</v>
      </c>
      <c r="I142" s="108" t="str">
        <f>IF('(4).Midterm Results'!B142=0,"",'(4).Midterm Results'!B142)</f>
        <v/>
      </c>
      <c r="J142" s="108" t="str">
        <f>IF('(4).Midterm Results'!C142=0,"",'(4).Midterm Results'!C142)</f>
        <v/>
      </c>
      <c r="K142" s="108" t="str">
        <f>IF('(4).Midterm Results'!D142=0,"",'(4).Midterm Results'!D142)</f>
        <v/>
      </c>
      <c r="L142" s="108" t="str">
        <f>IF('(4).Midterm Results'!E142=0,"",'(4).Midterm Results'!E142)</f>
        <v/>
      </c>
      <c r="M142" s="108" t="str">
        <f>IF('(4).Midterm Results'!F142=0,"",'(4).Midterm Results'!F142)</f>
        <v/>
      </c>
      <c r="N142" s="108" t="str">
        <f>IF('(4).Midterm Results'!G142=0,"",'(4).Midterm Results'!G142)</f>
        <v/>
      </c>
      <c r="O142" s="108" t="str">
        <f>IF('(4).Midterm Results'!H142=0,"",'(4).Midterm Results'!H142)</f>
        <v/>
      </c>
      <c r="P142" s="108" t="str">
        <f>IF('(4).Midterm Results'!I142=0,"",'(4).Midterm Results'!I142)</f>
        <v/>
      </c>
      <c r="Q142" s="108" t="str">
        <f>IF('(4).Midterm Results'!J142=0,"",'(4).Midterm Results'!J142)</f>
        <v/>
      </c>
      <c r="R142" s="108" t="str">
        <f>IF('(4).Midterm Results'!K142=0,"",'(4).Midterm Results'!K142)</f>
        <v/>
      </c>
      <c r="S142" s="108" t="str">
        <f>IF('(4).Midterm Results'!L142=0,"",'(4).Midterm Results'!L142)</f>
        <v/>
      </c>
      <c r="T142" s="108" t="str">
        <f>IF('(4).Midterm Results'!M142=0,"",'(4).Midterm Results'!M142)</f>
        <v/>
      </c>
      <c r="U142" s="108" t="str">
        <f>IF('(4).Midterm Results'!N142=0,"",'(4).Midterm Results'!N142)</f>
        <v/>
      </c>
      <c r="V142" s="108" t="str">
        <f>IF('(4).Midterm Results'!O142=0,"",'(4).Midterm Results'!O142)</f>
        <v/>
      </c>
    </row>
    <row r="143" spans="1:22" ht="12.4" customHeight="1">
      <c r="A143" s="246"/>
      <c r="B143" s="243"/>
      <c r="C143" s="137" t="str">
        <v>Alphabet N</v>
      </c>
      <c r="D143" s="138">
        <v>10</v>
      </c>
      <c r="E143" s="139">
        <v>7</v>
      </c>
      <c r="F143" s="140" t="str">
        <f t="shared" si="8"/>
        <v/>
      </c>
      <c r="H143" s="108">
        <f>IF('(4).Midterm Results'!A143=0,"",'(4).Midterm Results'!A143)</f>
        <v>29</v>
      </c>
      <c r="I143" s="108" t="str">
        <f>IF('(4).Midterm Results'!B143=0,"",'(4).Midterm Results'!B143)</f>
        <v/>
      </c>
      <c r="J143" s="108" t="str">
        <f>IF('(4).Midterm Results'!C143=0,"",'(4).Midterm Results'!C143)</f>
        <v/>
      </c>
      <c r="K143" s="108" t="str">
        <f>IF('(4).Midterm Results'!D143=0,"",'(4).Midterm Results'!D143)</f>
        <v/>
      </c>
      <c r="L143" s="108" t="str">
        <f>IF('(4).Midterm Results'!E143=0,"",'(4).Midterm Results'!E143)</f>
        <v/>
      </c>
      <c r="M143" s="108" t="str">
        <f>IF('(4).Midterm Results'!F143=0,"",'(4).Midterm Results'!F143)</f>
        <v/>
      </c>
      <c r="N143" s="108" t="str">
        <f>IF('(4).Midterm Results'!G143=0,"",'(4).Midterm Results'!G143)</f>
        <v/>
      </c>
      <c r="O143" s="108" t="str">
        <f>IF('(4).Midterm Results'!H143=0,"",'(4).Midterm Results'!H143)</f>
        <v/>
      </c>
      <c r="P143" s="108" t="str">
        <f>IF('(4).Midterm Results'!I143=0,"",'(4).Midterm Results'!I143)</f>
        <v/>
      </c>
      <c r="Q143" s="108" t="str">
        <f>IF('(4).Midterm Results'!J143=0,"",'(4).Midterm Results'!J143)</f>
        <v/>
      </c>
      <c r="R143" s="108" t="str">
        <f>IF('(4).Midterm Results'!K143=0,"",'(4).Midterm Results'!K143)</f>
        <v/>
      </c>
      <c r="S143" s="108" t="str">
        <f>IF('(4).Midterm Results'!L143=0,"",'(4).Midterm Results'!L143)</f>
        <v/>
      </c>
      <c r="T143" s="108" t="str">
        <f>IF('(4).Midterm Results'!M143=0,"",'(4).Midterm Results'!M143)</f>
        <v/>
      </c>
      <c r="U143" s="108" t="str">
        <f>IF('(4).Midterm Results'!N143=0,"",'(4).Midterm Results'!N143)</f>
        <v/>
      </c>
      <c r="V143" s="108" t="str">
        <f>IF('(4).Midterm Results'!O143=0,"",'(4).Midterm Results'!O143)</f>
        <v/>
      </c>
    </row>
    <row r="144" spans="1:22" ht="12.4" customHeight="1">
      <c r="A144" s="246"/>
      <c r="B144" s="243"/>
      <c r="C144" s="137" t="str">
        <v>Alphabet S</v>
      </c>
      <c r="D144" s="138">
        <v>10</v>
      </c>
      <c r="E144" s="139">
        <v>9</v>
      </c>
      <c r="F144" s="140" t="str">
        <f t="shared" si="8"/>
        <v/>
      </c>
      <c r="H144" s="108">
        <f>IF('(4).Midterm Results'!A144=0,"",'(4).Midterm Results'!A144)</f>
        <v>30</v>
      </c>
      <c r="I144" s="108" t="str">
        <f>IF('(4).Midterm Results'!B144=0,"",'(4).Midterm Results'!B144)</f>
        <v/>
      </c>
      <c r="J144" s="108" t="str">
        <f>IF('(4).Midterm Results'!C144=0,"",'(4).Midterm Results'!C144)</f>
        <v/>
      </c>
      <c r="K144" s="108" t="str">
        <f>IF('(4).Midterm Results'!D144=0,"",'(4).Midterm Results'!D144)</f>
        <v/>
      </c>
      <c r="L144" s="108" t="str">
        <f>IF('(4).Midterm Results'!E144=0,"",'(4).Midterm Results'!E144)</f>
        <v/>
      </c>
      <c r="M144" s="108" t="str">
        <f>IF('(4).Midterm Results'!F144=0,"",'(4).Midterm Results'!F144)</f>
        <v/>
      </c>
      <c r="N144" s="108" t="str">
        <f>IF('(4).Midterm Results'!G144=0,"",'(4).Midterm Results'!G144)</f>
        <v/>
      </c>
      <c r="O144" s="108" t="str">
        <f>IF('(4).Midterm Results'!H144=0,"",'(4).Midterm Results'!H144)</f>
        <v/>
      </c>
      <c r="P144" s="108" t="str">
        <f>IF('(4).Midterm Results'!I144=0,"",'(4).Midterm Results'!I144)</f>
        <v/>
      </c>
      <c r="Q144" s="108" t="str">
        <f>IF('(4).Midterm Results'!J144=0,"",'(4).Midterm Results'!J144)</f>
        <v/>
      </c>
      <c r="R144" s="108" t="str">
        <f>IF('(4).Midterm Results'!K144=0,"",'(4).Midterm Results'!K144)</f>
        <v/>
      </c>
      <c r="S144" s="108" t="str">
        <f>IF('(4).Midterm Results'!L144=0,"",'(4).Midterm Results'!L144)</f>
        <v/>
      </c>
      <c r="T144" s="108" t="str">
        <f>IF('(4).Midterm Results'!M144=0,"",'(4).Midterm Results'!M144)</f>
        <v/>
      </c>
      <c r="U144" s="108" t="str">
        <f>IF('(4).Midterm Results'!N144=0,"",'(4).Midterm Results'!N144)</f>
        <v/>
      </c>
      <c r="V144" s="108" t="str">
        <f>IF('(4).Midterm Results'!O144=0,"",'(4).Midterm Results'!O144)</f>
        <v/>
      </c>
    </row>
    <row r="145" spans="1:22" ht="12.4" customHeight="1">
      <c r="A145" s="246"/>
      <c r="B145" s="243"/>
      <c r="C145" s="137" t="str">
        <v>Vocabulary</v>
      </c>
      <c r="D145" s="138">
        <v>10</v>
      </c>
      <c r="E145" s="139">
        <v>6</v>
      </c>
      <c r="F145" s="140" t="str">
        <f t="shared" si="8"/>
        <v/>
      </c>
      <c r="H145" s="108" t="str">
        <f>IF('(4).Midterm Results'!A145=0,"",'(4).Midterm Results'!A145)</f>
        <v>Br:</v>
      </c>
      <c r="I145" s="108" t="str">
        <f>IF('(4).Midterm Results'!B145=0,"",'(4).Midterm Results'!B145)</f>
        <v/>
      </c>
      <c r="J145" s="108" t="str">
        <f>IF('(4).Midterm Results'!C145=0,"",'(4).Midterm Results'!C145)</f>
        <v/>
      </c>
      <c r="K145" s="108" t="str">
        <f>IF('(4).Midterm Results'!D145=0,"",'(4).Midterm Results'!D145)</f>
        <v>MIDTERM RESULTS</v>
      </c>
      <c r="L145" s="108" t="str">
        <f>IF('(4).Midterm Results'!E145=0,"",'(4).Midterm Results'!E145)</f>
        <v/>
      </c>
      <c r="M145" s="108" t="str">
        <f>IF('(4).Midterm Results'!F145=0,"",'(4).Midterm Results'!F145)</f>
        <v/>
      </c>
      <c r="N145" s="108" t="str">
        <f>IF('(4).Midterm Results'!G145=0,"",'(4).Midterm Results'!G145)</f>
        <v/>
      </c>
      <c r="O145" s="108" t="str">
        <f>IF('(4).Midterm Results'!H145=0,"",'(4).Midterm Results'!H145)</f>
        <v/>
      </c>
      <c r="P145" s="108" t="str">
        <f>IF('(4).Midterm Results'!I145=0,"",'(4).Midterm Results'!I145)</f>
        <v/>
      </c>
      <c r="Q145" s="108" t="str">
        <f>IF('(4).Midterm Results'!J145=0,"",'(4).Midterm Results'!J145)</f>
        <v/>
      </c>
      <c r="R145" s="108" t="str">
        <f>IF('(4).Midterm Results'!K145=0,"",'(4).Midterm Results'!K145)</f>
        <v/>
      </c>
      <c r="S145" s="108" t="str">
        <f>IF('(4).Midterm Results'!L145=0,"",'(4).Midterm Results'!L145)</f>
        <v/>
      </c>
      <c r="T145" s="108" t="str">
        <f>IF('(4).Midterm Results'!M145=0,"",'(4).Midterm Results'!M145)</f>
        <v/>
      </c>
      <c r="U145" s="108" t="str">
        <f>IF('(4).Midterm Results'!N145=0,"",'(4).Midterm Results'!N145)</f>
        <v/>
      </c>
      <c r="V145" s="108" t="str">
        <f>IF('(4).Midterm Results'!O145=0,"",'(4).Midterm Results'!O145)</f>
        <v/>
      </c>
    </row>
    <row r="146" spans="1:22" ht="12.4" customHeight="1">
      <c r="A146" s="247" t="s">
        <v>131</v>
      </c>
      <c r="B146" s="243"/>
      <c r="C146" s="137" t="str">
        <v>Sprouts</v>
      </c>
      <c r="D146" s="138">
        <v>10</v>
      </c>
      <c r="E146" s="139">
        <v>7.75</v>
      </c>
      <c r="F146" s="140" t="str">
        <f t="shared" si="8"/>
        <v/>
      </c>
      <c r="H146" s="108" t="str">
        <f>IF('(4).Midterm Results'!A146=0,"",'(4).Midterm Results'!A146)</f>
        <v>Level:</v>
      </c>
      <c r="I146" s="108" t="str">
        <f>IF('(4).Midterm Results'!B146=0,"",'(4).Midterm Results'!B146)</f>
        <v/>
      </c>
      <c r="J146" s="108" t="str">
        <f>IF('(4).Midterm Results'!C146=0,"",'(4).Midterm Results'!C146)</f>
        <v/>
      </c>
      <c r="K146" s="108" t="str">
        <f>IF('(4).Midterm Results'!D146=0,"",'(4).Midterm Results'!D146)</f>
        <v>FEBRUARY - JULY 2026</v>
      </c>
      <c r="L146" s="108" t="str">
        <f>IF('(4).Midterm Results'!E146=0,"",'(4).Midterm Results'!E146)</f>
        <v/>
      </c>
      <c r="M146" s="108" t="str">
        <f>IF('(4).Midterm Results'!F146=0,"",'(4).Midterm Results'!F146)</f>
        <v/>
      </c>
      <c r="N146" s="108" t="str">
        <f>IF('(4).Midterm Results'!G146=0,"",'(4).Midterm Results'!G146)</f>
        <v/>
      </c>
      <c r="O146" s="108" t="str">
        <f>IF('(4).Midterm Results'!H146=0,"",'(4).Midterm Results'!H146)</f>
        <v/>
      </c>
      <c r="P146" s="108" t="str">
        <f>IF('(4).Midterm Results'!I146=0,"",'(4).Midterm Results'!I146)</f>
        <v/>
      </c>
      <c r="Q146" s="108" t="str">
        <f>IF('(4).Midterm Results'!J146=0,"",'(4).Midterm Results'!J146)</f>
        <v/>
      </c>
      <c r="R146" s="108" t="str">
        <f>IF('(4).Midterm Results'!K146=0,"",'(4).Midterm Results'!K146)</f>
        <v/>
      </c>
      <c r="S146" s="108" t="str">
        <f>IF('(4).Midterm Results'!L146=0,"",'(4).Midterm Results'!L146)</f>
        <v/>
      </c>
      <c r="T146" s="108" t="str">
        <f>IF('(4).Midterm Results'!M146=0,"",'(4).Midterm Results'!M146)</f>
        <v/>
      </c>
      <c r="U146" s="108" t="str">
        <f>IF('(4).Midterm Results'!N146=0,"",'(4).Midterm Results'!N146)</f>
        <v/>
      </c>
      <c r="V146" s="108" t="str">
        <f>IF('(4).Midterm Results'!O146=0,"",'(4).Midterm Results'!O146)</f>
        <v/>
      </c>
    </row>
    <row r="147" spans="1:22" ht="12.4" customHeight="1">
      <c r="A147" s="247"/>
      <c r="B147" s="243"/>
      <c r="C147" s="137" t="str">
        <v>Phonics</v>
      </c>
      <c r="D147" s="138">
        <v>10</v>
      </c>
      <c r="E147" s="139">
        <v>7</v>
      </c>
      <c r="F147" s="140" t="str">
        <f t="shared" si="8"/>
        <v/>
      </c>
      <c r="H147" s="108" t="str">
        <f>IF('(4).Midterm Results'!A147=0,"",'(4).Midterm Results'!A147)</f>
        <v>Time:</v>
      </c>
      <c r="I147" s="108" t="str">
        <f>IF('(4).Midterm Results'!B147=0,"",'(4).Midterm Results'!B147)</f>
        <v/>
      </c>
      <c r="J147" s="108" t="str">
        <f>IF('(4).Midterm Results'!C147=0,"",'(4).Midterm Results'!C147)</f>
        <v/>
      </c>
      <c r="K147" s="108" t="str">
        <f>IF('(4).Midterm Results'!D147=0,"",'(4).Midterm Results'!D147)</f>
        <v>*** Midterm Results (Total Scores) = Midterm Daily (20%) + Midterm Exam (80%) ***</v>
      </c>
      <c r="L147" s="108" t="str">
        <f>IF('(4).Midterm Results'!E147=0,"",'(4).Midterm Results'!E147)</f>
        <v/>
      </c>
      <c r="M147" s="108" t="str">
        <f>IF('(4).Midterm Results'!F147=0,"",'(4).Midterm Results'!F147)</f>
        <v/>
      </c>
      <c r="N147" s="108" t="str">
        <f>IF('(4).Midterm Results'!G147=0,"",'(4).Midterm Results'!G147)</f>
        <v/>
      </c>
      <c r="O147" s="108" t="str">
        <f>IF('(4).Midterm Results'!H147=0,"",'(4).Midterm Results'!H147)</f>
        <v/>
      </c>
      <c r="P147" s="108" t="str">
        <f>IF('(4).Midterm Results'!I147=0,"",'(4).Midterm Results'!I147)</f>
        <v/>
      </c>
      <c r="Q147" s="108" t="str">
        <f>IF('(4).Midterm Results'!J147=0,"",'(4).Midterm Results'!J147)</f>
        <v/>
      </c>
      <c r="R147" s="108" t="str">
        <f>IF('(4).Midterm Results'!K147=0,"",'(4).Midterm Results'!K147)</f>
        <v/>
      </c>
      <c r="S147" s="108" t="str">
        <f>IF('(4).Midterm Results'!L147=0,"",'(4).Midterm Results'!L147)</f>
        <v/>
      </c>
      <c r="T147" s="108" t="str">
        <f>IF('(4).Midterm Results'!M147=0,"",'(4).Midterm Results'!M147)</f>
        <v/>
      </c>
      <c r="U147" s="108" t="str">
        <f>IF('(4).Midterm Results'!N147=0,"",'(4).Midterm Results'!N147)</f>
        <v/>
      </c>
      <c r="V147" s="108" t="str">
        <f>IF('(4).Midterm Results'!O147=0,"",'(4).Midterm Results'!O147)</f>
        <v/>
      </c>
    </row>
    <row r="148" spans="1:22" ht="12.4" customHeight="1">
      <c r="A148" s="247"/>
      <c r="B148" s="243"/>
      <c r="C148" s="137" t="str">
        <v>Math</v>
      </c>
      <c r="D148" s="138">
        <v>10</v>
      </c>
      <c r="E148" s="139">
        <v>10</v>
      </c>
      <c r="F148" s="140" t="str">
        <f t="shared" si="8"/>
        <v/>
      </c>
      <c r="H148" s="108" t="str">
        <f>IF('(4).Midterm Results'!A148=0,"",'(4).Midterm Results'!A148)</f>
        <v>Room:</v>
      </c>
      <c r="I148" s="108" t="str">
        <f>IF('(4).Midterm Results'!B148=0,"",'(4).Midterm Results'!B148)</f>
        <v/>
      </c>
      <c r="J148" s="108" t="str">
        <f>IF('(4).Midterm Results'!C148=0,"",'(4).Midterm Results'!C148)</f>
        <v/>
      </c>
      <c r="K148" s="108" t="str">
        <f>IF('(4).Midterm Results'!D148=0,"",'(4).Midterm Results'!D148)</f>
        <v>MIDTERM</v>
      </c>
      <c r="L148" s="108" t="str">
        <f>IF('(4).Midterm Results'!E148=0,"",'(4).Midterm Results'!E148)</f>
        <v>MIDTERM EXAM</v>
      </c>
      <c r="M148" s="108" t="str">
        <f>IF('(4).Midterm Results'!F148=0,"",'(4).Midterm Results'!F148)</f>
        <v/>
      </c>
      <c r="N148" s="108" t="str">
        <f>IF('(4).Midterm Results'!G148=0,"",'(4).Midterm Results'!G148)</f>
        <v/>
      </c>
      <c r="O148" s="108" t="str">
        <f>IF('(4).Midterm Results'!H148=0,"",'(4).Midterm Results'!H148)</f>
        <v/>
      </c>
      <c r="P148" s="108" t="str">
        <f>IF('(4).Midterm Results'!I148=0,"",'(4).Midterm Results'!I148)</f>
        <v/>
      </c>
      <c r="Q148" s="108" t="str">
        <f>IF('(4).Midterm Results'!J148=0,"",'(4).Midterm Results'!J148)</f>
        <v/>
      </c>
      <c r="R148" s="108" t="str">
        <f>IF('(4).Midterm Results'!K148=0,"",'(4).Midterm Results'!K148)</f>
        <v/>
      </c>
      <c r="S148" s="108" t="str">
        <f>IF('(4).Midterm Results'!L148=0,"",'(4).Midterm Results'!L148)</f>
        <v/>
      </c>
      <c r="T148" s="108" t="str">
        <f>IF('(4).Midterm Results'!M148=0,"",'(4).Midterm Results'!M148)</f>
        <v/>
      </c>
      <c r="U148" s="108" t="str">
        <f>IF('(4).Midterm Results'!N148=0,"",'(4).Midterm Results'!N148)</f>
        <v/>
      </c>
      <c r="V148" s="108" t="str">
        <f>IF('(4).Midterm Results'!O148=0,"",'(4).Midterm Results'!O148)</f>
        <v>TOTAL</v>
      </c>
    </row>
    <row r="149" spans="1:22" ht="12.4" customHeight="1">
      <c r="A149" s="247"/>
      <c r="B149" s="243"/>
      <c r="C149" s="137" t="str">
        <v>Shape</v>
      </c>
      <c r="D149" s="138">
        <v>10</v>
      </c>
      <c r="E149" s="139">
        <v>7</v>
      </c>
      <c r="F149" s="140" t="str">
        <f t="shared" si="8"/>
        <v/>
      </c>
      <c r="H149" s="108" t="str">
        <f>IF('(4).Midterm Results'!A149=0,"",'(4).Midterm Results'!A149)</f>
        <v>Tr:</v>
      </c>
      <c r="I149" s="108" t="str">
        <f>IF('(4).Midterm Results'!B149=0,"",'(4).Midterm Results'!B149)</f>
        <v/>
      </c>
      <c r="J149" s="108" t="str">
        <f>IF('(4).Midterm Results'!C149=0,"",'(4).Midterm Results'!C149)</f>
        <v/>
      </c>
      <c r="K149" s="108" t="str">
        <f>IF('(4).Midterm Results'!D149=0,"",'(4).Midterm Results'!D149)</f>
        <v>DAILY</v>
      </c>
      <c r="L149" s="108" t="str">
        <f>IF('(4).Midterm Results'!E149=0,"",'(4).Midterm Results'!E149)</f>
        <v>Up-Low C</v>
      </c>
      <c r="M149" s="108" t="str">
        <f>IF('(4).Midterm Results'!F149=0,"",'(4).Midterm Results'!F149)</f>
        <v>Alphabet N</v>
      </c>
      <c r="N149" s="108" t="str">
        <f>IF('(4).Midterm Results'!G149=0,"",'(4).Midterm Results'!G149)</f>
        <v>Alphabet S</v>
      </c>
      <c r="O149" s="108" t="str">
        <f>IF('(4).Midterm Results'!H149=0,"",'(4).Midterm Results'!H149)</f>
        <v>Vocabulary</v>
      </c>
      <c r="P149" s="108" t="str">
        <f>IF('(4).Midterm Results'!I149=0,"",'(4).Midterm Results'!I149)</f>
        <v>Sprouts</v>
      </c>
      <c r="Q149" s="108" t="str">
        <f>IF('(4).Midterm Results'!J149=0,"",'(4).Midterm Results'!J149)</f>
        <v>Phonics</v>
      </c>
      <c r="R149" s="108" t="str">
        <f>IF('(4).Midterm Results'!K149=0,"",'(4).Midterm Results'!K149)</f>
        <v>Math</v>
      </c>
      <c r="S149" s="108" t="str">
        <f>IF('(4).Midterm Results'!L149=0,"",'(4).Midterm Results'!L149)</f>
        <v>Shape</v>
      </c>
      <c r="T149" s="108" t="str">
        <f>IF('(4).Midterm Results'!M149=0,"",'(4).Midterm Results'!M149)</f>
        <v>Science</v>
      </c>
      <c r="U149" s="108" t="str">
        <f>IF('(4).Midterm Results'!N149=0,"",'(4).Midterm Results'!N149)</f>
        <v>Tracing</v>
      </c>
      <c r="V149" s="108" t="str">
        <f>IF('(4).Midterm Results'!O149=0,"",'(4).Midterm Results'!O149)</f>
        <v>SCORES</v>
      </c>
    </row>
    <row r="150" spans="1:22" ht="12.4" customHeight="1">
      <c r="A150" s="247"/>
      <c r="B150" s="243"/>
      <c r="C150" s="137" t="str">
        <v>Science</v>
      </c>
      <c r="D150" s="138">
        <v>10</v>
      </c>
      <c r="E150" s="139">
        <v>10</v>
      </c>
      <c r="F150" s="140" t="str">
        <f t="shared" si="8"/>
        <v/>
      </c>
      <c r="H150" s="108" t="str">
        <f>IF('(4).Midterm Results'!A150=0,"",'(4).Midterm Results'!A150)</f>
        <v>NO</v>
      </c>
      <c r="I150" s="108" t="str">
        <f>IF('(4).Midterm Results'!B150=0,"",'(4).Midterm Results'!B150)</f>
        <v>NAME</v>
      </c>
      <c r="J150" s="108" t="str">
        <f>IF('(4).Midterm Results'!C150=0,"",'(4).Midterm Results'!C150)</f>
        <v>SEX</v>
      </c>
      <c r="K150" s="108" t="str">
        <f>IF('(4).Midterm Results'!D150=0,"",'(4).Midterm Results'!D150)</f>
        <v>100 points</v>
      </c>
      <c r="L150" s="108" t="str">
        <f>IF('(4).Midterm Results'!E150=0,"",'(4).Midterm Results'!E150)</f>
        <v>10 points</v>
      </c>
      <c r="M150" s="108" t="str">
        <f>IF('(4).Midterm Results'!F150=0,"",'(4).Midterm Results'!F150)</f>
        <v>10 points</v>
      </c>
      <c r="N150" s="108" t="str">
        <f>IF('(4).Midterm Results'!G150=0,"",'(4).Midterm Results'!G150)</f>
        <v>10 points</v>
      </c>
      <c r="O150" s="108" t="str">
        <f>IF('(4).Midterm Results'!H150=0,"",'(4).Midterm Results'!H150)</f>
        <v>10 points</v>
      </c>
      <c r="P150" s="108" t="str">
        <f>IF('(4).Midterm Results'!I150=0,"",'(4).Midterm Results'!I150)</f>
        <v>10 points</v>
      </c>
      <c r="Q150" s="108" t="str">
        <f>IF('(4).Midterm Results'!J150=0,"",'(4).Midterm Results'!J150)</f>
        <v>10 points</v>
      </c>
      <c r="R150" s="108" t="str">
        <f>IF('(4).Midterm Results'!K150=0,"",'(4).Midterm Results'!K150)</f>
        <v>10 points</v>
      </c>
      <c r="S150" s="108" t="str">
        <f>IF('(4).Midterm Results'!L150=0,"",'(4).Midterm Results'!L150)</f>
        <v>10 points</v>
      </c>
      <c r="T150" s="108" t="str">
        <f>IF('(4).Midterm Results'!M150=0,"",'(4).Midterm Results'!M150)</f>
        <v>10 points</v>
      </c>
      <c r="U150" s="108" t="str">
        <f>IF('(4).Midterm Results'!N150=0,"",'(4).Midterm Results'!N150)</f>
        <v>10 points</v>
      </c>
      <c r="V150" s="108" t="str">
        <f>IF('(4).Midterm Results'!O150=0,"",'(4).Midterm Results'!O150)</f>
        <v>100 points</v>
      </c>
    </row>
    <row r="151" spans="1:22" ht="12.4" customHeight="1">
      <c r="A151" s="247"/>
      <c r="B151" s="244"/>
      <c r="C151" s="141" t="str">
        <v>Tracing</v>
      </c>
      <c r="D151" s="142">
        <v>10</v>
      </c>
      <c r="E151" s="143">
        <v>9</v>
      </c>
      <c r="F151" s="144" t="str">
        <f t="shared" si="8"/>
        <v/>
      </c>
      <c r="H151" s="108">
        <f>IF('(4).Midterm Results'!A151=0,"",'(4).Midterm Results'!A151)</f>
        <v>1</v>
      </c>
      <c r="I151" s="108" t="str">
        <f>IF('(4).Midterm Results'!B151=0,"",'(4).Midterm Results'!B151)</f>
        <v/>
      </c>
      <c r="J151" s="108" t="str">
        <f>IF('(4).Midterm Results'!C151=0,"",'(4).Midterm Results'!C151)</f>
        <v/>
      </c>
      <c r="K151" s="108" t="str">
        <f>IF('(4).Midterm Results'!D151=0,"",'(4).Midterm Results'!D151)</f>
        <v/>
      </c>
      <c r="L151" s="108" t="str">
        <f>IF('(4).Midterm Results'!E151=0,"",'(4).Midterm Results'!E151)</f>
        <v/>
      </c>
      <c r="M151" s="108" t="str">
        <f>IF('(4).Midterm Results'!F151=0,"",'(4).Midterm Results'!F151)</f>
        <v/>
      </c>
      <c r="N151" s="108" t="str">
        <f>IF('(4).Midterm Results'!G151=0,"",'(4).Midterm Results'!G151)</f>
        <v/>
      </c>
      <c r="O151" s="108" t="str">
        <f>IF('(4).Midterm Results'!H151=0,"",'(4).Midterm Results'!H151)</f>
        <v/>
      </c>
      <c r="P151" s="108" t="str">
        <f>IF('(4).Midterm Results'!I151=0,"",'(4).Midterm Results'!I151)</f>
        <v/>
      </c>
      <c r="Q151" s="108" t="str">
        <f>IF('(4).Midterm Results'!J151=0,"",'(4).Midterm Results'!J151)</f>
        <v/>
      </c>
      <c r="R151" s="108" t="str">
        <f>IF('(4).Midterm Results'!K151=0,"",'(4).Midterm Results'!K151)</f>
        <v/>
      </c>
      <c r="S151" s="108" t="str">
        <f>IF('(4).Midterm Results'!L151=0,"",'(4).Midterm Results'!L151)</f>
        <v/>
      </c>
      <c r="T151" s="108" t="str">
        <f>IF('(4).Midterm Results'!M151=0,"",'(4).Midterm Results'!M151)</f>
        <v/>
      </c>
      <c r="U151" s="108" t="str">
        <f>IF('(4).Midterm Results'!N151=0,"",'(4).Midterm Results'!N151)</f>
        <v/>
      </c>
      <c r="V151" s="108" t="str">
        <f>IF('(4).Midterm Results'!O151=0,"",'(4).Midterm Results'!O151)</f>
        <v/>
      </c>
    </row>
    <row r="152" spans="1:22" ht="12.4" customHeight="1">
      <c r="A152" s="248"/>
      <c r="B152" s="240" t="s">
        <v>133</v>
      </c>
      <c r="C152" s="241"/>
      <c r="D152" s="103">
        <f>D141*20%+SUM(D142:D151)*80%</f>
        <v>100</v>
      </c>
      <c r="E152" s="110">
        <v>77.974999999999994</v>
      </c>
      <c r="F152" s="104" t="str">
        <f t="shared" si="8"/>
        <v/>
      </c>
      <c r="H152" s="108">
        <f>IF('(4).Midterm Results'!A152=0,"",'(4).Midterm Results'!A152)</f>
        <v>2</v>
      </c>
      <c r="I152" s="108" t="str">
        <f>IF('(4).Midterm Results'!B152=0,"",'(4).Midterm Results'!B152)</f>
        <v/>
      </c>
      <c r="J152" s="108" t="str">
        <f>IF('(4).Midterm Results'!C152=0,"",'(4).Midterm Results'!C152)</f>
        <v/>
      </c>
      <c r="K152" s="108" t="str">
        <f>IF('(4).Midterm Results'!D152=0,"",'(4).Midterm Results'!D152)</f>
        <v/>
      </c>
      <c r="L152" s="108" t="str">
        <f>IF('(4).Midterm Results'!E152=0,"",'(4).Midterm Results'!E152)</f>
        <v/>
      </c>
      <c r="M152" s="108" t="str">
        <f>IF('(4).Midterm Results'!F152=0,"",'(4).Midterm Results'!F152)</f>
        <v/>
      </c>
      <c r="N152" s="108" t="str">
        <f>IF('(4).Midterm Results'!G152=0,"",'(4).Midterm Results'!G152)</f>
        <v/>
      </c>
      <c r="O152" s="108" t="str">
        <f>IF('(4).Midterm Results'!H152=0,"",'(4).Midterm Results'!H152)</f>
        <v/>
      </c>
      <c r="P152" s="108" t="str">
        <f>IF('(4).Midterm Results'!I152=0,"",'(4).Midterm Results'!I152)</f>
        <v/>
      </c>
      <c r="Q152" s="108" t="str">
        <f>IF('(4).Midterm Results'!J152=0,"",'(4).Midterm Results'!J152)</f>
        <v/>
      </c>
      <c r="R152" s="108" t="str">
        <f>IF('(4).Midterm Results'!K152=0,"",'(4).Midterm Results'!K152)</f>
        <v/>
      </c>
      <c r="S152" s="108" t="str">
        <f>IF('(4).Midterm Results'!L152=0,"",'(4).Midterm Results'!L152)</f>
        <v/>
      </c>
      <c r="T152" s="108" t="str">
        <f>IF('(4).Midterm Results'!M152=0,"",'(4).Midterm Results'!M152)</f>
        <v/>
      </c>
      <c r="U152" s="108" t="str">
        <f>IF('(4).Midterm Results'!N152=0,"",'(4).Midterm Results'!N152)</f>
        <v/>
      </c>
      <c r="V152" s="108" t="str">
        <f>IF('(4).Midterm Results'!O152=0,"",'(4).Midterm Results'!O152)</f>
        <v/>
      </c>
    </row>
    <row r="153" spans="1:22" ht="12.4" customHeight="1">
      <c r="H153" s="108">
        <f>IF('(4).Midterm Results'!A153=0,"",'(4).Midterm Results'!A153)</f>
        <v>3</v>
      </c>
      <c r="I153" s="108" t="str">
        <f>IF('(4).Midterm Results'!B153=0,"",'(4).Midterm Results'!B153)</f>
        <v/>
      </c>
      <c r="J153" s="108" t="str">
        <f>IF('(4).Midterm Results'!C153=0,"",'(4).Midterm Results'!C153)</f>
        <v/>
      </c>
      <c r="K153" s="108" t="str">
        <f>IF('(4).Midterm Results'!D153=0,"",'(4).Midterm Results'!D153)</f>
        <v/>
      </c>
      <c r="L153" s="108" t="str">
        <f>IF('(4).Midterm Results'!E153=0,"",'(4).Midterm Results'!E153)</f>
        <v/>
      </c>
      <c r="M153" s="108" t="str">
        <f>IF('(4).Midterm Results'!F153=0,"",'(4).Midterm Results'!F153)</f>
        <v/>
      </c>
      <c r="N153" s="108" t="str">
        <f>IF('(4).Midterm Results'!G153=0,"",'(4).Midterm Results'!G153)</f>
        <v/>
      </c>
      <c r="O153" s="108" t="str">
        <f>IF('(4).Midterm Results'!H153=0,"",'(4).Midterm Results'!H153)</f>
        <v/>
      </c>
      <c r="P153" s="108" t="str">
        <f>IF('(4).Midterm Results'!I153=0,"",'(4).Midterm Results'!I153)</f>
        <v/>
      </c>
      <c r="Q153" s="108" t="str">
        <f>IF('(4).Midterm Results'!J153=0,"",'(4).Midterm Results'!J153)</f>
        <v/>
      </c>
      <c r="R153" s="108" t="str">
        <f>IF('(4).Midterm Results'!K153=0,"",'(4).Midterm Results'!K153)</f>
        <v/>
      </c>
      <c r="S153" s="108" t="str">
        <f>IF('(4).Midterm Results'!L153=0,"",'(4).Midterm Results'!L153)</f>
        <v/>
      </c>
      <c r="T153" s="108" t="str">
        <f>IF('(4).Midterm Results'!M153=0,"",'(4).Midterm Results'!M153)</f>
        <v/>
      </c>
      <c r="U153" s="108" t="str">
        <f>IF('(4).Midterm Results'!N153=0,"",'(4).Midterm Results'!N153)</f>
        <v/>
      </c>
      <c r="V153" s="108" t="str">
        <f>IF('(4).Midterm Results'!O153=0,"",'(4).Midterm Results'!O153)</f>
        <v/>
      </c>
    </row>
    <row r="154" spans="1:22" ht="12.4" customHeight="1">
      <c r="A154" s="230" t="s">
        <v>121</v>
      </c>
      <c r="B154" s="231"/>
      <c r="C154" s="231"/>
      <c r="D154" s="107" t="s">
        <v>123</v>
      </c>
      <c r="E154" s="232" t="str">
        <f>I16</f>
        <v>Lot SamAngvichara</v>
      </c>
      <c r="F154" s="233"/>
      <c r="G154" s="101">
        <v>16</v>
      </c>
      <c r="H154" s="108">
        <f>IF('(4).Midterm Results'!A154=0,"",'(4).Midterm Results'!A154)</f>
        <v>4</v>
      </c>
      <c r="I154" s="108" t="str">
        <f>IF('(4).Midterm Results'!B154=0,"",'(4).Midterm Results'!B154)</f>
        <v/>
      </c>
      <c r="J154" s="108" t="str">
        <f>IF('(4).Midterm Results'!C154=0,"",'(4).Midterm Results'!C154)</f>
        <v/>
      </c>
      <c r="K154" s="108" t="str">
        <f>IF('(4).Midterm Results'!D154=0,"",'(4).Midterm Results'!D154)</f>
        <v/>
      </c>
      <c r="L154" s="108" t="str">
        <f>IF('(4).Midterm Results'!E154=0,"",'(4).Midterm Results'!E154)</f>
        <v/>
      </c>
      <c r="M154" s="108" t="str">
        <f>IF('(4).Midterm Results'!F154=0,"",'(4).Midterm Results'!F154)</f>
        <v/>
      </c>
      <c r="N154" s="108" t="str">
        <f>IF('(4).Midterm Results'!G154=0,"",'(4).Midterm Results'!G154)</f>
        <v/>
      </c>
      <c r="O154" s="108" t="str">
        <f>IF('(4).Midterm Results'!H154=0,"",'(4).Midterm Results'!H154)</f>
        <v/>
      </c>
      <c r="P154" s="108" t="str">
        <f>IF('(4).Midterm Results'!I154=0,"",'(4).Midterm Results'!I154)</f>
        <v/>
      </c>
      <c r="Q154" s="108" t="str">
        <f>IF('(4).Midterm Results'!J154=0,"",'(4).Midterm Results'!J154)</f>
        <v/>
      </c>
      <c r="R154" s="108" t="str">
        <f>IF('(4).Midterm Results'!K154=0,"",'(4).Midterm Results'!K154)</f>
        <v/>
      </c>
      <c r="S154" s="108" t="str">
        <f>IF('(4).Midterm Results'!L154=0,"",'(4).Midterm Results'!L154)</f>
        <v/>
      </c>
      <c r="T154" s="108" t="str">
        <f>IF('(4).Midterm Results'!M154=0,"",'(4).Midterm Results'!M154)</f>
        <v/>
      </c>
      <c r="U154" s="108" t="str">
        <f>IF('(4).Midterm Results'!N154=0,"",'(4).Midterm Results'!N154)</f>
        <v/>
      </c>
      <c r="V154" s="108" t="str">
        <f>IF('(4).Midterm Results'!O154=0,"",'(4).Midterm Results'!O154)</f>
        <v/>
      </c>
    </row>
    <row r="155" spans="1:22" ht="12.4" customHeight="1">
      <c r="A155" s="105" t="s">
        <v>122</v>
      </c>
      <c r="B155" s="234" t="str">
        <f>$K$2</f>
        <v>FEBRUARY - JULY 2026</v>
      </c>
      <c r="C155" s="234"/>
      <c r="D155" s="106" t="s">
        <v>124</v>
      </c>
      <c r="E155" s="235" t="str">
        <f>$I$2</f>
        <v>K1B</v>
      </c>
      <c r="F155" s="236"/>
      <c r="H155" s="108">
        <f>IF('(4).Midterm Results'!A155=0,"",'(4).Midterm Results'!A155)</f>
        <v>5</v>
      </c>
      <c r="I155" s="108" t="str">
        <f>IF('(4).Midterm Results'!B155=0,"",'(4).Midterm Results'!B155)</f>
        <v/>
      </c>
      <c r="J155" s="108" t="str">
        <f>IF('(4).Midterm Results'!C155=0,"",'(4).Midterm Results'!C155)</f>
        <v/>
      </c>
      <c r="K155" s="108" t="str">
        <f>IF('(4).Midterm Results'!D155=0,"",'(4).Midterm Results'!D155)</f>
        <v/>
      </c>
      <c r="L155" s="108" t="str">
        <f>IF('(4).Midterm Results'!E155=0,"",'(4).Midterm Results'!E155)</f>
        <v/>
      </c>
      <c r="M155" s="108" t="str">
        <f>IF('(4).Midterm Results'!F155=0,"",'(4).Midterm Results'!F155)</f>
        <v/>
      </c>
      <c r="N155" s="108" t="str">
        <f>IF('(4).Midterm Results'!G155=0,"",'(4).Midterm Results'!G155)</f>
        <v/>
      </c>
      <c r="O155" s="108" t="str">
        <f>IF('(4).Midterm Results'!H155=0,"",'(4).Midterm Results'!H155)</f>
        <v/>
      </c>
      <c r="P155" s="108" t="str">
        <f>IF('(4).Midterm Results'!I155=0,"",'(4).Midterm Results'!I155)</f>
        <v/>
      </c>
      <c r="Q155" s="108" t="str">
        <f>IF('(4).Midterm Results'!J155=0,"",'(4).Midterm Results'!J155)</f>
        <v/>
      </c>
      <c r="R155" s="108" t="str">
        <f>IF('(4).Midterm Results'!K155=0,"",'(4).Midterm Results'!K155)</f>
        <v/>
      </c>
      <c r="S155" s="108" t="str">
        <f>IF('(4).Midterm Results'!L155=0,"",'(4).Midterm Results'!L155)</f>
        <v/>
      </c>
      <c r="T155" s="108" t="str">
        <f>IF('(4).Midterm Results'!M155=0,"",'(4).Midterm Results'!M155)</f>
        <v/>
      </c>
      <c r="U155" s="108" t="str">
        <f>IF('(4).Midterm Results'!N155=0,"",'(4).Midterm Results'!N155)</f>
        <v/>
      </c>
      <c r="V155" s="108" t="str">
        <f>IF('(4).Midterm Results'!O155=0,"",'(4).Midterm Results'!O155)</f>
        <v/>
      </c>
    </row>
    <row r="156" spans="1:22" ht="12.4" customHeight="1">
      <c r="A156" s="237" t="s">
        <v>130</v>
      </c>
      <c r="B156" s="238"/>
      <c r="C156" s="238"/>
      <c r="D156" s="238"/>
      <c r="E156" s="238"/>
      <c r="F156" s="239"/>
      <c r="H156" s="108">
        <f>IF('(4).Midterm Results'!A156=0,"",'(4).Midterm Results'!A156)</f>
        <v>6</v>
      </c>
      <c r="I156" s="108" t="str">
        <f>IF('(4).Midterm Results'!B156=0,"",'(4).Midterm Results'!B156)</f>
        <v/>
      </c>
      <c r="J156" s="108" t="str">
        <f>IF('(4).Midterm Results'!C156=0,"",'(4).Midterm Results'!C156)</f>
        <v/>
      </c>
      <c r="K156" s="108" t="str">
        <f>IF('(4).Midterm Results'!D156=0,"",'(4).Midterm Results'!D156)</f>
        <v/>
      </c>
      <c r="L156" s="108" t="str">
        <f>IF('(4).Midterm Results'!E156=0,"",'(4).Midterm Results'!E156)</f>
        <v/>
      </c>
      <c r="M156" s="108" t="str">
        <f>IF('(4).Midterm Results'!F156=0,"",'(4).Midterm Results'!F156)</f>
        <v/>
      </c>
      <c r="N156" s="108" t="str">
        <f>IF('(4).Midterm Results'!G156=0,"",'(4).Midterm Results'!G156)</f>
        <v/>
      </c>
      <c r="O156" s="108" t="str">
        <f>IF('(4).Midterm Results'!H156=0,"",'(4).Midterm Results'!H156)</f>
        <v/>
      </c>
      <c r="P156" s="108" t="str">
        <f>IF('(4).Midterm Results'!I156=0,"",'(4).Midterm Results'!I156)</f>
        <v/>
      </c>
      <c r="Q156" s="108" t="str">
        <f>IF('(4).Midterm Results'!J156=0,"",'(4).Midterm Results'!J156)</f>
        <v/>
      </c>
      <c r="R156" s="108" t="str">
        <f>IF('(4).Midterm Results'!K156=0,"",'(4).Midterm Results'!K156)</f>
        <v/>
      </c>
      <c r="S156" s="108" t="str">
        <f>IF('(4).Midterm Results'!L156=0,"",'(4).Midterm Results'!L156)</f>
        <v/>
      </c>
      <c r="T156" s="108" t="str">
        <f>IF('(4).Midterm Results'!M156=0,"",'(4).Midterm Results'!M156)</f>
        <v/>
      </c>
      <c r="U156" s="108" t="str">
        <f>IF('(4).Midterm Results'!N156=0,"",'(4).Midterm Results'!N156)</f>
        <v/>
      </c>
      <c r="V156" s="108" t="str">
        <f>IF('(4).Midterm Results'!O156=0,"",'(4).Midterm Results'!O156)</f>
        <v/>
      </c>
    </row>
    <row r="157" spans="1:22" ht="12.4" customHeight="1">
      <c r="A157" s="245" t="s">
        <v>14</v>
      </c>
      <c r="B157" s="240" t="s">
        <v>125</v>
      </c>
      <c r="C157" s="241"/>
      <c r="D157" s="102" t="s">
        <v>126</v>
      </c>
      <c r="E157" s="109" t="s">
        <v>127</v>
      </c>
      <c r="F157" s="102" t="s">
        <v>128</v>
      </c>
      <c r="H157" s="108">
        <f>IF('(4).Midterm Results'!A157=0,"",'(4).Midterm Results'!A157)</f>
        <v>7</v>
      </c>
      <c r="I157" s="108" t="str">
        <f>IF('(4).Midterm Results'!B157=0,"",'(4).Midterm Results'!B157)</f>
        <v/>
      </c>
      <c r="J157" s="108" t="str">
        <f>IF('(4).Midterm Results'!C157=0,"",'(4).Midterm Results'!C157)</f>
        <v/>
      </c>
      <c r="K157" s="108" t="str">
        <f>IF('(4).Midterm Results'!D157=0,"",'(4).Midterm Results'!D157)</f>
        <v/>
      </c>
      <c r="L157" s="108" t="str">
        <f>IF('(4).Midterm Results'!E157=0,"",'(4).Midterm Results'!E157)</f>
        <v/>
      </c>
      <c r="M157" s="108" t="str">
        <f>IF('(4).Midterm Results'!F157=0,"",'(4).Midterm Results'!F157)</f>
        <v/>
      </c>
      <c r="N157" s="108" t="str">
        <f>IF('(4).Midterm Results'!G157=0,"",'(4).Midterm Results'!G157)</f>
        <v/>
      </c>
      <c r="O157" s="108" t="str">
        <f>IF('(4).Midterm Results'!H157=0,"",'(4).Midterm Results'!H157)</f>
        <v/>
      </c>
      <c r="P157" s="108" t="str">
        <f>IF('(4).Midterm Results'!I157=0,"",'(4).Midterm Results'!I157)</f>
        <v/>
      </c>
      <c r="Q157" s="108" t="str">
        <f>IF('(4).Midterm Results'!J157=0,"",'(4).Midterm Results'!J157)</f>
        <v/>
      </c>
      <c r="R157" s="108" t="str">
        <f>IF('(4).Midterm Results'!K157=0,"",'(4).Midterm Results'!K157)</f>
        <v/>
      </c>
      <c r="S157" s="108" t="str">
        <f>IF('(4).Midterm Results'!L157=0,"",'(4).Midterm Results'!L157)</f>
        <v/>
      </c>
      <c r="T157" s="108" t="str">
        <f>IF('(4).Midterm Results'!M157=0,"",'(4).Midterm Results'!M157)</f>
        <v/>
      </c>
      <c r="U157" s="108" t="str">
        <f>IF('(4).Midterm Results'!N157=0,"",'(4).Midterm Results'!N157)</f>
        <v/>
      </c>
      <c r="V157" s="108" t="str">
        <f>IF('(4).Midterm Results'!O157=0,"",'(4).Midterm Results'!O157)</f>
        <v/>
      </c>
    </row>
    <row r="158" spans="1:22" ht="12.4" customHeight="1">
      <c r="A158" s="246"/>
      <c r="B158" s="240" t="s">
        <v>129</v>
      </c>
      <c r="C158" s="241"/>
      <c r="D158" s="102">
        <v>100</v>
      </c>
      <c r="E158" s="110" cm="1">
        <f t="array" ref="E158:E169">TRANSPOSE(K16:V16)</f>
        <v>93.5</v>
      </c>
      <c r="F158" s="104" t="str">
        <f>IF(E158="","",IF(E158&lt;D158*60%,"Try harder",""))</f>
        <v/>
      </c>
      <c r="H158" s="108">
        <f>IF('(4).Midterm Results'!A158=0,"",'(4).Midterm Results'!A158)</f>
        <v>8</v>
      </c>
      <c r="I158" s="108" t="str">
        <f>IF('(4).Midterm Results'!B158=0,"",'(4).Midterm Results'!B158)</f>
        <v/>
      </c>
      <c r="J158" s="108" t="str">
        <f>IF('(4).Midterm Results'!C158=0,"",'(4).Midterm Results'!C158)</f>
        <v/>
      </c>
      <c r="K158" s="108" t="str">
        <f>IF('(4).Midterm Results'!D158=0,"",'(4).Midterm Results'!D158)</f>
        <v/>
      </c>
      <c r="L158" s="108" t="str">
        <f>IF('(4).Midterm Results'!E158=0,"",'(4).Midterm Results'!E158)</f>
        <v/>
      </c>
      <c r="M158" s="108" t="str">
        <f>IF('(4).Midterm Results'!F158=0,"",'(4).Midterm Results'!F158)</f>
        <v/>
      </c>
      <c r="N158" s="108" t="str">
        <f>IF('(4).Midterm Results'!G158=0,"",'(4).Midterm Results'!G158)</f>
        <v/>
      </c>
      <c r="O158" s="108" t="str">
        <f>IF('(4).Midterm Results'!H158=0,"",'(4).Midterm Results'!H158)</f>
        <v/>
      </c>
      <c r="P158" s="108" t="str">
        <f>IF('(4).Midterm Results'!I158=0,"",'(4).Midterm Results'!I158)</f>
        <v/>
      </c>
      <c r="Q158" s="108" t="str">
        <f>IF('(4).Midterm Results'!J158=0,"",'(4).Midterm Results'!J158)</f>
        <v/>
      </c>
      <c r="R158" s="108" t="str">
        <f>IF('(4).Midterm Results'!K158=0,"",'(4).Midterm Results'!K158)</f>
        <v/>
      </c>
      <c r="S158" s="108" t="str">
        <f>IF('(4).Midterm Results'!L158=0,"",'(4).Midterm Results'!L158)</f>
        <v/>
      </c>
      <c r="T158" s="108" t="str">
        <f>IF('(4).Midterm Results'!M158=0,"",'(4).Midterm Results'!M158)</f>
        <v/>
      </c>
      <c r="U158" s="108" t="str">
        <f>IF('(4).Midterm Results'!N158=0,"",'(4).Midterm Results'!N158)</f>
        <v/>
      </c>
      <c r="V158" s="108" t="str">
        <f>IF('(4).Midterm Results'!O158=0,"",'(4).Midterm Results'!O158)</f>
        <v/>
      </c>
    </row>
    <row r="159" spans="1:22" ht="12.4" customHeight="1">
      <c r="A159" s="246"/>
      <c r="B159" s="242" t="s">
        <v>132</v>
      </c>
      <c r="C159" s="133" t="str" cm="1">
        <f t="array" ref="C159:C168">TRANSPOSE($L$5:$U$5)</f>
        <v>Up-Low C</v>
      </c>
      <c r="D159" s="134">
        <v>10</v>
      </c>
      <c r="E159" s="135">
        <v>9</v>
      </c>
      <c r="F159" s="136" t="str">
        <f t="shared" ref="F159:F169" si="9">IF(E159="","",IF(E159&lt;D159*60%,"Try harder",""))</f>
        <v/>
      </c>
      <c r="H159" s="108">
        <f>IF('(4).Midterm Results'!A159=0,"",'(4).Midterm Results'!A159)</f>
        <v>9</v>
      </c>
      <c r="I159" s="108" t="str">
        <f>IF('(4).Midterm Results'!B159=0,"",'(4).Midterm Results'!B159)</f>
        <v/>
      </c>
      <c r="J159" s="108" t="str">
        <f>IF('(4).Midterm Results'!C159=0,"",'(4).Midterm Results'!C159)</f>
        <v/>
      </c>
      <c r="K159" s="108" t="str">
        <f>IF('(4).Midterm Results'!D159=0,"",'(4).Midterm Results'!D159)</f>
        <v/>
      </c>
      <c r="L159" s="108" t="str">
        <f>IF('(4).Midterm Results'!E159=0,"",'(4).Midterm Results'!E159)</f>
        <v/>
      </c>
      <c r="M159" s="108" t="str">
        <f>IF('(4).Midterm Results'!F159=0,"",'(4).Midterm Results'!F159)</f>
        <v/>
      </c>
      <c r="N159" s="108" t="str">
        <f>IF('(4).Midterm Results'!G159=0,"",'(4).Midterm Results'!G159)</f>
        <v/>
      </c>
      <c r="O159" s="108" t="str">
        <f>IF('(4).Midterm Results'!H159=0,"",'(4).Midterm Results'!H159)</f>
        <v/>
      </c>
      <c r="P159" s="108" t="str">
        <f>IF('(4).Midterm Results'!I159=0,"",'(4).Midterm Results'!I159)</f>
        <v/>
      </c>
      <c r="Q159" s="108" t="str">
        <f>IF('(4).Midterm Results'!J159=0,"",'(4).Midterm Results'!J159)</f>
        <v/>
      </c>
      <c r="R159" s="108" t="str">
        <f>IF('(4).Midterm Results'!K159=0,"",'(4).Midterm Results'!K159)</f>
        <v/>
      </c>
      <c r="S159" s="108" t="str">
        <f>IF('(4).Midterm Results'!L159=0,"",'(4).Midterm Results'!L159)</f>
        <v/>
      </c>
      <c r="T159" s="108" t="str">
        <f>IF('(4).Midterm Results'!M159=0,"",'(4).Midterm Results'!M159)</f>
        <v/>
      </c>
      <c r="U159" s="108" t="str">
        <f>IF('(4).Midterm Results'!N159=0,"",'(4).Midterm Results'!N159)</f>
        <v/>
      </c>
      <c r="V159" s="108" t="str">
        <f>IF('(4).Midterm Results'!O159=0,"",'(4).Midterm Results'!O159)</f>
        <v/>
      </c>
    </row>
    <row r="160" spans="1:22" ht="12.4" customHeight="1">
      <c r="A160" s="246"/>
      <c r="B160" s="243"/>
      <c r="C160" s="137" t="str">
        <v>Alphabet N</v>
      </c>
      <c r="D160" s="138">
        <v>10</v>
      </c>
      <c r="E160" s="139">
        <v>9.5</v>
      </c>
      <c r="F160" s="140" t="str">
        <f t="shared" si="9"/>
        <v/>
      </c>
      <c r="H160" s="108">
        <f>IF('(4).Midterm Results'!A160=0,"",'(4).Midterm Results'!A160)</f>
        <v>10</v>
      </c>
      <c r="I160" s="108" t="str">
        <f>IF('(4).Midterm Results'!B160=0,"",'(4).Midterm Results'!B160)</f>
        <v/>
      </c>
      <c r="J160" s="108" t="str">
        <f>IF('(4).Midterm Results'!C160=0,"",'(4).Midterm Results'!C160)</f>
        <v/>
      </c>
      <c r="K160" s="108" t="str">
        <f>IF('(4).Midterm Results'!D160=0,"",'(4).Midterm Results'!D160)</f>
        <v/>
      </c>
      <c r="L160" s="108" t="str">
        <f>IF('(4).Midterm Results'!E160=0,"",'(4).Midterm Results'!E160)</f>
        <v/>
      </c>
      <c r="M160" s="108" t="str">
        <f>IF('(4).Midterm Results'!F160=0,"",'(4).Midterm Results'!F160)</f>
        <v/>
      </c>
      <c r="N160" s="108" t="str">
        <f>IF('(4).Midterm Results'!G160=0,"",'(4).Midterm Results'!G160)</f>
        <v/>
      </c>
      <c r="O160" s="108" t="str">
        <f>IF('(4).Midterm Results'!H160=0,"",'(4).Midterm Results'!H160)</f>
        <v/>
      </c>
      <c r="P160" s="108" t="str">
        <f>IF('(4).Midterm Results'!I160=0,"",'(4).Midterm Results'!I160)</f>
        <v/>
      </c>
      <c r="Q160" s="108" t="str">
        <f>IF('(4).Midterm Results'!J160=0,"",'(4).Midterm Results'!J160)</f>
        <v/>
      </c>
      <c r="R160" s="108" t="str">
        <f>IF('(4).Midterm Results'!K160=0,"",'(4).Midterm Results'!K160)</f>
        <v/>
      </c>
      <c r="S160" s="108" t="str">
        <f>IF('(4).Midterm Results'!L160=0,"",'(4).Midterm Results'!L160)</f>
        <v/>
      </c>
      <c r="T160" s="108" t="str">
        <f>IF('(4).Midterm Results'!M160=0,"",'(4).Midterm Results'!M160)</f>
        <v/>
      </c>
      <c r="U160" s="108" t="str">
        <f>IF('(4).Midterm Results'!N160=0,"",'(4).Midterm Results'!N160)</f>
        <v/>
      </c>
      <c r="V160" s="108" t="str">
        <f>IF('(4).Midterm Results'!O160=0,"",'(4).Midterm Results'!O160)</f>
        <v/>
      </c>
    </row>
    <row r="161" spans="1:22" ht="12.4" customHeight="1">
      <c r="A161" s="246"/>
      <c r="B161" s="243"/>
      <c r="C161" s="137" t="str">
        <v>Alphabet S</v>
      </c>
      <c r="D161" s="138">
        <v>10</v>
      </c>
      <c r="E161" s="139">
        <v>10</v>
      </c>
      <c r="F161" s="140" t="str">
        <f t="shared" si="9"/>
        <v/>
      </c>
      <c r="H161" s="108">
        <f>IF('(4).Midterm Results'!A161=0,"",'(4).Midterm Results'!A161)</f>
        <v>11</v>
      </c>
      <c r="I161" s="108" t="str">
        <f>IF('(4).Midterm Results'!B161=0,"",'(4).Midterm Results'!B161)</f>
        <v/>
      </c>
      <c r="J161" s="108" t="str">
        <f>IF('(4).Midterm Results'!C161=0,"",'(4).Midterm Results'!C161)</f>
        <v/>
      </c>
      <c r="K161" s="108" t="str">
        <f>IF('(4).Midterm Results'!D161=0,"",'(4).Midterm Results'!D161)</f>
        <v/>
      </c>
      <c r="L161" s="108" t="str">
        <f>IF('(4).Midterm Results'!E161=0,"",'(4).Midterm Results'!E161)</f>
        <v/>
      </c>
      <c r="M161" s="108" t="str">
        <f>IF('(4).Midterm Results'!F161=0,"",'(4).Midterm Results'!F161)</f>
        <v/>
      </c>
      <c r="N161" s="108" t="str">
        <f>IF('(4).Midterm Results'!G161=0,"",'(4).Midterm Results'!G161)</f>
        <v/>
      </c>
      <c r="O161" s="108" t="str">
        <f>IF('(4).Midterm Results'!H161=0,"",'(4).Midterm Results'!H161)</f>
        <v/>
      </c>
      <c r="P161" s="108" t="str">
        <f>IF('(4).Midterm Results'!I161=0,"",'(4).Midterm Results'!I161)</f>
        <v/>
      </c>
      <c r="Q161" s="108" t="str">
        <f>IF('(4).Midterm Results'!J161=0,"",'(4).Midterm Results'!J161)</f>
        <v/>
      </c>
      <c r="R161" s="108" t="str">
        <f>IF('(4).Midterm Results'!K161=0,"",'(4).Midterm Results'!K161)</f>
        <v/>
      </c>
      <c r="S161" s="108" t="str">
        <f>IF('(4).Midterm Results'!L161=0,"",'(4).Midterm Results'!L161)</f>
        <v/>
      </c>
      <c r="T161" s="108" t="str">
        <f>IF('(4).Midterm Results'!M161=0,"",'(4).Midterm Results'!M161)</f>
        <v/>
      </c>
      <c r="U161" s="108" t="str">
        <f>IF('(4).Midterm Results'!N161=0,"",'(4).Midterm Results'!N161)</f>
        <v/>
      </c>
      <c r="V161" s="108" t="str">
        <f>IF('(4).Midterm Results'!O161=0,"",'(4).Midterm Results'!O161)</f>
        <v/>
      </c>
    </row>
    <row r="162" spans="1:22" ht="12.4" customHeight="1">
      <c r="A162" s="246"/>
      <c r="B162" s="243"/>
      <c r="C162" s="137" t="str">
        <v>Vocabulary</v>
      </c>
      <c r="D162" s="138">
        <v>10</v>
      </c>
      <c r="E162" s="139">
        <v>10</v>
      </c>
      <c r="F162" s="140" t="str">
        <f t="shared" si="9"/>
        <v/>
      </c>
      <c r="H162" s="108">
        <f>IF('(4).Midterm Results'!A162=0,"",'(4).Midterm Results'!A162)</f>
        <v>12</v>
      </c>
      <c r="I162" s="108" t="str">
        <f>IF('(4).Midterm Results'!B162=0,"",'(4).Midterm Results'!B162)</f>
        <v/>
      </c>
      <c r="J162" s="108" t="str">
        <f>IF('(4).Midterm Results'!C162=0,"",'(4).Midterm Results'!C162)</f>
        <v/>
      </c>
      <c r="K162" s="108" t="str">
        <f>IF('(4).Midterm Results'!D162=0,"",'(4).Midterm Results'!D162)</f>
        <v/>
      </c>
      <c r="L162" s="108" t="str">
        <f>IF('(4).Midterm Results'!E162=0,"",'(4).Midterm Results'!E162)</f>
        <v/>
      </c>
      <c r="M162" s="108" t="str">
        <f>IF('(4).Midterm Results'!F162=0,"",'(4).Midterm Results'!F162)</f>
        <v/>
      </c>
      <c r="N162" s="108" t="str">
        <f>IF('(4).Midterm Results'!G162=0,"",'(4).Midterm Results'!G162)</f>
        <v/>
      </c>
      <c r="O162" s="108" t="str">
        <f>IF('(4).Midterm Results'!H162=0,"",'(4).Midterm Results'!H162)</f>
        <v/>
      </c>
      <c r="P162" s="108" t="str">
        <f>IF('(4).Midterm Results'!I162=0,"",'(4).Midterm Results'!I162)</f>
        <v/>
      </c>
      <c r="Q162" s="108" t="str">
        <f>IF('(4).Midterm Results'!J162=0,"",'(4).Midterm Results'!J162)</f>
        <v/>
      </c>
      <c r="R162" s="108" t="str">
        <f>IF('(4).Midterm Results'!K162=0,"",'(4).Midterm Results'!K162)</f>
        <v/>
      </c>
      <c r="S162" s="108" t="str">
        <f>IF('(4).Midterm Results'!L162=0,"",'(4).Midterm Results'!L162)</f>
        <v/>
      </c>
      <c r="T162" s="108" t="str">
        <f>IF('(4).Midterm Results'!M162=0,"",'(4).Midterm Results'!M162)</f>
        <v/>
      </c>
      <c r="U162" s="108" t="str">
        <f>IF('(4).Midterm Results'!N162=0,"",'(4).Midterm Results'!N162)</f>
        <v/>
      </c>
      <c r="V162" s="108" t="str">
        <f>IF('(4).Midterm Results'!O162=0,"",'(4).Midterm Results'!O162)</f>
        <v/>
      </c>
    </row>
    <row r="163" spans="1:22" ht="12.4" customHeight="1">
      <c r="A163" s="247" t="s">
        <v>131</v>
      </c>
      <c r="B163" s="243"/>
      <c r="C163" s="137" t="str">
        <v>Sprouts</v>
      </c>
      <c r="D163" s="138">
        <v>10</v>
      </c>
      <c r="E163" s="139">
        <v>10</v>
      </c>
      <c r="F163" s="140" t="str">
        <f t="shared" si="9"/>
        <v/>
      </c>
      <c r="H163" s="108">
        <f>IF('(4).Midterm Results'!A163=0,"",'(4).Midterm Results'!A163)</f>
        <v>13</v>
      </c>
      <c r="I163" s="108" t="str">
        <f>IF('(4).Midterm Results'!B163=0,"",'(4).Midterm Results'!B163)</f>
        <v/>
      </c>
      <c r="J163" s="108" t="str">
        <f>IF('(4).Midterm Results'!C163=0,"",'(4).Midterm Results'!C163)</f>
        <v/>
      </c>
      <c r="K163" s="108" t="str">
        <f>IF('(4).Midterm Results'!D163=0,"",'(4).Midterm Results'!D163)</f>
        <v/>
      </c>
      <c r="L163" s="108" t="str">
        <f>IF('(4).Midterm Results'!E163=0,"",'(4).Midterm Results'!E163)</f>
        <v/>
      </c>
      <c r="M163" s="108" t="str">
        <f>IF('(4).Midterm Results'!F163=0,"",'(4).Midterm Results'!F163)</f>
        <v/>
      </c>
      <c r="N163" s="108" t="str">
        <f>IF('(4).Midterm Results'!G163=0,"",'(4).Midterm Results'!G163)</f>
        <v/>
      </c>
      <c r="O163" s="108" t="str">
        <f>IF('(4).Midterm Results'!H163=0,"",'(4).Midterm Results'!H163)</f>
        <v/>
      </c>
      <c r="P163" s="108" t="str">
        <f>IF('(4).Midterm Results'!I163=0,"",'(4).Midterm Results'!I163)</f>
        <v/>
      </c>
      <c r="Q163" s="108" t="str">
        <f>IF('(4).Midterm Results'!J163=0,"",'(4).Midterm Results'!J163)</f>
        <v/>
      </c>
      <c r="R163" s="108" t="str">
        <f>IF('(4).Midterm Results'!K163=0,"",'(4).Midterm Results'!K163)</f>
        <v/>
      </c>
      <c r="S163" s="108" t="str">
        <f>IF('(4).Midterm Results'!L163=0,"",'(4).Midterm Results'!L163)</f>
        <v/>
      </c>
      <c r="T163" s="108" t="str">
        <f>IF('(4).Midterm Results'!M163=0,"",'(4).Midterm Results'!M163)</f>
        <v/>
      </c>
      <c r="U163" s="108" t="str">
        <f>IF('(4).Midterm Results'!N163=0,"",'(4).Midterm Results'!N163)</f>
        <v/>
      </c>
      <c r="V163" s="108" t="str">
        <f>IF('(4).Midterm Results'!O163=0,"",'(4).Midterm Results'!O163)</f>
        <v/>
      </c>
    </row>
    <row r="164" spans="1:22" ht="12.4" customHeight="1">
      <c r="A164" s="247"/>
      <c r="B164" s="243"/>
      <c r="C164" s="137" t="str">
        <v>Phonics</v>
      </c>
      <c r="D164" s="138">
        <v>10</v>
      </c>
      <c r="E164" s="139">
        <v>10</v>
      </c>
      <c r="F164" s="140" t="str">
        <f t="shared" si="9"/>
        <v/>
      </c>
      <c r="H164" s="108">
        <f>IF('(4).Midterm Results'!A164=0,"",'(4).Midterm Results'!A164)</f>
        <v>14</v>
      </c>
      <c r="I164" s="108" t="str">
        <f>IF('(4).Midterm Results'!B164=0,"",'(4).Midterm Results'!B164)</f>
        <v/>
      </c>
      <c r="J164" s="108" t="str">
        <f>IF('(4).Midterm Results'!C164=0,"",'(4).Midterm Results'!C164)</f>
        <v/>
      </c>
      <c r="K164" s="108" t="str">
        <f>IF('(4).Midterm Results'!D164=0,"",'(4).Midterm Results'!D164)</f>
        <v/>
      </c>
      <c r="L164" s="108" t="str">
        <f>IF('(4).Midterm Results'!E164=0,"",'(4).Midterm Results'!E164)</f>
        <v/>
      </c>
      <c r="M164" s="108" t="str">
        <f>IF('(4).Midterm Results'!F164=0,"",'(4).Midterm Results'!F164)</f>
        <v/>
      </c>
      <c r="N164" s="108" t="str">
        <f>IF('(4).Midterm Results'!G164=0,"",'(4).Midterm Results'!G164)</f>
        <v/>
      </c>
      <c r="O164" s="108" t="str">
        <f>IF('(4).Midterm Results'!H164=0,"",'(4).Midterm Results'!H164)</f>
        <v/>
      </c>
      <c r="P164" s="108" t="str">
        <f>IF('(4).Midterm Results'!I164=0,"",'(4).Midterm Results'!I164)</f>
        <v/>
      </c>
      <c r="Q164" s="108" t="str">
        <f>IF('(4).Midterm Results'!J164=0,"",'(4).Midterm Results'!J164)</f>
        <v/>
      </c>
      <c r="R164" s="108" t="str">
        <f>IF('(4).Midterm Results'!K164=0,"",'(4).Midterm Results'!K164)</f>
        <v/>
      </c>
      <c r="S164" s="108" t="str">
        <f>IF('(4).Midterm Results'!L164=0,"",'(4).Midterm Results'!L164)</f>
        <v/>
      </c>
      <c r="T164" s="108" t="str">
        <f>IF('(4).Midterm Results'!M164=0,"",'(4).Midterm Results'!M164)</f>
        <v/>
      </c>
      <c r="U164" s="108" t="str">
        <f>IF('(4).Midterm Results'!N164=0,"",'(4).Midterm Results'!N164)</f>
        <v/>
      </c>
      <c r="V164" s="108" t="str">
        <f>IF('(4).Midterm Results'!O164=0,"",'(4).Midterm Results'!O164)</f>
        <v/>
      </c>
    </row>
    <row r="165" spans="1:22" ht="12.4" customHeight="1">
      <c r="A165" s="247"/>
      <c r="B165" s="243"/>
      <c r="C165" s="137" t="str">
        <v>Math</v>
      </c>
      <c r="D165" s="138">
        <v>10</v>
      </c>
      <c r="E165" s="139">
        <v>10</v>
      </c>
      <c r="F165" s="140" t="str">
        <f t="shared" si="9"/>
        <v/>
      </c>
      <c r="H165" s="108">
        <f>IF('(4).Midterm Results'!A165=0,"",'(4).Midterm Results'!A165)</f>
        <v>15</v>
      </c>
      <c r="I165" s="108" t="str">
        <f>IF('(4).Midterm Results'!B165=0,"",'(4).Midterm Results'!B165)</f>
        <v/>
      </c>
      <c r="J165" s="108" t="str">
        <f>IF('(4).Midterm Results'!C165=0,"",'(4).Midterm Results'!C165)</f>
        <v/>
      </c>
      <c r="K165" s="108" t="str">
        <f>IF('(4).Midterm Results'!D165=0,"",'(4).Midterm Results'!D165)</f>
        <v/>
      </c>
      <c r="L165" s="108" t="str">
        <f>IF('(4).Midterm Results'!E165=0,"",'(4).Midterm Results'!E165)</f>
        <v/>
      </c>
      <c r="M165" s="108" t="str">
        <f>IF('(4).Midterm Results'!F165=0,"",'(4).Midterm Results'!F165)</f>
        <v/>
      </c>
      <c r="N165" s="108" t="str">
        <f>IF('(4).Midterm Results'!G165=0,"",'(4).Midterm Results'!G165)</f>
        <v/>
      </c>
      <c r="O165" s="108" t="str">
        <f>IF('(4).Midterm Results'!H165=0,"",'(4).Midterm Results'!H165)</f>
        <v/>
      </c>
      <c r="P165" s="108" t="str">
        <f>IF('(4).Midterm Results'!I165=0,"",'(4).Midterm Results'!I165)</f>
        <v/>
      </c>
      <c r="Q165" s="108" t="str">
        <f>IF('(4).Midterm Results'!J165=0,"",'(4).Midterm Results'!J165)</f>
        <v/>
      </c>
      <c r="R165" s="108" t="str">
        <f>IF('(4).Midterm Results'!K165=0,"",'(4).Midterm Results'!K165)</f>
        <v/>
      </c>
      <c r="S165" s="108" t="str">
        <f>IF('(4).Midterm Results'!L165=0,"",'(4).Midterm Results'!L165)</f>
        <v/>
      </c>
      <c r="T165" s="108" t="str">
        <f>IF('(4).Midterm Results'!M165=0,"",'(4).Midterm Results'!M165)</f>
        <v/>
      </c>
      <c r="U165" s="108" t="str">
        <f>IF('(4).Midterm Results'!N165=0,"",'(4).Midterm Results'!N165)</f>
        <v/>
      </c>
      <c r="V165" s="108" t="str">
        <f>IF('(4).Midterm Results'!O165=0,"",'(4).Midterm Results'!O165)</f>
        <v/>
      </c>
    </row>
    <row r="166" spans="1:22" ht="12.4" customHeight="1">
      <c r="A166" s="247"/>
      <c r="B166" s="243"/>
      <c r="C166" s="137" t="str">
        <v>Shape</v>
      </c>
      <c r="D166" s="138">
        <v>10</v>
      </c>
      <c r="E166" s="139">
        <v>10</v>
      </c>
      <c r="F166" s="140" t="str">
        <f t="shared" si="9"/>
        <v/>
      </c>
      <c r="H166" s="108">
        <f>IF('(4).Midterm Results'!A166=0,"",'(4).Midterm Results'!A166)</f>
        <v>16</v>
      </c>
      <c r="I166" s="108" t="str">
        <f>IF('(4).Midterm Results'!B166=0,"",'(4).Midterm Results'!B166)</f>
        <v/>
      </c>
      <c r="J166" s="108" t="str">
        <f>IF('(4).Midterm Results'!C166=0,"",'(4).Midterm Results'!C166)</f>
        <v/>
      </c>
      <c r="K166" s="108" t="str">
        <f>IF('(4).Midterm Results'!D166=0,"",'(4).Midterm Results'!D166)</f>
        <v/>
      </c>
      <c r="L166" s="108" t="str">
        <f>IF('(4).Midterm Results'!E166=0,"",'(4).Midterm Results'!E166)</f>
        <v/>
      </c>
      <c r="M166" s="108" t="str">
        <f>IF('(4).Midterm Results'!F166=0,"",'(4).Midterm Results'!F166)</f>
        <v/>
      </c>
      <c r="N166" s="108" t="str">
        <f>IF('(4).Midterm Results'!G166=0,"",'(4).Midterm Results'!G166)</f>
        <v/>
      </c>
      <c r="O166" s="108" t="str">
        <f>IF('(4).Midterm Results'!H166=0,"",'(4).Midterm Results'!H166)</f>
        <v/>
      </c>
      <c r="P166" s="108" t="str">
        <f>IF('(4).Midterm Results'!I166=0,"",'(4).Midterm Results'!I166)</f>
        <v/>
      </c>
      <c r="Q166" s="108" t="str">
        <f>IF('(4).Midterm Results'!J166=0,"",'(4).Midterm Results'!J166)</f>
        <v/>
      </c>
      <c r="R166" s="108" t="str">
        <f>IF('(4).Midterm Results'!K166=0,"",'(4).Midterm Results'!K166)</f>
        <v/>
      </c>
      <c r="S166" s="108" t="str">
        <f>IF('(4).Midterm Results'!L166=0,"",'(4).Midterm Results'!L166)</f>
        <v/>
      </c>
      <c r="T166" s="108" t="str">
        <f>IF('(4).Midterm Results'!M166=0,"",'(4).Midterm Results'!M166)</f>
        <v/>
      </c>
      <c r="U166" s="108" t="str">
        <f>IF('(4).Midterm Results'!N166=0,"",'(4).Midterm Results'!N166)</f>
        <v/>
      </c>
      <c r="V166" s="108" t="str">
        <f>IF('(4).Midterm Results'!O166=0,"",'(4).Midterm Results'!O166)</f>
        <v/>
      </c>
    </row>
    <row r="167" spans="1:22" ht="12.4" customHeight="1">
      <c r="A167" s="247"/>
      <c r="B167" s="243"/>
      <c r="C167" s="137" t="str">
        <v>Science</v>
      </c>
      <c r="D167" s="138">
        <v>10</v>
      </c>
      <c r="E167" s="139">
        <v>10</v>
      </c>
      <c r="F167" s="140" t="str">
        <f t="shared" si="9"/>
        <v/>
      </c>
      <c r="H167" s="108">
        <f>IF('(4).Midterm Results'!A167=0,"",'(4).Midterm Results'!A167)</f>
        <v>17</v>
      </c>
      <c r="I167" s="108" t="str">
        <f>IF('(4).Midterm Results'!B167=0,"",'(4).Midterm Results'!B167)</f>
        <v/>
      </c>
      <c r="J167" s="108" t="str">
        <f>IF('(4).Midterm Results'!C167=0,"",'(4).Midterm Results'!C167)</f>
        <v/>
      </c>
      <c r="K167" s="108" t="str">
        <f>IF('(4).Midterm Results'!D167=0,"",'(4).Midterm Results'!D167)</f>
        <v/>
      </c>
      <c r="L167" s="108" t="str">
        <f>IF('(4).Midterm Results'!E167=0,"",'(4).Midterm Results'!E167)</f>
        <v/>
      </c>
      <c r="M167" s="108" t="str">
        <f>IF('(4).Midterm Results'!F167=0,"",'(4).Midterm Results'!F167)</f>
        <v/>
      </c>
      <c r="N167" s="108" t="str">
        <f>IF('(4).Midterm Results'!G167=0,"",'(4).Midterm Results'!G167)</f>
        <v/>
      </c>
      <c r="O167" s="108" t="str">
        <f>IF('(4).Midterm Results'!H167=0,"",'(4).Midterm Results'!H167)</f>
        <v/>
      </c>
      <c r="P167" s="108" t="str">
        <f>IF('(4).Midterm Results'!I167=0,"",'(4).Midterm Results'!I167)</f>
        <v/>
      </c>
      <c r="Q167" s="108" t="str">
        <f>IF('(4).Midterm Results'!J167=0,"",'(4).Midterm Results'!J167)</f>
        <v/>
      </c>
      <c r="R167" s="108" t="str">
        <f>IF('(4).Midterm Results'!K167=0,"",'(4).Midterm Results'!K167)</f>
        <v/>
      </c>
      <c r="S167" s="108" t="str">
        <f>IF('(4).Midterm Results'!L167=0,"",'(4).Midterm Results'!L167)</f>
        <v/>
      </c>
      <c r="T167" s="108" t="str">
        <f>IF('(4).Midterm Results'!M167=0,"",'(4).Midterm Results'!M167)</f>
        <v/>
      </c>
      <c r="U167" s="108" t="str">
        <f>IF('(4).Midterm Results'!N167=0,"",'(4).Midterm Results'!N167)</f>
        <v/>
      </c>
      <c r="V167" s="108" t="str">
        <f>IF('(4).Midterm Results'!O167=0,"",'(4).Midterm Results'!O167)</f>
        <v/>
      </c>
    </row>
    <row r="168" spans="1:22" ht="12.4" customHeight="1">
      <c r="A168" s="247"/>
      <c r="B168" s="244"/>
      <c r="C168" s="141" t="str">
        <v>Tracing</v>
      </c>
      <c r="D168" s="142">
        <v>10</v>
      </c>
      <c r="E168" s="143">
        <v>9</v>
      </c>
      <c r="F168" s="144" t="str">
        <f t="shared" si="9"/>
        <v/>
      </c>
      <c r="H168" s="108">
        <f>IF('(4).Midterm Results'!A168=0,"",'(4).Midterm Results'!A168)</f>
        <v>18</v>
      </c>
      <c r="I168" s="108" t="str">
        <f>IF('(4).Midterm Results'!B168=0,"",'(4).Midterm Results'!B168)</f>
        <v/>
      </c>
      <c r="J168" s="108" t="str">
        <f>IF('(4).Midterm Results'!C168=0,"",'(4).Midterm Results'!C168)</f>
        <v/>
      </c>
      <c r="K168" s="108" t="str">
        <f>IF('(4).Midterm Results'!D168=0,"",'(4).Midterm Results'!D168)</f>
        <v/>
      </c>
      <c r="L168" s="108" t="str">
        <f>IF('(4).Midterm Results'!E168=0,"",'(4).Midterm Results'!E168)</f>
        <v/>
      </c>
      <c r="M168" s="108" t="str">
        <f>IF('(4).Midterm Results'!F168=0,"",'(4).Midterm Results'!F168)</f>
        <v/>
      </c>
      <c r="N168" s="108" t="str">
        <f>IF('(4).Midterm Results'!G168=0,"",'(4).Midterm Results'!G168)</f>
        <v/>
      </c>
      <c r="O168" s="108" t="str">
        <f>IF('(4).Midterm Results'!H168=0,"",'(4).Midterm Results'!H168)</f>
        <v/>
      </c>
      <c r="P168" s="108" t="str">
        <f>IF('(4).Midterm Results'!I168=0,"",'(4).Midterm Results'!I168)</f>
        <v/>
      </c>
      <c r="Q168" s="108" t="str">
        <f>IF('(4).Midterm Results'!J168=0,"",'(4).Midterm Results'!J168)</f>
        <v/>
      </c>
      <c r="R168" s="108" t="str">
        <f>IF('(4).Midterm Results'!K168=0,"",'(4).Midterm Results'!K168)</f>
        <v/>
      </c>
      <c r="S168" s="108" t="str">
        <f>IF('(4).Midterm Results'!L168=0,"",'(4).Midterm Results'!L168)</f>
        <v/>
      </c>
      <c r="T168" s="108" t="str">
        <f>IF('(4).Midterm Results'!M168=0,"",'(4).Midterm Results'!M168)</f>
        <v/>
      </c>
      <c r="U168" s="108" t="str">
        <f>IF('(4).Midterm Results'!N168=0,"",'(4).Midterm Results'!N168)</f>
        <v/>
      </c>
      <c r="V168" s="108" t="str">
        <f>IF('(4).Midterm Results'!O168=0,"",'(4).Midterm Results'!O168)</f>
        <v/>
      </c>
    </row>
    <row r="169" spans="1:22" ht="12.4" customHeight="1">
      <c r="A169" s="248"/>
      <c r="B169" s="240" t="s">
        <v>133</v>
      </c>
      <c r="C169" s="241"/>
      <c r="D169" s="103">
        <f>D158*20%+SUM(D159:D168)*80%</f>
        <v>100</v>
      </c>
      <c r="E169" s="110">
        <v>96.7</v>
      </c>
      <c r="F169" s="104" t="str">
        <f t="shared" si="9"/>
        <v/>
      </c>
      <c r="H169" s="108">
        <f>IF('(4).Midterm Results'!A169=0,"",'(4).Midterm Results'!A169)</f>
        <v>19</v>
      </c>
      <c r="I169" s="108" t="str">
        <f>IF('(4).Midterm Results'!B169=0,"",'(4).Midterm Results'!B169)</f>
        <v/>
      </c>
      <c r="J169" s="108" t="str">
        <f>IF('(4).Midterm Results'!C169=0,"",'(4).Midterm Results'!C169)</f>
        <v/>
      </c>
      <c r="K169" s="108" t="str">
        <f>IF('(4).Midterm Results'!D169=0,"",'(4).Midterm Results'!D169)</f>
        <v/>
      </c>
      <c r="L169" s="108" t="str">
        <f>IF('(4).Midterm Results'!E169=0,"",'(4).Midterm Results'!E169)</f>
        <v/>
      </c>
      <c r="M169" s="108" t="str">
        <f>IF('(4).Midterm Results'!F169=0,"",'(4).Midterm Results'!F169)</f>
        <v/>
      </c>
      <c r="N169" s="108" t="str">
        <f>IF('(4).Midterm Results'!G169=0,"",'(4).Midterm Results'!G169)</f>
        <v/>
      </c>
      <c r="O169" s="108" t="str">
        <f>IF('(4).Midterm Results'!H169=0,"",'(4).Midterm Results'!H169)</f>
        <v/>
      </c>
      <c r="P169" s="108" t="str">
        <f>IF('(4).Midterm Results'!I169=0,"",'(4).Midterm Results'!I169)</f>
        <v/>
      </c>
      <c r="Q169" s="108" t="str">
        <f>IF('(4).Midterm Results'!J169=0,"",'(4).Midterm Results'!J169)</f>
        <v/>
      </c>
      <c r="R169" s="108" t="str">
        <f>IF('(4).Midterm Results'!K169=0,"",'(4).Midterm Results'!K169)</f>
        <v/>
      </c>
      <c r="S169" s="108" t="str">
        <f>IF('(4).Midterm Results'!L169=0,"",'(4).Midterm Results'!L169)</f>
        <v/>
      </c>
      <c r="T169" s="108" t="str">
        <f>IF('(4).Midterm Results'!M169=0,"",'(4).Midterm Results'!M169)</f>
        <v/>
      </c>
      <c r="U169" s="108" t="str">
        <f>IF('(4).Midterm Results'!N169=0,"",'(4).Midterm Results'!N169)</f>
        <v/>
      </c>
      <c r="V169" s="108" t="str">
        <f>IF('(4).Midterm Results'!O169=0,"",'(4).Midterm Results'!O169)</f>
        <v/>
      </c>
    </row>
    <row r="170" spans="1:22" ht="12.4" customHeight="1">
      <c r="H170" s="108">
        <f>IF('(4).Midterm Results'!A170=0,"",'(4).Midterm Results'!A170)</f>
        <v>20</v>
      </c>
      <c r="I170" s="108" t="str">
        <f>IF('(4).Midterm Results'!B170=0,"",'(4).Midterm Results'!B170)</f>
        <v/>
      </c>
      <c r="J170" s="108" t="str">
        <f>IF('(4).Midterm Results'!C170=0,"",'(4).Midterm Results'!C170)</f>
        <v/>
      </c>
      <c r="K170" s="108" t="str">
        <f>IF('(4).Midterm Results'!D170=0,"",'(4).Midterm Results'!D170)</f>
        <v/>
      </c>
      <c r="L170" s="108" t="str">
        <f>IF('(4).Midterm Results'!E170=0,"",'(4).Midterm Results'!E170)</f>
        <v/>
      </c>
      <c r="M170" s="108" t="str">
        <f>IF('(4).Midterm Results'!F170=0,"",'(4).Midterm Results'!F170)</f>
        <v/>
      </c>
      <c r="N170" s="108" t="str">
        <f>IF('(4).Midterm Results'!G170=0,"",'(4).Midterm Results'!G170)</f>
        <v/>
      </c>
      <c r="O170" s="108" t="str">
        <f>IF('(4).Midterm Results'!H170=0,"",'(4).Midterm Results'!H170)</f>
        <v/>
      </c>
      <c r="P170" s="108" t="str">
        <f>IF('(4).Midterm Results'!I170=0,"",'(4).Midterm Results'!I170)</f>
        <v/>
      </c>
      <c r="Q170" s="108" t="str">
        <f>IF('(4).Midterm Results'!J170=0,"",'(4).Midterm Results'!J170)</f>
        <v/>
      </c>
      <c r="R170" s="108" t="str">
        <f>IF('(4).Midterm Results'!K170=0,"",'(4).Midterm Results'!K170)</f>
        <v/>
      </c>
      <c r="S170" s="108" t="str">
        <f>IF('(4).Midterm Results'!L170=0,"",'(4).Midterm Results'!L170)</f>
        <v/>
      </c>
      <c r="T170" s="108" t="str">
        <f>IF('(4).Midterm Results'!M170=0,"",'(4).Midterm Results'!M170)</f>
        <v/>
      </c>
      <c r="U170" s="108" t="str">
        <f>IF('(4).Midterm Results'!N170=0,"",'(4).Midterm Results'!N170)</f>
        <v/>
      </c>
      <c r="V170" s="108" t="str">
        <f>IF('(4).Midterm Results'!O170=0,"",'(4).Midterm Results'!O170)</f>
        <v/>
      </c>
    </row>
    <row r="171" spans="1:22" ht="12.4" customHeight="1">
      <c r="A171" s="230" t="s">
        <v>121</v>
      </c>
      <c r="B171" s="231"/>
      <c r="C171" s="231"/>
      <c r="D171" s="107" t="s">
        <v>123</v>
      </c>
      <c r="E171" s="232" t="str">
        <f>I17</f>
        <v>Lot Vichheka</v>
      </c>
      <c r="F171" s="233"/>
      <c r="G171" s="101">
        <v>17</v>
      </c>
      <c r="H171" s="108">
        <f>IF('(4).Midterm Results'!A171=0,"",'(4).Midterm Results'!A171)</f>
        <v>21</v>
      </c>
      <c r="I171" s="108" t="str">
        <f>IF('(4).Midterm Results'!B171=0,"",'(4).Midterm Results'!B171)</f>
        <v/>
      </c>
      <c r="J171" s="108" t="str">
        <f>IF('(4).Midterm Results'!C171=0,"",'(4).Midterm Results'!C171)</f>
        <v/>
      </c>
      <c r="K171" s="108" t="str">
        <f>IF('(4).Midterm Results'!D171=0,"",'(4).Midterm Results'!D171)</f>
        <v/>
      </c>
      <c r="L171" s="108" t="str">
        <f>IF('(4).Midterm Results'!E171=0,"",'(4).Midterm Results'!E171)</f>
        <v/>
      </c>
      <c r="M171" s="108" t="str">
        <f>IF('(4).Midterm Results'!F171=0,"",'(4).Midterm Results'!F171)</f>
        <v/>
      </c>
      <c r="N171" s="108" t="str">
        <f>IF('(4).Midterm Results'!G171=0,"",'(4).Midterm Results'!G171)</f>
        <v/>
      </c>
      <c r="O171" s="108" t="str">
        <f>IF('(4).Midterm Results'!H171=0,"",'(4).Midterm Results'!H171)</f>
        <v/>
      </c>
      <c r="P171" s="108" t="str">
        <f>IF('(4).Midterm Results'!I171=0,"",'(4).Midterm Results'!I171)</f>
        <v/>
      </c>
      <c r="Q171" s="108" t="str">
        <f>IF('(4).Midterm Results'!J171=0,"",'(4).Midterm Results'!J171)</f>
        <v/>
      </c>
      <c r="R171" s="108" t="str">
        <f>IF('(4).Midterm Results'!K171=0,"",'(4).Midterm Results'!K171)</f>
        <v/>
      </c>
      <c r="S171" s="108" t="str">
        <f>IF('(4).Midterm Results'!L171=0,"",'(4).Midterm Results'!L171)</f>
        <v/>
      </c>
      <c r="T171" s="108" t="str">
        <f>IF('(4).Midterm Results'!M171=0,"",'(4).Midterm Results'!M171)</f>
        <v/>
      </c>
      <c r="U171" s="108" t="str">
        <f>IF('(4).Midterm Results'!N171=0,"",'(4).Midterm Results'!N171)</f>
        <v/>
      </c>
      <c r="V171" s="108" t="str">
        <f>IF('(4).Midterm Results'!O171=0,"",'(4).Midterm Results'!O171)</f>
        <v/>
      </c>
    </row>
    <row r="172" spans="1:22" ht="12.4" customHeight="1">
      <c r="A172" s="105" t="s">
        <v>122</v>
      </c>
      <c r="B172" s="234" t="str">
        <f>$K$2</f>
        <v>FEBRUARY - JULY 2026</v>
      </c>
      <c r="C172" s="234"/>
      <c r="D172" s="106" t="s">
        <v>124</v>
      </c>
      <c r="E172" s="235" t="str">
        <f>$I$2</f>
        <v>K1B</v>
      </c>
      <c r="F172" s="236"/>
      <c r="H172" s="108">
        <f>IF('(4).Midterm Results'!A172=0,"",'(4).Midterm Results'!A172)</f>
        <v>22</v>
      </c>
      <c r="I172" s="108" t="str">
        <f>IF('(4).Midterm Results'!B172=0,"",'(4).Midterm Results'!B172)</f>
        <v/>
      </c>
      <c r="J172" s="108" t="str">
        <f>IF('(4).Midterm Results'!C172=0,"",'(4).Midterm Results'!C172)</f>
        <v/>
      </c>
      <c r="K172" s="108" t="str">
        <f>IF('(4).Midterm Results'!D172=0,"",'(4).Midterm Results'!D172)</f>
        <v/>
      </c>
      <c r="L172" s="108" t="str">
        <f>IF('(4).Midterm Results'!E172=0,"",'(4).Midterm Results'!E172)</f>
        <v/>
      </c>
      <c r="M172" s="108" t="str">
        <f>IF('(4).Midterm Results'!F172=0,"",'(4).Midterm Results'!F172)</f>
        <v/>
      </c>
      <c r="N172" s="108" t="str">
        <f>IF('(4).Midterm Results'!G172=0,"",'(4).Midterm Results'!G172)</f>
        <v/>
      </c>
      <c r="O172" s="108" t="str">
        <f>IF('(4).Midterm Results'!H172=0,"",'(4).Midterm Results'!H172)</f>
        <v/>
      </c>
      <c r="P172" s="108" t="str">
        <f>IF('(4).Midterm Results'!I172=0,"",'(4).Midterm Results'!I172)</f>
        <v/>
      </c>
      <c r="Q172" s="108" t="str">
        <f>IF('(4).Midterm Results'!J172=0,"",'(4).Midterm Results'!J172)</f>
        <v/>
      </c>
      <c r="R172" s="108" t="str">
        <f>IF('(4).Midterm Results'!K172=0,"",'(4).Midterm Results'!K172)</f>
        <v/>
      </c>
      <c r="S172" s="108" t="str">
        <f>IF('(4).Midterm Results'!L172=0,"",'(4).Midterm Results'!L172)</f>
        <v/>
      </c>
      <c r="T172" s="108" t="str">
        <f>IF('(4).Midterm Results'!M172=0,"",'(4).Midterm Results'!M172)</f>
        <v/>
      </c>
      <c r="U172" s="108" t="str">
        <f>IF('(4).Midterm Results'!N172=0,"",'(4).Midterm Results'!N172)</f>
        <v/>
      </c>
      <c r="V172" s="108" t="str">
        <f>IF('(4).Midterm Results'!O172=0,"",'(4).Midterm Results'!O172)</f>
        <v/>
      </c>
    </row>
    <row r="173" spans="1:22" ht="12.4" customHeight="1">
      <c r="A173" s="237" t="s">
        <v>130</v>
      </c>
      <c r="B173" s="238"/>
      <c r="C173" s="238"/>
      <c r="D173" s="238"/>
      <c r="E173" s="238"/>
      <c r="F173" s="239"/>
      <c r="H173" s="108">
        <f>IF('(4).Midterm Results'!A173=0,"",'(4).Midterm Results'!A173)</f>
        <v>23</v>
      </c>
      <c r="I173" s="108" t="str">
        <f>IF('(4).Midterm Results'!B173=0,"",'(4).Midterm Results'!B173)</f>
        <v/>
      </c>
      <c r="J173" s="108" t="str">
        <f>IF('(4).Midterm Results'!C173=0,"",'(4).Midterm Results'!C173)</f>
        <v/>
      </c>
      <c r="K173" s="108" t="str">
        <f>IF('(4).Midterm Results'!D173=0,"",'(4).Midterm Results'!D173)</f>
        <v/>
      </c>
      <c r="L173" s="108" t="str">
        <f>IF('(4).Midterm Results'!E173=0,"",'(4).Midterm Results'!E173)</f>
        <v/>
      </c>
      <c r="M173" s="108" t="str">
        <f>IF('(4).Midterm Results'!F173=0,"",'(4).Midterm Results'!F173)</f>
        <v/>
      </c>
      <c r="N173" s="108" t="str">
        <f>IF('(4).Midterm Results'!G173=0,"",'(4).Midterm Results'!G173)</f>
        <v/>
      </c>
      <c r="O173" s="108" t="str">
        <f>IF('(4).Midterm Results'!H173=0,"",'(4).Midterm Results'!H173)</f>
        <v/>
      </c>
      <c r="P173" s="108" t="str">
        <f>IF('(4).Midterm Results'!I173=0,"",'(4).Midterm Results'!I173)</f>
        <v/>
      </c>
      <c r="Q173" s="108" t="str">
        <f>IF('(4).Midterm Results'!J173=0,"",'(4).Midterm Results'!J173)</f>
        <v/>
      </c>
      <c r="R173" s="108" t="str">
        <f>IF('(4).Midterm Results'!K173=0,"",'(4).Midterm Results'!K173)</f>
        <v/>
      </c>
      <c r="S173" s="108" t="str">
        <f>IF('(4).Midterm Results'!L173=0,"",'(4).Midterm Results'!L173)</f>
        <v/>
      </c>
      <c r="T173" s="108" t="str">
        <f>IF('(4).Midterm Results'!M173=0,"",'(4).Midterm Results'!M173)</f>
        <v/>
      </c>
      <c r="U173" s="108" t="str">
        <f>IF('(4).Midterm Results'!N173=0,"",'(4).Midterm Results'!N173)</f>
        <v/>
      </c>
      <c r="V173" s="108" t="str">
        <f>IF('(4).Midterm Results'!O173=0,"",'(4).Midterm Results'!O173)</f>
        <v/>
      </c>
    </row>
    <row r="174" spans="1:22" ht="12.4" customHeight="1">
      <c r="A174" s="245" t="s">
        <v>14</v>
      </c>
      <c r="B174" s="240" t="s">
        <v>125</v>
      </c>
      <c r="C174" s="241"/>
      <c r="D174" s="102" t="s">
        <v>126</v>
      </c>
      <c r="E174" s="109" t="s">
        <v>127</v>
      </c>
      <c r="F174" s="102" t="s">
        <v>128</v>
      </c>
      <c r="H174" s="108">
        <f>IF('(4).Midterm Results'!A174=0,"",'(4).Midterm Results'!A174)</f>
        <v>24</v>
      </c>
      <c r="I174" s="108" t="str">
        <f>IF('(4).Midterm Results'!B174=0,"",'(4).Midterm Results'!B174)</f>
        <v/>
      </c>
      <c r="J174" s="108" t="str">
        <f>IF('(4).Midterm Results'!C174=0,"",'(4).Midterm Results'!C174)</f>
        <v/>
      </c>
      <c r="K174" s="108" t="str">
        <f>IF('(4).Midterm Results'!D174=0,"",'(4).Midterm Results'!D174)</f>
        <v/>
      </c>
      <c r="L174" s="108" t="str">
        <f>IF('(4).Midterm Results'!E174=0,"",'(4).Midterm Results'!E174)</f>
        <v/>
      </c>
      <c r="M174" s="108" t="str">
        <f>IF('(4).Midterm Results'!F174=0,"",'(4).Midterm Results'!F174)</f>
        <v/>
      </c>
      <c r="N174" s="108" t="str">
        <f>IF('(4).Midterm Results'!G174=0,"",'(4).Midterm Results'!G174)</f>
        <v/>
      </c>
      <c r="O174" s="108" t="str">
        <f>IF('(4).Midterm Results'!H174=0,"",'(4).Midterm Results'!H174)</f>
        <v/>
      </c>
      <c r="P174" s="108" t="str">
        <f>IF('(4).Midterm Results'!I174=0,"",'(4).Midterm Results'!I174)</f>
        <v/>
      </c>
      <c r="Q174" s="108" t="str">
        <f>IF('(4).Midterm Results'!J174=0,"",'(4).Midterm Results'!J174)</f>
        <v/>
      </c>
      <c r="R174" s="108" t="str">
        <f>IF('(4).Midterm Results'!K174=0,"",'(4).Midterm Results'!K174)</f>
        <v/>
      </c>
      <c r="S174" s="108" t="str">
        <f>IF('(4).Midterm Results'!L174=0,"",'(4).Midterm Results'!L174)</f>
        <v/>
      </c>
      <c r="T174" s="108" t="str">
        <f>IF('(4).Midterm Results'!M174=0,"",'(4).Midterm Results'!M174)</f>
        <v/>
      </c>
      <c r="U174" s="108" t="str">
        <f>IF('(4).Midterm Results'!N174=0,"",'(4).Midterm Results'!N174)</f>
        <v/>
      </c>
      <c r="V174" s="108" t="str">
        <f>IF('(4).Midterm Results'!O174=0,"",'(4).Midterm Results'!O174)</f>
        <v/>
      </c>
    </row>
    <row r="175" spans="1:22" ht="12.4" customHeight="1">
      <c r="A175" s="246"/>
      <c r="B175" s="240" t="s">
        <v>129</v>
      </c>
      <c r="C175" s="241"/>
      <c r="D175" s="102">
        <v>100</v>
      </c>
      <c r="E175" s="110" cm="1">
        <f t="array" ref="E175:E186">TRANSPOSE(K17:V17)</f>
        <v>92</v>
      </c>
      <c r="F175" s="104" t="str">
        <f>IF(E175="","",IF(E175&lt;D175*60%,"Try harder",""))</f>
        <v/>
      </c>
      <c r="H175" s="108">
        <f>IF('(4).Midterm Results'!A175=0,"",'(4).Midterm Results'!A175)</f>
        <v>25</v>
      </c>
      <c r="I175" s="108" t="str">
        <f>IF('(4).Midterm Results'!B175=0,"",'(4).Midterm Results'!B175)</f>
        <v/>
      </c>
      <c r="J175" s="108" t="str">
        <f>IF('(4).Midterm Results'!C175=0,"",'(4).Midterm Results'!C175)</f>
        <v/>
      </c>
      <c r="K175" s="108" t="str">
        <f>IF('(4).Midterm Results'!D175=0,"",'(4).Midterm Results'!D175)</f>
        <v/>
      </c>
      <c r="L175" s="108" t="str">
        <f>IF('(4).Midterm Results'!E175=0,"",'(4).Midterm Results'!E175)</f>
        <v/>
      </c>
      <c r="M175" s="108" t="str">
        <f>IF('(4).Midterm Results'!F175=0,"",'(4).Midterm Results'!F175)</f>
        <v/>
      </c>
      <c r="N175" s="108" t="str">
        <f>IF('(4).Midterm Results'!G175=0,"",'(4).Midterm Results'!G175)</f>
        <v/>
      </c>
      <c r="O175" s="108" t="str">
        <f>IF('(4).Midterm Results'!H175=0,"",'(4).Midterm Results'!H175)</f>
        <v/>
      </c>
      <c r="P175" s="108" t="str">
        <f>IF('(4).Midterm Results'!I175=0,"",'(4).Midterm Results'!I175)</f>
        <v/>
      </c>
      <c r="Q175" s="108" t="str">
        <f>IF('(4).Midterm Results'!J175=0,"",'(4).Midterm Results'!J175)</f>
        <v/>
      </c>
      <c r="R175" s="108" t="str">
        <f>IF('(4).Midterm Results'!K175=0,"",'(4).Midterm Results'!K175)</f>
        <v/>
      </c>
      <c r="S175" s="108" t="str">
        <f>IF('(4).Midterm Results'!L175=0,"",'(4).Midterm Results'!L175)</f>
        <v/>
      </c>
      <c r="T175" s="108" t="str">
        <f>IF('(4).Midterm Results'!M175=0,"",'(4).Midterm Results'!M175)</f>
        <v/>
      </c>
      <c r="U175" s="108" t="str">
        <f>IF('(4).Midterm Results'!N175=0,"",'(4).Midterm Results'!N175)</f>
        <v/>
      </c>
      <c r="V175" s="108" t="str">
        <f>IF('(4).Midterm Results'!O175=0,"",'(4).Midterm Results'!O175)</f>
        <v/>
      </c>
    </row>
    <row r="176" spans="1:22" ht="12.4" customHeight="1">
      <c r="A176" s="246"/>
      <c r="B176" s="242" t="s">
        <v>132</v>
      </c>
      <c r="C176" s="133" t="str" cm="1">
        <f t="array" ref="C176:C185">TRANSPOSE($L$5:$U$5)</f>
        <v>Up-Low C</v>
      </c>
      <c r="D176" s="134">
        <v>10</v>
      </c>
      <c r="E176" s="135">
        <v>9.5</v>
      </c>
      <c r="F176" s="136" t="str">
        <f t="shared" ref="F176:F186" si="10">IF(E176="","",IF(E176&lt;D176*60%,"Try harder",""))</f>
        <v/>
      </c>
      <c r="H176" s="108">
        <f>IF('(4).Midterm Results'!A176=0,"",'(4).Midterm Results'!A176)</f>
        <v>26</v>
      </c>
      <c r="I176" s="108" t="str">
        <f>IF('(4).Midterm Results'!B176=0,"",'(4).Midterm Results'!B176)</f>
        <v/>
      </c>
      <c r="J176" s="108" t="str">
        <f>IF('(4).Midterm Results'!C176=0,"",'(4).Midterm Results'!C176)</f>
        <v/>
      </c>
      <c r="K176" s="108" t="str">
        <f>IF('(4).Midterm Results'!D176=0,"",'(4).Midterm Results'!D176)</f>
        <v/>
      </c>
      <c r="L176" s="108" t="str">
        <f>IF('(4).Midterm Results'!E176=0,"",'(4).Midterm Results'!E176)</f>
        <v/>
      </c>
      <c r="M176" s="108" t="str">
        <f>IF('(4).Midterm Results'!F176=0,"",'(4).Midterm Results'!F176)</f>
        <v/>
      </c>
      <c r="N176" s="108" t="str">
        <f>IF('(4).Midterm Results'!G176=0,"",'(4).Midterm Results'!G176)</f>
        <v/>
      </c>
      <c r="O176" s="108" t="str">
        <f>IF('(4).Midterm Results'!H176=0,"",'(4).Midterm Results'!H176)</f>
        <v/>
      </c>
      <c r="P176" s="108" t="str">
        <f>IF('(4).Midterm Results'!I176=0,"",'(4).Midterm Results'!I176)</f>
        <v/>
      </c>
      <c r="Q176" s="108" t="str">
        <f>IF('(4).Midterm Results'!J176=0,"",'(4).Midterm Results'!J176)</f>
        <v/>
      </c>
      <c r="R176" s="108" t="str">
        <f>IF('(4).Midterm Results'!K176=0,"",'(4).Midterm Results'!K176)</f>
        <v/>
      </c>
      <c r="S176" s="108" t="str">
        <f>IF('(4).Midterm Results'!L176=0,"",'(4).Midterm Results'!L176)</f>
        <v/>
      </c>
      <c r="T176" s="108" t="str">
        <f>IF('(4).Midterm Results'!M176=0,"",'(4).Midterm Results'!M176)</f>
        <v/>
      </c>
      <c r="U176" s="108" t="str">
        <f>IF('(4).Midterm Results'!N176=0,"",'(4).Midterm Results'!N176)</f>
        <v/>
      </c>
      <c r="V176" s="108" t="str">
        <f>IF('(4).Midterm Results'!O176=0,"",'(4).Midterm Results'!O176)</f>
        <v/>
      </c>
    </row>
    <row r="177" spans="1:22" ht="12.4" customHeight="1">
      <c r="A177" s="246"/>
      <c r="B177" s="243"/>
      <c r="C177" s="137" t="str">
        <v>Alphabet N</v>
      </c>
      <c r="D177" s="138">
        <v>10</v>
      </c>
      <c r="E177" s="139">
        <v>10</v>
      </c>
      <c r="F177" s="140" t="str">
        <f t="shared" si="10"/>
        <v/>
      </c>
      <c r="H177" s="108">
        <f>IF('(4).Midterm Results'!A177=0,"",'(4).Midterm Results'!A177)</f>
        <v>27</v>
      </c>
      <c r="I177" s="108" t="str">
        <f>IF('(4).Midterm Results'!B177=0,"",'(4).Midterm Results'!B177)</f>
        <v/>
      </c>
      <c r="J177" s="108" t="str">
        <f>IF('(4).Midterm Results'!C177=0,"",'(4).Midterm Results'!C177)</f>
        <v/>
      </c>
      <c r="K177" s="108" t="str">
        <f>IF('(4).Midterm Results'!D177=0,"",'(4).Midterm Results'!D177)</f>
        <v/>
      </c>
      <c r="L177" s="108" t="str">
        <f>IF('(4).Midterm Results'!E177=0,"",'(4).Midterm Results'!E177)</f>
        <v/>
      </c>
      <c r="M177" s="108" t="str">
        <f>IF('(4).Midterm Results'!F177=0,"",'(4).Midterm Results'!F177)</f>
        <v/>
      </c>
      <c r="N177" s="108" t="str">
        <f>IF('(4).Midterm Results'!G177=0,"",'(4).Midterm Results'!G177)</f>
        <v/>
      </c>
      <c r="O177" s="108" t="str">
        <f>IF('(4).Midterm Results'!H177=0,"",'(4).Midterm Results'!H177)</f>
        <v/>
      </c>
      <c r="P177" s="108" t="str">
        <f>IF('(4).Midterm Results'!I177=0,"",'(4).Midterm Results'!I177)</f>
        <v/>
      </c>
      <c r="Q177" s="108" t="str">
        <f>IF('(4).Midterm Results'!J177=0,"",'(4).Midterm Results'!J177)</f>
        <v/>
      </c>
      <c r="R177" s="108" t="str">
        <f>IF('(4).Midterm Results'!K177=0,"",'(4).Midterm Results'!K177)</f>
        <v/>
      </c>
      <c r="S177" s="108" t="str">
        <f>IF('(4).Midterm Results'!L177=0,"",'(4).Midterm Results'!L177)</f>
        <v/>
      </c>
      <c r="T177" s="108" t="str">
        <f>IF('(4).Midterm Results'!M177=0,"",'(4).Midterm Results'!M177)</f>
        <v/>
      </c>
      <c r="U177" s="108" t="str">
        <f>IF('(4).Midterm Results'!N177=0,"",'(4).Midterm Results'!N177)</f>
        <v/>
      </c>
      <c r="V177" s="108" t="str">
        <f>IF('(4).Midterm Results'!O177=0,"",'(4).Midterm Results'!O177)</f>
        <v/>
      </c>
    </row>
    <row r="178" spans="1:22" ht="12.4" customHeight="1">
      <c r="A178" s="246"/>
      <c r="B178" s="243"/>
      <c r="C178" s="137" t="str">
        <v>Alphabet S</v>
      </c>
      <c r="D178" s="138">
        <v>10</v>
      </c>
      <c r="E178" s="139">
        <v>10</v>
      </c>
      <c r="F178" s="140" t="str">
        <f t="shared" si="10"/>
        <v/>
      </c>
      <c r="H178" s="108">
        <f>IF('(4).Midterm Results'!A178=0,"",'(4).Midterm Results'!A178)</f>
        <v>28</v>
      </c>
      <c r="I178" s="108" t="str">
        <f>IF('(4).Midterm Results'!B178=0,"",'(4).Midterm Results'!B178)</f>
        <v/>
      </c>
      <c r="J178" s="108" t="str">
        <f>IF('(4).Midterm Results'!C178=0,"",'(4).Midterm Results'!C178)</f>
        <v/>
      </c>
      <c r="K178" s="108" t="str">
        <f>IF('(4).Midterm Results'!D178=0,"",'(4).Midterm Results'!D178)</f>
        <v/>
      </c>
      <c r="L178" s="108" t="str">
        <f>IF('(4).Midterm Results'!E178=0,"",'(4).Midterm Results'!E178)</f>
        <v/>
      </c>
      <c r="M178" s="108" t="str">
        <f>IF('(4).Midterm Results'!F178=0,"",'(4).Midterm Results'!F178)</f>
        <v/>
      </c>
      <c r="N178" s="108" t="str">
        <f>IF('(4).Midterm Results'!G178=0,"",'(4).Midterm Results'!G178)</f>
        <v/>
      </c>
      <c r="O178" s="108" t="str">
        <f>IF('(4).Midterm Results'!H178=0,"",'(4).Midterm Results'!H178)</f>
        <v/>
      </c>
      <c r="P178" s="108" t="str">
        <f>IF('(4).Midterm Results'!I178=0,"",'(4).Midterm Results'!I178)</f>
        <v/>
      </c>
      <c r="Q178" s="108" t="str">
        <f>IF('(4).Midterm Results'!J178=0,"",'(4).Midterm Results'!J178)</f>
        <v/>
      </c>
      <c r="R178" s="108" t="str">
        <f>IF('(4).Midterm Results'!K178=0,"",'(4).Midterm Results'!K178)</f>
        <v/>
      </c>
      <c r="S178" s="108" t="str">
        <f>IF('(4).Midterm Results'!L178=0,"",'(4).Midterm Results'!L178)</f>
        <v/>
      </c>
      <c r="T178" s="108" t="str">
        <f>IF('(4).Midterm Results'!M178=0,"",'(4).Midterm Results'!M178)</f>
        <v/>
      </c>
      <c r="U178" s="108" t="str">
        <f>IF('(4).Midterm Results'!N178=0,"",'(4).Midterm Results'!N178)</f>
        <v/>
      </c>
      <c r="V178" s="108" t="str">
        <f>IF('(4).Midterm Results'!O178=0,"",'(4).Midterm Results'!O178)</f>
        <v/>
      </c>
    </row>
    <row r="179" spans="1:22" ht="12.4" customHeight="1">
      <c r="A179" s="246"/>
      <c r="B179" s="243"/>
      <c r="C179" s="137" t="str">
        <v>Vocabulary</v>
      </c>
      <c r="D179" s="138">
        <v>10</v>
      </c>
      <c r="E179" s="139">
        <v>10</v>
      </c>
      <c r="F179" s="140" t="str">
        <f t="shared" si="10"/>
        <v/>
      </c>
      <c r="H179" s="108">
        <f>IF('(4).Midterm Results'!A179=0,"",'(4).Midterm Results'!A179)</f>
        <v>29</v>
      </c>
      <c r="I179" s="108" t="str">
        <f>IF('(4).Midterm Results'!B179=0,"",'(4).Midterm Results'!B179)</f>
        <v/>
      </c>
      <c r="J179" s="108" t="str">
        <f>IF('(4).Midterm Results'!C179=0,"",'(4).Midterm Results'!C179)</f>
        <v/>
      </c>
      <c r="K179" s="108" t="str">
        <f>IF('(4).Midterm Results'!D179=0,"",'(4).Midterm Results'!D179)</f>
        <v/>
      </c>
      <c r="L179" s="108" t="str">
        <f>IF('(4).Midterm Results'!E179=0,"",'(4).Midterm Results'!E179)</f>
        <v/>
      </c>
      <c r="M179" s="108" t="str">
        <f>IF('(4).Midterm Results'!F179=0,"",'(4).Midterm Results'!F179)</f>
        <v/>
      </c>
      <c r="N179" s="108" t="str">
        <f>IF('(4).Midterm Results'!G179=0,"",'(4).Midterm Results'!G179)</f>
        <v/>
      </c>
      <c r="O179" s="108" t="str">
        <f>IF('(4).Midterm Results'!H179=0,"",'(4).Midterm Results'!H179)</f>
        <v/>
      </c>
      <c r="P179" s="108" t="str">
        <f>IF('(4).Midterm Results'!I179=0,"",'(4).Midterm Results'!I179)</f>
        <v/>
      </c>
      <c r="Q179" s="108" t="str">
        <f>IF('(4).Midterm Results'!J179=0,"",'(4).Midterm Results'!J179)</f>
        <v/>
      </c>
      <c r="R179" s="108" t="str">
        <f>IF('(4).Midterm Results'!K179=0,"",'(4).Midterm Results'!K179)</f>
        <v/>
      </c>
      <c r="S179" s="108" t="str">
        <f>IF('(4).Midterm Results'!L179=0,"",'(4).Midterm Results'!L179)</f>
        <v/>
      </c>
      <c r="T179" s="108" t="str">
        <f>IF('(4).Midterm Results'!M179=0,"",'(4).Midterm Results'!M179)</f>
        <v/>
      </c>
      <c r="U179" s="108" t="str">
        <f>IF('(4).Midterm Results'!N179=0,"",'(4).Midterm Results'!N179)</f>
        <v/>
      </c>
      <c r="V179" s="108" t="str">
        <f>IF('(4).Midterm Results'!O179=0,"",'(4).Midterm Results'!O179)</f>
        <v/>
      </c>
    </row>
    <row r="180" spans="1:22" ht="12.4" customHeight="1">
      <c r="A180" s="247" t="s">
        <v>131</v>
      </c>
      <c r="B180" s="243"/>
      <c r="C180" s="137" t="str">
        <v>Sprouts</v>
      </c>
      <c r="D180" s="138">
        <v>10</v>
      </c>
      <c r="E180" s="139">
        <v>10</v>
      </c>
      <c r="F180" s="140" t="str">
        <f t="shared" si="10"/>
        <v/>
      </c>
      <c r="H180" s="108">
        <f>IF('(4).Midterm Results'!A180=0,"",'(4).Midterm Results'!A180)</f>
        <v>30</v>
      </c>
      <c r="I180" s="108" t="str">
        <f>IF('(4).Midterm Results'!B180=0,"",'(4).Midterm Results'!B180)</f>
        <v/>
      </c>
      <c r="J180" s="108" t="str">
        <f>IF('(4).Midterm Results'!C180=0,"",'(4).Midterm Results'!C180)</f>
        <v/>
      </c>
      <c r="K180" s="108" t="str">
        <f>IF('(4).Midterm Results'!D180=0,"",'(4).Midterm Results'!D180)</f>
        <v/>
      </c>
      <c r="L180" s="108" t="str">
        <f>IF('(4).Midterm Results'!E180=0,"",'(4).Midterm Results'!E180)</f>
        <v/>
      </c>
      <c r="M180" s="108" t="str">
        <f>IF('(4).Midterm Results'!F180=0,"",'(4).Midterm Results'!F180)</f>
        <v/>
      </c>
      <c r="N180" s="108" t="str">
        <f>IF('(4).Midterm Results'!G180=0,"",'(4).Midterm Results'!G180)</f>
        <v/>
      </c>
      <c r="O180" s="108" t="str">
        <f>IF('(4).Midterm Results'!H180=0,"",'(4).Midterm Results'!H180)</f>
        <v/>
      </c>
      <c r="P180" s="108" t="str">
        <f>IF('(4).Midterm Results'!I180=0,"",'(4).Midterm Results'!I180)</f>
        <v/>
      </c>
      <c r="Q180" s="108" t="str">
        <f>IF('(4).Midterm Results'!J180=0,"",'(4).Midterm Results'!J180)</f>
        <v/>
      </c>
      <c r="R180" s="108" t="str">
        <f>IF('(4).Midterm Results'!K180=0,"",'(4).Midterm Results'!K180)</f>
        <v/>
      </c>
      <c r="S180" s="108" t="str">
        <f>IF('(4).Midterm Results'!L180=0,"",'(4).Midterm Results'!L180)</f>
        <v/>
      </c>
      <c r="T180" s="108" t="str">
        <f>IF('(4).Midterm Results'!M180=0,"",'(4).Midterm Results'!M180)</f>
        <v/>
      </c>
      <c r="U180" s="108" t="str">
        <f>IF('(4).Midterm Results'!N180=0,"",'(4).Midterm Results'!N180)</f>
        <v/>
      </c>
      <c r="V180" s="108" t="str">
        <f>IF('(4).Midterm Results'!O180=0,"",'(4).Midterm Results'!O180)</f>
        <v/>
      </c>
    </row>
    <row r="181" spans="1:22" ht="12.4" customHeight="1">
      <c r="A181" s="247"/>
      <c r="B181" s="243"/>
      <c r="C181" s="137" t="str">
        <v>Phonics</v>
      </c>
      <c r="D181" s="138">
        <v>10</v>
      </c>
      <c r="E181" s="139">
        <v>10</v>
      </c>
      <c r="F181" s="140" t="str">
        <f t="shared" si="10"/>
        <v/>
      </c>
      <c r="H181" s="108" t="str">
        <f>IF('(4).Midterm Results'!A181=0,"",'(4).Midterm Results'!A181)</f>
        <v>Br:</v>
      </c>
      <c r="I181" s="108" t="str">
        <f>IF('(4).Midterm Results'!B181=0,"",'(4).Midterm Results'!B181)</f>
        <v/>
      </c>
      <c r="J181" s="108" t="str">
        <f>IF('(4).Midterm Results'!C181=0,"",'(4).Midterm Results'!C181)</f>
        <v/>
      </c>
      <c r="K181" s="108" t="str">
        <f>IF('(4).Midterm Results'!D181=0,"",'(4).Midterm Results'!D181)</f>
        <v>MIDTERM RESULTS</v>
      </c>
      <c r="L181" s="108" t="str">
        <f>IF('(4).Midterm Results'!E181=0,"",'(4).Midterm Results'!E181)</f>
        <v/>
      </c>
      <c r="M181" s="108" t="str">
        <f>IF('(4).Midterm Results'!F181=0,"",'(4).Midterm Results'!F181)</f>
        <v/>
      </c>
      <c r="N181" s="108" t="str">
        <f>IF('(4).Midterm Results'!G181=0,"",'(4).Midterm Results'!G181)</f>
        <v/>
      </c>
      <c r="O181" s="108" t="str">
        <f>IF('(4).Midterm Results'!H181=0,"",'(4).Midterm Results'!H181)</f>
        <v/>
      </c>
      <c r="P181" s="108" t="str">
        <f>IF('(4).Midterm Results'!I181=0,"",'(4).Midterm Results'!I181)</f>
        <v/>
      </c>
      <c r="Q181" s="108" t="str">
        <f>IF('(4).Midterm Results'!J181=0,"",'(4).Midterm Results'!J181)</f>
        <v/>
      </c>
      <c r="R181" s="108" t="str">
        <f>IF('(4).Midterm Results'!K181=0,"",'(4).Midterm Results'!K181)</f>
        <v/>
      </c>
      <c r="S181" s="108" t="str">
        <f>IF('(4).Midterm Results'!L181=0,"",'(4).Midterm Results'!L181)</f>
        <v/>
      </c>
      <c r="T181" s="108" t="str">
        <f>IF('(4).Midterm Results'!M181=0,"",'(4).Midterm Results'!M181)</f>
        <v/>
      </c>
      <c r="U181" s="108" t="str">
        <f>IF('(4).Midterm Results'!N181=0,"",'(4).Midterm Results'!N181)</f>
        <v/>
      </c>
      <c r="V181" s="108" t="str">
        <f>IF('(4).Midterm Results'!O181=0,"",'(4).Midterm Results'!O181)</f>
        <v/>
      </c>
    </row>
    <row r="182" spans="1:22" ht="12.4" customHeight="1">
      <c r="A182" s="247"/>
      <c r="B182" s="243"/>
      <c r="C182" s="137" t="str">
        <v>Math</v>
      </c>
      <c r="D182" s="138">
        <v>10</v>
      </c>
      <c r="E182" s="139">
        <v>10</v>
      </c>
      <c r="F182" s="140" t="str">
        <f t="shared" si="10"/>
        <v/>
      </c>
      <c r="H182" s="108" t="str">
        <f>IF('(4).Midterm Results'!A182=0,"",'(4).Midterm Results'!A182)</f>
        <v>Level:</v>
      </c>
      <c r="I182" s="108" t="str">
        <f>IF('(4).Midterm Results'!B182=0,"",'(4).Midterm Results'!B182)</f>
        <v/>
      </c>
      <c r="J182" s="108" t="str">
        <f>IF('(4).Midterm Results'!C182=0,"",'(4).Midterm Results'!C182)</f>
        <v/>
      </c>
      <c r="K182" s="108" t="str">
        <f>IF('(4).Midterm Results'!D182=0,"",'(4).Midterm Results'!D182)</f>
        <v>FEBRUARY - JULY 2026</v>
      </c>
      <c r="L182" s="108" t="str">
        <f>IF('(4).Midterm Results'!E182=0,"",'(4).Midterm Results'!E182)</f>
        <v/>
      </c>
      <c r="M182" s="108" t="str">
        <f>IF('(4).Midterm Results'!F182=0,"",'(4).Midterm Results'!F182)</f>
        <v/>
      </c>
      <c r="N182" s="108" t="str">
        <f>IF('(4).Midterm Results'!G182=0,"",'(4).Midterm Results'!G182)</f>
        <v/>
      </c>
      <c r="O182" s="108" t="str">
        <f>IF('(4).Midterm Results'!H182=0,"",'(4).Midterm Results'!H182)</f>
        <v/>
      </c>
      <c r="P182" s="108" t="str">
        <f>IF('(4).Midterm Results'!I182=0,"",'(4).Midterm Results'!I182)</f>
        <v/>
      </c>
      <c r="Q182" s="108" t="str">
        <f>IF('(4).Midterm Results'!J182=0,"",'(4).Midterm Results'!J182)</f>
        <v/>
      </c>
      <c r="R182" s="108" t="str">
        <f>IF('(4).Midterm Results'!K182=0,"",'(4).Midterm Results'!K182)</f>
        <v/>
      </c>
      <c r="S182" s="108" t="str">
        <f>IF('(4).Midterm Results'!L182=0,"",'(4).Midterm Results'!L182)</f>
        <v/>
      </c>
      <c r="T182" s="108" t="str">
        <f>IF('(4).Midterm Results'!M182=0,"",'(4).Midterm Results'!M182)</f>
        <v/>
      </c>
      <c r="U182" s="108" t="str">
        <f>IF('(4).Midterm Results'!N182=0,"",'(4).Midterm Results'!N182)</f>
        <v/>
      </c>
      <c r="V182" s="108" t="str">
        <f>IF('(4).Midterm Results'!O182=0,"",'(4).Midterm Results'!O182)</f>
        <v/>
      </c>
    </row>
    <row r="183" spans="1:22" ht="12.4" customHeight="1">
      <c r="A183" s="247"/>
      <c r="B183" s="243"/>
      <c r="C183" s="137" t="str">
        <v>Shape</v>
      </c>
      <c r="D183" s="138">
        <v>10</v>
      </c>
      <c r="E183" s="139">
        <v>10</v>
      </c>
      <c r="F183" s="140" t="str">
        <f t="shared" si="10"/>
        <v/>
      </c>
      <c r="H183" s="108" t="str">
        <f>IF('(4).Midterm Results'!A183=0,"",'(4).Midterm Results'!A183)</f>
        <v>Time:</v>
      </c>
      <c r="I183" s="108" t="str">
        <f>IF('(4).Midterm Results'!B183=0,"",'(4).Midterm Results'!B183)</f>
        <v/>
      </c>
      <c r="J183" s="108" t="str">
        <f>IF('(4).Midterm Results'!C183=0,"",'(4).Midterm Results'!C183)</f>
        <v/>
      </c>
      <c r="K183" s="108" t="str">
        <f>IF('(4).Midterm Results'!D183=0,"",'(4).Midterm Results'!D183)</f>
        <v>*** Midterm Results (Total Scores) = Midterm Daily (20%) + Midterm Exam (80%) ***</v>
      </c>
      <c r="L183" s="108" t="str">
        <f>IF('(4).Midterm Results'!E183=0,"",'(4).Midterm Results'!E183)</f>
        <v/>
      </c>
      <c r="M183" s="108" t="str">
        <f>IF('(4).Midterm Results'!F183=0,"",'(4).Midterm Results'!F183)</f>
        <v/>
      </c>
      <c r="N183" s="108" t="str">
        <f>IF('(4).Midterm Results'!G183=0,"",'(4).Midterm Results'!G183)</f>
        <v/>
      </c>
      <c r="O183" s="108" t="str">
        <f>IF('(4).Midterm Results'!H183=0,"",'(4).Midterm Results'!H183)</f>
        <v/>
      </c>
      <c r="P183" s="108" t="str">
        <f>IF('(4).Midterm Results'!I183=0,"",'(4).Midterm Results'!I183)</f>
        <v/>
      </c>
      <c r="Q183" s="108" t="str">
        <f>IF('(4).Midterm Results'!J183=0,"",'(4).Midterm Results'!J183)</f>
        <v/>
      </c>
      <c r="R183" s="108" t="str">
        <f>IF('(4).Midterm Results'!K183=0,"",'(4).Midterm Results'!K183)</f>
        <v/>
      </c>
      <c r="S183" s="108" t="str">
        <f>IF('(4).Midterm Results'!L183=0,"",'(4).Midterm Results'!L183)</f>
        <v/>
      </c>
      <c r="T183" s="108" t="str">
        <f>IF('(4).Midterm Results'!M183=0,"",'(4).Midterm Results'!M183)</f>
        <v/>
      </c>
      <c r="U183" s="108" t="str">
        <f>IF('(4).Midterm Results'!N183=0,"",'(4).Midterm Results'!N183)</f>
        <v/>
      </c>
      <c r="V183" s="108" t="str">
        <f>IF('(4).Midterm Results'!O183=0,"",'(4).Midterm Results'!O183)</f>
        <v/>
      </c>
    </row>
    <row r="184" spans="1:22" ht="12.4" customHeight="1">
      <c r="A184" s="247"/>
      <c r="B184" s="243"/>
      <c r="C184" s="137" t="str">
        <v>Science</v>
      </c>
      <c r="D184" s="138">
        <v>10</v>
      </c>
      <c r="E184" s="139">
        <v>10</v>
      </c>
      <c r="F184" s="140" t="str">
        <f t="shared" si="10"/>
        <v/>
      </c>
      <c r="H184" s="108" t="str">
        <f>IF('(4).Midterm Results'!A184=0,"",'(4).Midterm Results'!A184)</f>
        <v>Room:</v>
      </c>
      <c r="I184" s="108" t="str">
        <f>IF('(4).Midterm Results'!B184=0,"",'(4).Midterm Results'!B184)</f>
        <v/>
      </c>
      <c r="J184" s="108" t="str">
        <f>IF('(4).Midterm Results'!C184=0,"",'(4).Midterm Results'!C184)</f>
        <v/>
      </c>
      <c r="K184" s="108" t="str">
        <f>IF('(4).Midterm Results'!D184=0,"",'(4).Midterm Results'!D184)</f>
        <v>MIDTERM</v>
      </c>
      <c r="L184" s="108" t="str">
        <f>IF('(4).Midterm Results'!E184=0,"",'(4).Midterm Results'!E184)</f>
        <v>MIDTERM EXAM</v>
      </c>
      <c r="M184" s="108" t="str">
        <f>IF('(4).Midterm Results'!F184=0,"",'(4).Midterm Results'!F184)</f>
        <v/>
      </c>
      <c r="N184" s="108" t="str">
        <f>IF('(4).Midterm Results'!G184=0,"",'(4).Midterm Results'!G184)</f>
        <v/>
      </c>
      <c r="O184" s="108" t="str">
        <f>IF('(4).Midterm Results'!H184=0,"",'(4).Midterm Results'!H184)</f>
        <v/>
      </c>
      <c r="P184" s="108" t="str">
        <f>IF('(4).Midterm Results'!I184=0,"",'(4).Midterm Results'!I184)</f>
        <v/>
      </c>
      <c r="Q184" s="108" t="str">
        <f>IF('(4).Midterm Results'!J184=0,"",'(4).Midterm Results'!J184)</f>
        <v/>
      </c>
      <c r="R184" s="108" t="str">
        <f>IF('(4).Midterm Results'!K184=0,"",'(4).Midterm Results'!K184)</f>
        <v/>
      </c>
      <c r="S184" s="108" t="str">
        <f>IF('(4).Midterm Results'!L184=0,"",'(4).Midterm Results'!L184)</f>
        <v/>
      </c>
      <c r="T184" s="108" t="str">
        <f>IF('(4).Midterm Results'!M184=0,"",'(4).Midterm Results'!M184)</f>
        <v/>
      </c>
      <c r="U184" s="108" t="str">
        <f>IF('(4).Midterm Results'!N184=0,"",'(4).Midterm Results'!N184)</f>
        <v/>
      </c>
      <c r="V184" s="108" t="str">
        <f>IF('(4).Midterm Results'!O184=0,"",'(4).Midterm Results'!O184)</f>
        <v>TOTAL</v>
      </c>
    </row>
    <row r="185" spans="1:22" ht="12.4" customHeight="1">
      <c r="A185" s="247"/>
      <c r="B185" s="244"/>
      <c r="C185" s="141" t="str">
        <v>Tracing</v>
      </c>
      <c r="D185" s="142">
        <v>10</v>
      </c>
      <c r="E185" s="143">
        <v>9.75</v>
      </c>
      <c r="F185" s="144" t="str">
        <f t="shared" si="10"/>
        <v/>
      </c>
      <c r="H185" s="108" t="str">
        <f>IF('(4).Midterm Results'!A185=0,"",'(4).Midterm Results'!A185)</f>
        <v>Tr:</v>
      </c>
      <c r="I185" s="108" t="str">
        <f>IF('(4).Midterm Results'!B185=0,"",'(4).Midterm Results'!B185)</f>
        <v/>
      </c>
      <c r="J185" s="108" t="str">
        <f>IF('(4).Midterm Results'!C185=0,"",'(4).Midterm Results'!C185)</f>
        <v/>
      </c>
      <c r="K185" s="108" t="str">
        <f>IF('(4).Midterm Results'!D185=0,"",'(4).Midterm Results'!D185)</f>
        <v>DAILY</v>
      </c>
      <c r="L185" s="108" t="str">
        <f>IF('(4).Midterm Results'!E185=0,"",'(4).Midterm Results'!E185)</f>
        <v>Up-Low C</v>
      </c>
      <c r="M185" s="108" t="str">
        <f>IF('(4).Midterm Results'!F185=0,"",'(4).Midterm Results'!F185)</f>
        <v>Alphabet N</v>
      </c>
      <c r="N185" s="108" t="str">
        <f>IF('(4).Midterm Results'!G185=0,"",'(4).Midterm Results'!G185)</f>
        <v>Alphabet S</v>
      </c>
      <c r="O185" s="108" t="str">
        <f>IF('(4).Midterm Results'!H185=0,"",'(4).Midterm Results'!H185)</f>
        <v>Vocabulary</v>
      </c>
      <c r="P185" s="108" t="str">
        <f>IF('(4).Midterm Results'!I185=0,"",'(4).Midterm Results'!I185)</f>
        <v>Sprouts</v>
      </c>
      <c r="Q185" s="108" t="str">
        <f>IF('(4).Midterm Results'!J185=0,"",'(4).Midterm Results'!J185)</f>
        <v>Phonics</v>
      </c>
      <c r="R185" s="108" t="str">
        <f>IF('(4).Midterm Results'!K185=0,"",'(4).Midterm Results'!K185)</f>
        <v>Math</v>
      </c>
      <c r="S185" s="108" t="str">
        <f>IF('(4).Midterm Results'!L185=0,"",'(4).Midterm Results'!L185)</f>
        <v>Shape</v>
      </c>
      <c r="T185" s="108" t="str">
        <f>IF('(4).Midterm Results'!M185=0,"",'(4).Midterm Results'!M185)</f>
        <v>Science</v>
      </c>
      <c r="U185" s="108" t="str">
        <f>IF('(4).Midterm Results'!N185=0,"",'(4).Midterm Results'!N185)</f>
        <v>Tracing</v>
      </c>
      <c r="V185" s="108" t="str">
        <f>IF('(4).Midterm Results'!O185=0,"",'(4).Midterm Results'!O185)</f>
        <v>SCORES</v>
      </c>
    </row>
    <row r="186" spans="1:22" ht="12.4" customHeight="1">
      <c r="A186" s="248"/>
      <c r="B186" s="240" t="s">
        <v>133</v>
      </c>
      <c r="C186" s="241"/>
      <c r="D186" s="103">
        <f>D175*20%+SUM(D176:D185)*80%</f>
        <v>100</v>
      </c>
      <c r="E186" s="110">
        <v>97.800000000000011</v>
      </c>
      <c r="F186" s="104" t="str">
        <f t="shared" si="10"/>
        <v/>
      </c>
      <c r="H186" s="108" t="str">
        <f>IF('(4).Midterm Results'!A186=0,"",'(4).Midterm Results'!A186)</f>
        <v>NO</v>
      </c>
      <c r="I186" s="108" t="str">
        <f>IF('(4).Midterm Results'!B186=0,"",'(4).Midterm Results'!B186)</f>
        <v>NAME</v>
      </c>
      <c r="J186" s="108" t="str">
        <f>IF('(4).Midterm Results'!C186=0,"",'(4).Midterm Results'!C186)</f>
        <v>SEX</v>
      </c>
      <c r="K186" s="108" t="str">
        <f>IF('(4).Midterm Results'!D186=0,"",'(4).Midterm Results'!D186)</f>
        <v>100 points</v>
      </c>
      <c r="L186" s="108" t="str">
        <f>IF('(4).Midterm Results'!E186=0,"",'(4).Midterm Results'!E186)</f>
        <v>10 points</v>
      </c>
      <c r="M186" s="108" t="str">
        <f>IF('(4).Midterm Results'!F186=0,"",'(4).Midterm Results'!F186)</f>
        <v>10 points</v>
      </c>
      <c r="N186" s="108" t="str">
        <f>IF('(4).Midterm Results'!G186=0,"",'(4).Midterm Results'!G186)</f>
        <v>10 points</v>
      </c>
      <c r="O186" s="108" t="str">
        <f>IF('(4).Midterm Results'!H186=0,"",'(4).Midterm Results'!H186)</f>
        <v>10 points</v>
      </c>
      <c r="P186" s="108" t="str">
        <f>IF('(4).Midterm Results'!I186=0,"",'(4).Midterm Results'!I186)</f>
        <v>10 points</v>
      </c>
      <c r="Q186" s="108" t="str">
        <f>IF('(4).Midterm Results'!J186=0,"",'(4).Midterm Results'!J186)</f>
        <v>10 points</v>
      </c>
      <c r="R186" s="108" t="str">
        <f>IF('(4).Midterm Results'!K186=0,"",'(4).Midterm Results'!K186)</f>
        <v>10 points</v>
      </c>
      <c r="S186" s="108" t="str">
        <f>IF('(4).Midterm Results'!L186=0,"",'(4).Midterm Results'!L186)</f>
        <v>10 points</v>
      </c>
      <c r="T186" s="108" t="str">
        <f>IF('(4).Midterm Results'!M186=0,"",'(4).Midterm Results'!M186)</f>
        <v>10 points</v>
      </c>
      <c r="U186" s="108" t="str">
        <f>IF('(4).Midterm Results'!N186=0,"",'(4).Midterm Results'!N186)</f>
        <v>10 points</v>
      </c>
      <c r="V186" s="108" t="str">
        <f>IF('(4).Midterm Results'!O186=0,"",'(4).Midterm Results'!O186)</f>
        <v>100 points</v>
      </c>
    </row>
    <row r="187" spans="1:22" ht="12.4" customHeight="1">
      <c r="H187" s="108">
        <f>IF('(4).Midterm Results'!A187=0,"",'(4).Midterm Results'!A187)</f>
        <v>1</v>
      </c>
      <c r="I187" s="108" t="str">
        <f>IF('(4).Midterm Results'!B187=0,"",'(4).Midterm Results'!B187)</f>
        <v/>
      </c>
      <c r="J187" s="108" t="str">
        <f>IF('(4).Midterm Results'!C187=0,"",'(4).Midterm Results'!C187)</f>
        <v/>
      </c>
      <c r="K187" s="108" t="str">
        <f>IF('(4).Midterm Results'!D187=0,"",'(4).Midterm Results'!D187)</f>
        <v/>
      </c>
      <c r="L187" s="108" t="str">
        <f>IF('(4).Midterm Results'!E187=0,"",'(4).Midterm Results'!E187)</f>
        <v/>
      </c>
      <c r="M187" s="108" t="str">
        <f>IF('(4).Midterm Results'!F187=0,"",'(4).Midterm Results'!F187)</f>
        <v/>
      </c>
      <c r="N187" s="108" t="str">
        <f>IF('(4).Midterm Results'!G187=0,"",'(4).Midterm Results'!G187)</f>
        <v/>
      </c>
      <c r="O187" s="108" t="str">
        <f>IF('(4).Midterm Results'!H187=0,"",'(4).Midterm Results'!H187)</f>
        <v/>
      </c>
      <c r="P187" s="108" t="str">
        <f>IF('(4).Midterm Results'!I187=0,"",'(4).Midterm Results'!I187)</f>
        <v/>
      </c>
      <c r="Q187" s="108" t="str">
        <f>IF('(4).Midterm Results'!J187=0,"",'(4).Midterm Results'!J187)</f>
        <v/>
      </c>
      <c r="R187" s="108" t="str">
        <f>IF('(4).Midterm Results'!K187=0,"",'(4).Midterm Results'!K187)</f>
        <v/>
      </c>
      <c r="S187" s="108" t="str">
        <f>IF('(4).Midterm Results'!L187=0,"",'(4).Midterm Results'!L187)</f>
        <v/>
      </c>
      <c r="T187" s="108" t="str">
        <f>IF('(4).Midterm Results'!M187=0,"",'(4).Midterm Results'!M187)</f>
        <v/>
      </c>
      <c r="U187" s="108" t="str">
        <f>IF('(4).Midterm Results'!N187=0,"",'(4).Midterm Results'!N187)</f>
        <v/>
      </c>
      <c r="V187" s="108" t="str">
        <f>IF('(4).Midterm Results'!O187=0,"",'(4).Midterm Results'!O187)</f>
        <v/>
      </c>
    </row>
    <row r="188" spans="1:22" ht="12.4" customHeight="1">
      <c r="A188" s="230" t="s">
        <v>121</v>
      </c>
      <c r="B188" s="231"/>
      <c r="C188" s="231"/>
      <c r="D188" s="107" t="s">
        <v>123</v>
      </c>
      <c r="E188" s="232" t="str">
        <f>I18</f>
        <v>Ly Kanha</v>
      </c>
      <c r="F188" s="233"/>
      <c r="G188" s="101">
        <v>18</v>
      </c>
      <c r="H188" s="108">
        <f>IF('(4).Midterm Results'!A188=0,"",'(4).Midterm Results'!A188)</f>
        <v>2</v>
      </c>
      <c r="I188" s="108" t="str">
        <f>IF('(4).Midterm Results'!B188=0,"",'(4).Midterm Results'!B188)</f>
        <v/>
      </c>
      <c r="J188" s="108" t="str">
        <f>IF('(4).Midterm Results'!C188=0,"",'(4).Midterm Results'!C188)</f>
        <v/>
      </c>
      <c r="K188" s="108" t="str">
        <f>IF('(4).Midterm Results'!D188=0,"",'(4).Midterm Results'!D188)</f>
        <v/>
      </c>
      <c r="L188" s="108" t="str">
        <f>IF('(4).Midterm Results'!E188=0,"",'(4).Midterm Results'!E188)</f>
        <v/>
      </c>
      <c r="M188" s="108" t="str">
        <f>IF('(4).Midterm Results'!F188=0,"",'(4).Midterm Results'!F188)</f>
        <v/>
      </c>
      <c r="N188" s="108" t="str">
        <f>IF('(4).Midterm Results'!G188=0,"",'(4).Midterm Results'!G188)</f>
        <v/>
      </c>
      <c r="O188" s="108" t="str">
        <f>IF('(4).Midterm Results'!H188=0,"",'(4).Midterm Results'!H188)</f>
        <v/>
      </c>
      <c r="P188" s="108" t="str">
        <f>IF('(4).Midterm Results'!I188=0,"",'(4).Midterm Results'!I188)</f>
        <v/>
      </c>
      <c r="Q188" s="108" t="str">
        <f>IF('(4).Midterm Results'!J188=0,"",'(4).Midterm Results'!J188)</f>
        <v/>
      </c>
      <c r="R188" s="108" t="str">
        <f>IF('(4).Midterm Results'!K188=0,"",'(4).Midterm Results'!K188)</f>
        <v/>
      </c>
      <c r="S188" s="108" t="str">
        <f>IF('(4).Midterm Results'!L188=0,"",'(4).Midterm Results'!L188)</f>
        <v/>
      </c>
      <c r="T188" s="108" t="str">
        <f>IF('(4).Midterm Results'!M188=0,"",'(4).Midterm Results'!M188)</f>
        <v/>
      </c>
      <c r="U188" s="108" t="str">
        <f>IF('(4).Midterm Results'!N188=0,"",'(4).Midterm Results'!N188)</f>
        <v/>
      </c>
      <c r="V188" s="108" t="str">
        <f>IF('(4).Midterm Results'!O188=0,"",'(4).Midterm Results'!O188)</f>
        <v/>
      </c>
    </row>
    <row r="189" spans="1:22" ht="12.4" customHeight="1">
      <c r="A189" s="105" t="s">
        <v>122</v>
      </c>
      <c r="B189" s="234" t="str">
        <f>$K$2</f>
        <v>FEBRUARY - JULY 2026</v>
      </c>
      <c r="C189" s="234"/>
      <c r="D189" s="106" t="s">
        <v>124</v>
      </c>
      <c r="E189" s="235" t="str">
        <f>$I$2</f>
        <v>K1B</v>
      </c>
      <c r="F189" s="236"/>
      <c r="H189" s="108">
        <f>IF('(4).Midterm Results'!A189=0,"",'(4).Midterm Results'!A189)</f>
        <v>3</v>
      </c>
      <c r="I189" s="108" t="str">
        <f>IF('(4).Midterm Results'!B189=0,"",'(4).Midterm Results'!B189)</f>
        <v/>
      </c>
      <c r="J189" s="108" t="str">
        <f>IF('(4).Midterm Results'!C189=0,"",'(4).Midterm Results'!C189)</f>
        <v/>
      </c>
      <c r="K189" s="108" t="str">
        <f>IF('(4).Midterm Results'!D189=0,"",'(4).Midterm Results'!D189)</f>
        <v/>
      </c>
      <c r="L189" s="108" t="str">
        <f>IF('(4).Midterm Results'!E189=0,"",'(4).Midterm Results'!E189)</f>
        <v/>
      </c>
      <c r="M189" s="108" t="str">
        <f>IF('(4).Midterm Results'!F189=0,"",'(4).Midterm Results'!F189)</f>
        <v/>
      </c>
      <c r="N189" s="108" t="str">
        <f>IF('(4).Midterm Results'!G189=0,"",'(4).Midterm Results'!G189)</f>
        <v/>
      </c>
      <c r="O189" s="108" t="str">
        <f>IF('(4).Midterm Results'!H189=0,"",'(4).Midterm Results'!H189)</f>
        <v/>
      </c>
      <c r="P189" s="108" t="str">
        <f>IF('(4).Midterm Results'!I189=0,"",'(4).Midterm Results'!I189)</f>
        <v/>
      </c>
      <c r="Q189" s="108" t="str">
        <f>IF('(4).Midterm Results'!J189=0,"",'(4).Midterm Results'!J189)</f>
        <v/>
      </c>
      <c r="R189" s="108" t="str">
        <f>IF('(4).Midterm Results'!K189=0,"",'(4).Midterm Results'!K189)</f>
        <v/>
      </c>
      <c r="S189" s="108" t="str">
        <f>IF('(4).Midterm Results'!L189=0,"",'(4).Midterm Results'!L189)</f>
        <v/>
      </c>
      <c r="T189" s="108" t="str">
        <f>IF('(4).Midterm Results'!M189=0,"",'(4).Midterm Results'!M189)</f>
        <v/>
      </c>
      <c r="U189" s="108" t="str">
        <f>IF('(4).Midterm Results'!N189=0,"",'(4).Midterm Results'!N189)</f>
        <v/>
      </c>
      <c r="V189" s="108" t="str">
        <f>IF('(4).Midterm Results'!O189=0,"",'(4).Midterm Results'!O189)</f>
        <v/>
      </c>
    </row>
    <row r="190" spans="1:22" ht="12.4" customHeight="1">
      <c r="A190" s="237" t="s">
        <v>130</v>
      </c>
      <c r="B190" s="238"/>
      <c r="C190" s="238"/>
      <c r="D190" s="238"/>
      <c r="E190" s="238"/>
      <c r="F190" s="239"/>
      <c r="H190" s="108">
        <f>IF('(4).Midterm Results'!A190=0,"",'(4).Midterm Results'!A190)</f>
        <v>4</v>
      </c>
      <c r="I190" s="108" t="str">
        <f>IF('(4).Midterm Results'!B190=0,"",'(4).Midterm Results'!B190)</f>
        <v/>
      </c>
      <c r="J190" s="108" t="str">
        <f>IF('(4).Midterm Results'!C190=0,"",'(4).Midterm Results'!C190)</f>
        <v/>
      </c>
      <c r="K190" s="108" t="str">
        <f>IF('(4).Midterm Results'!D190=0,"",'(4).Midterm Results'!D190)</f>
        <v/>
      </c>
      <c r="L190" s="108" t="str">
        <f>IF('(4).Midterm Results'!E190=0,"",'(4).Midterm Results'!E190)</f>
        <v/>
      </c>
      <c r="M190" s="108" t="str">
        <f>IF('(4).Midterm Results'!F190=0,"",'(4).Midterm Results'!F190)</f>
        <v/>
      </c>
      <c r="N190" s="108" t="str">
        <f>IF('(4).Midterm Results'!G190=0,"",'(4).Midterm Results'!G190)</f>
        <v/>
      </c>
      <c r="O190" s="108" t="str">
        <f>IF('(4).Midterm Results'!H190=0,"",'(4).Midterm Results'!H190)</f>
        <v/>
      </c>
      <c r="P190" s="108" t="str">
        <f>IF('(4).Midterm Results'!I190=0,"",'(4).Midterm Results'!I190)</f>
        <v/>
      </c>
      <c r="Q190" s="108" t="str">
        <f>IF('(4).Midterm Results'!J190=0,"",'(4).Midterm Results'!J190)</f>
        <v/>
      </c>
      <c r="R190" s="108" t="str">
        <f>IF('(4).Midterm Results'!K190=0,"",'(4).Midterm Results'!K190)</f>
        <v/>
      </c>
      <c r="S190" s="108" t="str">
        <f>IF('(4).Midterm Results'!L190=0,"",'(4).Midterm Results'!L190)</f>
        <v/>
      </c>
      <c r="T190" s="108" t="str">
        <f>IF('(4).Midterm Results'!M190=0,"",'(4).Midterm Results'!M190)</f>
        <v/>
      </c>
      <c r="U190" s="108" t="str">
        <f>IF('(4).Midterm Results'!N190=0,"",'(4).Midterm Results'!N190)</f>
        <v/>
      </c>
      <c r="V190" s="108" t="str">
        <f>IF('(4).Midterm Results'!O190=0,"",'(4).Midterm Results'!O190)</f>
        <v/>
      </c>
    </row>
    <row r="191" spans="1:22" ht="12.4" customHeight="1">
      <c r="A191" s="245" t="s">
        <v>14</v>
      </c>
      <c r="B191" s="240" t="s">
        <v>125</v>
      </c>
      <c r="C191" s="241"/>
      <c r="D191" s="102" t="s">
        <v>126</v>
      </c>
      <c r="E191" s="109" t="s">
        <v>127</v>
      </c>
      <c r="F191" s="102" t="s">
        <v>128</v>
      </c>
      <c r="H191" s="108">
        <f>IF('(4).Midterm Results'!A191=0,"",'(4).Midterm Results'!A191)</f>
        <v>5</v>
      </c>
      <c r="I191" s="108" t="str">
        <f>IF('(4).Midterm Results'!B191=0,"",'(4).Midterm Results'!B191)</f>
        <v/>
      </c>
      <c r="J191" s="108" t="str">
        <f>IF('(4).Midterm Results'!C191=0,"",'(4).Midterm Results'!C191)</f>
        <v/>
      </c>
      <c r="K191" s="108" t="str">
        <f>IF('(4).Midterm Results'!D191=0,"",'(4).Midterm Results'!D191)</f>
        <v/>
      </c>
      <c r="L191" s="108" t="str">
        <f>IF('(4).Midterm Results'!E191=0,"",'(4).Midterm Results'!E191)</f>
        <v/>
      </c>
      <c r="M191" s="108" t="str">
        <f>IF('(4).Midterm Results'!F191=0,"",'(4).Midterm Results'!F191)</f>
        <v/>
      </c>
      <c r="N191" s="108" t="str">
        <f>IF('(4).Midterm Results'!G191=0,"",'(4).Midterm Results'!G191)</f>
        <v/>
      </c>
      <c r="O191" s="108" t="str">
        <f>IF('(4).Midterm Results'!H191=0,"",'(4).Midterm Results'!H191)</f>
        <v/>
      </c>
      <c r="P191" s="108" t="str">
        <f>IF('(4).Midterm Results'!I191=0,"",'(4).Midterm Results'!I191)</f>
        <v/>
      </c>
      <c r="Q191" s="108" t="str">
        <f>IF('(4).Midterm Results'!J191=0,"",'(4).Midterm Results'!J191)</f>
        <v/>
      </c>
      <c r="R191" s="108" t="str">
        <f>IF('(4).Midterm Results'!K191=0,"",'(4).Midterm Results'!K191)</f>
        <v/>
      </c>
      <c r="S191" s="108" t="str">
        <f>IF('(4).Midterm Results'!L191=0,"",'(4).Midterm Results'!L191)</f>
        <v/>
      </c>
      <c r="T191" s="108" t="str">
        <f>IF('(4).Midterm Results'!M191=0,"",'(4).Midterm Results'!M191)</f>
        <v/>
      </c>
      <c r="U191" s="108" t="str">
        <f>IF('(4).Midterm Results'!N191=0,"",'(4).Midterm Results'!N191)</f>
        <v/>
      </c>
      <c r="V191" s="108" t="str">
        <f>IF('(4).Midterm Results'!O191=0,"",'(4).Midterm Results'!O191)</f>
        <v/>
      </c>
    </row>
    <row r="192" spans="1:22" ht="12.4" customHeight="1">
      <c r="A192" s="246"/>
      <c r="B192" s="240" t="s">
        <v>129</v>
      </c>
      <c r="C192" s="241"/>
      <c r="D192" s="102">
        <v>100</v>
      </c>
      <c r="E192" s="110" cm="1">
        <f t="array" ref="E192:E203">TRANSPOSE(K18:V18)</f>
        <v>89.5</v>
      </c>
      <c r="F192" s="104" t="str">
        <f>IF(E192="","",IF(E192&lt;D192*60%,"Try harder",""))</f>
        <v/>
      </c>
      <c r="H192" s="108">
        <f>IF('(4).Midterm Results'!A192=0,"",'(4).Midterm Results'!A192)</f>
        <v>6</v>
      </c>
      <c r="I192" s="108" t="str">
        <f>IF('(4).Midterm Results'!B192=0,"",'(4).Midterm Results'!B192)</f>
        <v/>
      </c>
      <c r="J192" s="108" t="str">
        <f>IF('(4).Midterm Results'!C192=0,"",'(4).Midterm Results'!C192)</f>
        <v/>
      </c>
      <c r="K192" s="108" t="str">
        <f>IF('(4).Midterm Results'!D192=0,"",'(4).Midterm Results'!D192)</f>
        <v/>
      </c>
      <c r="L192" s="108" t="str">
        <f>IF('(4).Midterm Results'!E192=0,"",'(4).Midterm Results'!E192)</f>
        <v/>
      </c>
      <c r="M192" s="108" t="str">
        <f>IF('(4).Midterm Results'!F192=0,"",'(4).Midterm Results'!F192)</f>
        <v/>
      </c>
      <c r="N192" s="108" t="str">
        <f>IF('(4).Midterm Results'!G192=0,"",'(4).Midterm Results'!G192)</f>
        <v/>
      </c>
      <c r="O192" s="108" t="str">
        <f>IF('(4).Midterm Results'!H192=0,"",'(4).Midterm Results'!H192)</f>
        <v/>
      </c>
      <c r="P192" s="108" t="str">
        <f>IF('(4).Midterm Results'!I192=0,"",'(4).Midterm Results'!I192)</f>
        <v/>
      </c>
      <c r="Q192" s="108" t="str">
        <f>IF('(4).Midterm Results'!J192=0,"",'(4).Midterm Results'!J192)</f>
        <v/>
      </c>
      <c r="R192" s="108" t="str">
        <f>IF('(4).Midterm Results'!K192=0,"",'(4).Midterm Results'!K192)</f>
        <v/>
      </c>
      <c r="S192" s="108" t="str">
        <f>IF('(4).Midterm Results'!L192=0,"",'(4).Midterm Results'!L192)</f>
        <v/>
      </c>
      <c r="T192" s="108" t="str">
        <f>IF('(4).Midterm Results'!M192=0,"",'(4).Midterm Results'!M192)</f>
        <v/>
      </c>
      <c r="U192" s="108" t="str">
        <f>IF('(4).Midterm Results'!N192=0,"",'(4).Midterm Results'!N192)</f>
        <v/>
      </c>
      <c r="V192" s="108" t="str">
        <f>IF('(4).Midterm Results'!O192=0,"",'(4).Midterm Results'!O192)</f>
        <v/>
      </c>
    </row>
    <row r="193" spans="1:22" ht="12.4" customHeight="1">
      <c r="A193" s="246"/>
      <c r="B193" s="242" t="s">
        <v>132</v>
      </c>
      <c r="C193" s="133" t="str" cm="1">
        <f t="array" ref="C193:C202">TRANSPOSE($L$5:$U$5)</f>
        <v>Up-Low C</v>
      </c>
      <c r="D193" s="134">
        <v>10</v>
      </c>
      <c r="E193" s="135">
        <v>8</v>
      </c>
      <c r="F193" s="136" t="str">
        <f t="shared" ref="F193:F203" si="11">IF(E193="","",IF(E193&lt;D193*60%,"Try harder",""))</f>
        <v/>
      </c>
      <c r="H193" s="108">
        <f>IF('(4).Midterm Results'!A193=0,"",'(4).Midterm Results'!A193)</f>
        <v>7</v>
      </c>
      <c r="I193" s="108" t="str">
        <f>IF('(4).Midterm Results'!B193=0,"",'(4).Midterm Results'!B193)</f>
        <v/>
      </c>
      <c r="J193" s="108" t="str">
        <f>IF('(4).Midterm Results'!C193=0,"",'(4).Midterm Results'!C193)</f>
        <v/>
      </c>
      <c r="K193" s="108" t="str">
        <f>IF('(4).Midterm Results'!D193=0,"",'(4).Midterm Results'!D193)</f>
        <v/>
      </c>
      <c r="L193" s="108" t="str">
        <f>IF('(4).Midterm Results'!E193=0,"",'(4).Midterm Results'!E193)</f>
        <v/>
      </c>
      <c r="M193" s="108" t="str">
        <f>IF('(4).Midterm Results'!F193=0,"",'(4).Midterm Results'!F193)</f>
        <v/>
      </c>
      <c r="N193" s="108" t="str">
        <f>IF('(4).Midterm Results'!G193=0,"",'(4).Midterm Results'!G193)</f>
        <v/>
      </c>
      <c r="O193" s="108" t="str">
        <f>IF('(4).Midterm Results'!H193=0,"",'(4).Midterm Results'!H193)</f>
        <v/>
      </c>
      <c r="P193" s="108" t="str">
        <f>IF('(4).Midterm Results'!I193=0,"",'(4).Midterm Results'!I193)</f>
        <v/>
      </c>
      <c r="Q193" s="108" t="str">
        <f>IF('(4).Midterm Results'!J193=0,"",'(4).Midterm Results'!J193)</f>
        <v/>
      </c>
      <c r="R193" s="108" t="str">
        <f>IF('(4).Midterm Results'!K193=0,"",'(4).Midterm Results'!K193)</f>
        <v/>
      </c>
      <c r="S193" s="108" t="str">
        <f>IF('(4).Midterm Results'!L193=0,"",'(4).Midterm Results'!L193)</f>
        <v/>
      </c>
      <c r="T193" s="108" t="str">
        <f>IF('(4).Midterm Results'!M193=0,"",'(4).Midterm Results'!M193)</f>
        <v/>
      </c>
      <c r="U193" s="108" t="str">
        <f>IF('(4).Midterm Results'!N193=0,"",'(4).Midterm Results'!N193)</f>
        <v/>
      </c>
      <c r="V193" s="108" t="str">
        <f>IF('(4).Midterm Results'!O193=0,"",'(4).Midterm Results'!O193)</f>
        <v/>
      </c>
    </row>
    <row r="194" spans="1:22" ht="12.4" customHeight="1">
      <c r="A194" s="246"/>
      <c r="B194" s="243"/>
      <c r="C194" s="137" t="str">
        <v>Alphabet N</v>
      </c>
      <c r="D194" s="138">
        <v>10</v>
      </c>
      <c r="E194" s="139">
        <v>8.5</v>
      </c>
      <c r="F194" s="140" t="str">
        <f t="shared" si="11"/>
        <v/>
      </c>
      <c r="H194" s="108">
        <f>IF('(4).Midterm Results'!A194=0,"",'(4).Midterm Results'!A194)</f>
        <v>8</v>
      </c>
      <c r="I194" s="108" t="str">
        <f>IF('(4).Midterm Results'!B194=0,"",'(4).Midterm Results'!B194)</f>
        <v/>
      </c>
      <c r="J194" s="108" t="str">
        <f>IF('(4).Midterm Results'!C194=0,"",'(4).Midterm Results'!C194)</f>
        <v/>
      </c>
      <c r="K194" s="108" t="str">
        <f>IF('(4).Midterm Results'!D194=0,"",'(4).Midterm Results'!D194)</f>
        <v/>
      </c>
      <c r="L194" s="108" t="str">
        <f>IF('(4).Midterm Results'!E194=0,"",'(4).Midterm Results'!E194)</f>
        <v/>
      </c>
      <c r="M194" s="108" t="str">
        <f>IF('(4).Midterm Results'!F194=0,"",'(4).Midterm Results'!F194)</f>
        <v/>
      </c>
      <c r="N194" s="108" t="str">
        <f>IF('(4).Midterm Results'!G194=0,"",'(4).Midterm Results'!G194)</f>
        <v/>
      </c>
      <c r="O194" s="108" t="str">
        <f>IF('(4).Midterm Results'!H194=0,"",'(4).Midterm Results'!H194)</f>
        <v/>
      </c>
      <c r="P194" s="108" t="str">
        <f>IF('(4).Midterm Results'!I194=0,"",'(4).Midterm Results'!I194)</f>
        <v/>
      </c>
      <c r="Q194" s="108" t="str">
        <f>IF('(4).Midterm Results'!J194=0,"",'(4).Midterm Results'!J194)</f>
        <v/>
      </c>
      <c r="R194" s="108" t="str">
        <f>IF('(4).Midterm Results'!K194=0,"",'(4).Midterm Results'!K194)</f>
        <v/>
      </c>
      <c r="S194" s="108" t="str">
        <f>IF('(4).Midterm Results'!L194=0,"",'(4).Midterm Results'!L194)</f>
        <v/>
      </c>
      <c r="T194" s="108" t="str">
        <f>IF('(4).Midterm Results'!M194=0,"",'(4).Midterm Results'!M194)</f>
        <v/>
      </c>
      <c r="U194" s="108" t="str">
        <f>IF('(4).Midterm Results'!N194=0,"",'(4).Midterm Results'!N194)</f>
        <v/>
      </c>
      <c r="V194" s="108" t="str">
        <f>IF('(4).Midterm Results'!O194=0,"",'(4).Midterm Results'!O194)</f>
        <v/>
      </c>
    </row>
    <row r="195" spans="1:22" ht="12.4" customHeight="1">
      <c r="A195" s="246"/>
      <c r="B195" s="243"/>
      <c r="C195" s="137" t="str">
        <v>Alphabet S</v>
      </c>
      <c r="D195" s="138">
        <v>10</v>
      </c>
      <c r="E195" s="139">
        <v>10</v>
      </c>
      <c r="F195" s="140" t="str">
        <f t="shared" si="11"/>
        <v/>
      </c>
      <c r="H195" s="108">
        <f>IF('(4).Midterm Results'!A195=0,"",'(4).Midterm Results'!A195)</f>
        <v>9</v>
      </c>
      <c r="I195" s="108" t="str">
        <f>IF('(4).Midterm Results'!B195=0,"",'(4).Midterm Results'!B195)</f>
        <v/>
      </c>
      <c r="J195" s="108" t="str">
        <f>IF('(4).Midterm Results'!C195=0,"",'(4).Midterm Results'!C195)</f>
        <v/>
      </c>
      <c r="K195" s="108" t="str">
        <f>IF('(4).Midterm Results'!D195=0,"",'(4).Midterm Results'!D195)</f>
        <v/>
      </c>
      <c r="L195" s="108" t="str">
        <f>IF('(4).Midterm Results'!E195=0,"",'(4).Midterm Results'!E195)</f>
        <v/>
      </c>
      <c r="M195" s="108" t="str">
        <f>IF('(4).Midterm Results'!F195=0,"",'(4).Midterm Results'!F195)</f>
        <v/>
      </c>
      <c r="N195" s="108" t="str">
        <f>IF('(4).Midterm Results'!G195=0,"",'(4).Midterm Results'!G195)</f>
        <v/>
      </c>
      <c r="O195" s="108" t="str">
        <f>IF('(4).Midterm Results'!H195=0,"",'(4).Midterm Results'!H195)</f>
        <v/>
      </c>
      <c r="P195" s="108" t="str">
        <f>IF('(4).Midterm Results'!I195=0,"",'(4).Midterm Results'!I195)</f>
        <v/>
      </c>
      <c r="Q195" s="108" t="str">
        <f>IF('(4).Midterm Results'!J195=0,"",'(4).Midterm Results'!J195)</f>
        <v/>
      </c>
      <c r="R195" s="108" t="str">
        <f>IF('(4).Midterm Results'!K195=0,"",'(4).Midterm Results'!K195)</f>
        <v/>
      </c>
      <c r="S195" s="108" t="str">
        <f>IF('(4).Midterm Results'!L195=0,"",'(4).Midterm Results'!L195)</f>
        <v/>
      </c>
      <c r="T195" s="108" t="str">
        <f>IF('(4).Midterm Results'!M195=0,"",'(4).Midterm Results'!M195)</f>
        <v/>
      </c>
      <c r="U195" s="108" t="str">
        <f>IF('(4).Midterm Results'!N195=0,"",'(4).Midterm Results'!N195)</f>
        <v/>
      </c>
      <c r="V195" s="108" t="str">
        <f>IF('(4).Midterm Results'!O195=0,"",'(4).Midterm Results'!O195)</f>
        <v/>
      </c>
    </row>
    <row r="196" spans="1:22" ht="12.4" customHeight="1">
      <c r="A196" s="246"/>
      <c r="B196" s="243"/>
      <c r="C196" s="137" t="str">
        <v>Vocabulary</v>
      </c>
      <c r="D196" s="138">
        <v>10</v>
      </c>
      <c r="E196" s="139">
        <v>9</v>
      </c>
      <c r="F196" s="140" t="str">
        <f t="shared" si="11"/>
        <v/>
      </c>
      <c r="H196" s="108">
        <f>IF('(4).Midterm Results'!A196=0,"",'(4).Midterm Results'!A196)</f>
        <v>10</v>
      </c>
      <c r="I196" s="108" t="str">
        <f>IF('(4).Midterm Results'!B196=0,"",'(4).Midterm Results'!B196)</f>
        <v/>
      </c>
      <c r="J196" s="108" t="str">
        <f>IF('(4).Midterm Results'!C196=0,"",'(4).Midterm Results'!C196)</f>
        <v/>
      </c>
      <c r="K196" s="108" t="str">
        <f>IF('(4).Midterm Results'!D196=0,"",'(4).Midterm Results'!D196)</f>
        <v/>
      </c>
      <c r="L196" s="108" t="str">
        <f>IF('(4).Midterm Results'!E196=0,"",'(4).Midterm Results'!E196)</f>
        <v/>
      </c>
      <c r="M196" s="108" t="str">
        <f>IF('(4).Midterm Results'!F196=0,"",'(4).Midterm Results'!F196)</f>
        <v/>
      </c>
      <c r="N196" s="108" t="str">
        <f>IF('(4).Midterm Results'!G196=0,"",'(4).Midterm Results'!G196)</f>
        <v/>
      </c>
      <c r="O196" s="108" t="str">
        <f>IF('(4).Midterm Results'!H196=0,"",'(4).Midterm Results'!H196)</f>
        <v/>
      </c>
      <c r="P196" s="108" t="str">
        <f>IF('(4).Midterm Results'!I196=0,"",'(4).Midterm Results'!I196)</f>
        <v/>
      </c>
      <c r="Q196" s="108" t="str">
        <f>IF('(4).Midterm Results'!J196=0,"",'(4).Midterm Results'!J196)</f>
        <v/>
      </c>
      <c r="R196" s="108" t="str">
        <f>IF('(4).Midterm Results'!K196=0,"",'(4).Midterm Results'!K196)</f>
        <v/>
      </c>
      <c r="S196" s="108" t="str">
        <f>IF('(4).Midterm Results'!L196=0,"",'(4).Midterm Results'!L196)</f>
        <v/>
      </c>
      <c r="T196" s="108" t="str">
        <f>IF('(4).Midterm Results'!M196=0,"",'(4).Midterm Results'!M196)</f>
        <v/>
      </c>
      <c r="U196" s="108" t="str">
        <f>IF('(4).Midterm Results'!N196=0,"",'(4).Midterm Results'!N196)</f>
        <v/>
      </c>
      <c r="V196" s="108" t="str">
        <f>IF('(4).Midterm Results'!O196=0,"",'(4).Midterm Results'!O196)</f>
        <v/>
      </c>
    </row>
    <row r="197" spans="1:22" ht="12.4" customHeight="1">
      <c r="A197" s="247" t="s">
        <v>131</v>
      </c>
      <c r="B197" s="243"/>
      <c r="C197" s="137" t="str">
        <v>Sprouts</v>
      </c>
      <c r="D197" s="138">
        <v>10</v>
      </c>
      <c r="E197" s="139">
        <v>9</v>
      </c>
      <c r="F197" s="140" t="str">
        <f t="shared" si="11"/>
        <v/>
      </c>
      <c r="H197" s="108">
        <f>IF('(4).Midterm Results'!A197=0,"",'(4).Midterm Results'!A197)</f>
        <v>11</v>
      </c>
      <c r="I197" s="108" t="str">
        <f>IF('(4).Midterm Results'!B197=0,"",'(4).Midterm Results'!B197)</f>
        <v/>
      </c>
      <c r="J197" s="108" t="str">
        <f>IF('(4).Midterm Results'!C197=0,"",'(4).Midterm Results'!C197)</f>
        <v/>
      </c>
      <c r="K197" s="108" t="str">
        <f>IF('(4).Midterm Results'!D197=0,"",'(4).Midterm Results'!D197)</f>
        <v/>
      </c>
      <c r="L197" s="108" t="str">
        <f>IF('(4).Midterm Results'!E197=0,"",'(4).Midterm Results'!E197)</f>
        <v/>
      </c>
      <c r="M197" s="108" t="str">
        <f>IF('(4).Midterm Results'!F197=0,"",'(4).Midterm Results'!F197)</f>
        <v/>
      </c>
      <c r="N197" s="108" t="str">
        <f>IF('(4).Midterm Results'!G197=0,"",'(4).Midterm Results'!G197)</f>
        <v/>
      </c>
      <c r="O197" s="108" t="str">
        <f>IF('(4).Midterm Results'!H197=0,"",'(4).Midterm Results'!H197)</f>
        <v/>
      </c>
      <c r="P197" s="108" t="str">
        <f>IF('(4).Midterm Results'!I197=0,"",'(4).Midterm Results'!I197)</f>
        <v/>
      </c>
      <c r="Q197" s="108" t="str">
        <f>IF('(4).Midterm Results'!J197=0,"",'(4).Midterm Results'!J197)</f>
        <v/>
      </c>
      <c r="R197" s="108" t="str">
        <f>IF('(4).Midterm Results'!K197=0,"",'(4).Midterm Results'!K197)</f>
        <v/>
      </c>
      <c r="S197" s="108" t="str">
        <f>IF('(4).Midterm Results'!L197=0,"",'(4).Midterm Results'!L197)</f>
        <v/>
      </c>
      <c r="T197" s="108" t="str">
        <f>IF('(4).Midterm Results'!M197=0,"",'(4).Midterm Results'!M197)</f>
        <v/>
      </c>
      <c r="U197" s="108" t="str">
        <f>IF('(4).Midterm Results'!N197=0,"",'(4).Midterm Results'!N197)</f>
        <v/>
      </c>
      <c r="V197" s="108" t="str">
        <f>IF('(4).Midterm Results'!O197=0,"",'(4).Midterm Results'!O197)</f>
        <v/>
      </c>
    </row>
    <row r="198" spans="1:22" ht="12.4" customHeight="1">
      <c r="A198" s="247"/>
      <c r="B198" s="243"/>
      <c r="C198" s="137" t="str">
        <v>Phonics</v>
      </c>
      <c r="D198" s="138">
        <v>10</v>
      </c>
      <c r="E198" s="139">
        <v>9</v>
      </c>
      <c r="F198" s="140" t="str">
        <f t="shared" si="11"/>
        <v/>
      </c>
      <c r="H198" s="108">
        <f>IF('(4).Midterm Results'!A198=0,"",'(4).Midterm Results'!A198)</f>
        <v>12</v>
      </c>
      <c r="I198" s="108" t="str">
        <f>IF('(4).Midterm Results'!B198=0,"",'(4).Midterm Results'!B198)</f>
        <v/>
      </c>
      <c r="J198" s="108" t="str">
        <f>IF('(4).Midterm Results'!C198=0,"",'(4).Midterm Results'!C198)</f>
        <v/>
      </c>
      <c r="K198" s="108" t="str">
        <f>IF('(4).Midterm Results'!D198=0,"",'(4).Midterm Results'!D198)</f>
        <v/>
      </c>
      <c r="L198" s="108" t="str">
        <f>IF('(4).Midterm Results'!E198=0,"",'(4).Midterm Results'!E198)</f>
        <v/>
      </c>
      <c r="M198" s="108" t="str">
        <f>IF('(4).Midterm Results'!F198=0,"",'(4).Midterm Results'!F198)</f>
        <v/>
      </c>
      <c r="N198" s="108" t="str">
        <f>IF('(4).Midterm Results'!G198=0,"",'(4).Midterm Results'!G198)</f>
        <v/>
      </c>
      <c r="O198" s="108" t="str">
        <f>IF('(4).Midterm Results'!H198=0,"",'(4).Midterm Results'!H198)</f>
        <v/>
      </c>
      <c r="P198" s="108" t="str">
        <f>IF('(4).Midterm Results'!I198=0,"",'(4).Midterm Results'!I198)</f>
        <v/>
      </c>
      <c r="Q198" s="108" t="str">
        <f>IF('(4).Midterm Results'!J198=0,"",'(4).Midterm Results'!J198)</f>
        <v/>
      </c>
      <c r="R198" s="108" t="str">
        <f>IF('(4).Midterm Results'!K198=0,"",'(4).Midterm Results'!K198)</f>
        <v/>
      </c>
      <c r="S198" s="108" t="str">
        <f>IF('(4).Midterm Results'!L198=0,"",'(4).Midterm Results'!L198)</f>
        <v/>
      </c>
      <c r="T198" s="108" t="str">
        <f>IF('(4).Midterm Results'!M198=0,"",'(4).Midterm Results'!M198)</f>
        <v/>
      </c>
      <c r="U198" s="108" t="str">
        <f>IF('(4).Midterm Results'!N198=0,"",'(4).Midterm Results'!N198)</f>
        <v/>
      </c>
      <c r="V198" s="108" t="str">
        <f>IF('(4).Midterm Results'!O198=0,"",'(4).Midterm Results'!O198)</f>
        <v/>
      </c>
    </row>
    <row r="199" spans="1:22" ht="12.4" customHeight="1">
      <c r="A199" s="247"/>
      <c r="B199" s="243"/>
      <c r="C199" s="137" t="str">
        <v>Math</v>
      </c>
      <c r="D199" s="138">
        <v>10</v>
      </c>
      <c r="E199" s="139">
        <v>10</v>
      </c>
      <c r="F199" s="140" t="str">
        <f t="shared" si="11"/>
        <v/>
      </c>
      <c r="H199" s="108">
        <f>IF('(4).Midterm Results'!A199=0,"",'(4).Midterm Results'!A199)</f>
        <v>13</v>
      </c>
      <c r="I199" s="108" t="str">
        <f>IF('(4).Midterm Results'!B199=0,"",'(4).Midterm Results'!B199)</f>
        <v/>
      </c>
      <c r="J199" s="108" t="str">
        <f>IF('(4).Midterm Results'!C199=0,"",'(4).Midterm Results'!C199)</f>
        <v/>
      </c>
      <c r="K199" s="108" t="str">
        <f>IF('(4).Midterm Results'!D199=0,"",'(4).Midterm Results'!D199)</f>
        <v/>
      </c>
      <c r="L199" s="108" t="str">
        <f>IF('(4).Midterm Results'!E199=0,"",'(4).Midterm Results'!E199)</f>
        <v/>
      </c>
      <c r="M199" s="108" t="str">
        <f>IF('(4).Midterm Results'!F199=0,"",'(4).Midterm Results'!F199)</f>
        <v/>
      </c>
      <c r="N199" s="108" t="str">
        <f>IF('(4).Midterm Results'!G199=0,"",'(4).Midterm Results'!G199)</f>
        <v/>
      </c>
      <c r="O199" s="108" t="str">
        <f>IF('(4).Midterm Results'!H199=0,"",'(4).Midterm Results'!H199)</f>
        <v/>
      </c>
      <c r="P199" s="108" t="str">
        <f>IF('(4).Midterm Results'!I199=0,"",'(4).Midterm Results'!I199)</f>
        <v/>
      </c>
      <c r="Q199" s="108" t="str">
        <f>IF('(4).Midterm Results'!J199=0,"",'(4).Midterm Results'!J199)</f>
        <v/>
      </c>
      <c r="R199" s="108" t="str">
        <f>IF('(4).Midterm Results'!K199=0,"",'(4).Midterm Results'!K199)</f>
        <v/>
      </c>
      <c r="S199" s="108" t="str">
        <f>IF('(4).Midterm Results'!L199=0,"",'(4).Midterm Results'!L199)</f>
        <v/>
      </c>
      <c r="T199" s="108" t="str">
        <f>IF('(4).Midterm Results'!M199=0,"",'(4).Midterm Results'!M199)</f>
        <v/>
      </c>
      <c r="U199" s="108" t="str">
        <f>IF('(4).Midterm Results'!N199=0,"",'(4).Midterm Results'!N199)</f>
        <v/>
      </c>
      <c r="V199" s="108" t="str">
        <f>IF('(4).Midterm Results'!O199=0,"",'(4).Midterm Results'!O199)</f>
        <v/>
      </c>
    </row>
    <row r="200" spans="1:22" ht="12.4" customHeight="1">
      <c r="A200" s="247"/>
      <c r="B200" s="243"/>
      <c r="C200" s="137" t="str">
        <v>Shape</v>
      </c>
      <c r="D200" s="138">
        <v>10</v>
      </c>
      <c r="E200" s="139">
        <v>10</v>
      </c>
      <c r="F200" s="140" t="str">
        <f t="shared" si="11"/>
        <v/>
      </c>
      <c r="H200" s="108">
        <f>IF('(4).Midterm Results'!A200=0,"",'(4).Midterm Results'!A200)</f>
        <v>14</v>
      </c>
      <c r="I200" s="108" t="str">
        <f>IF('(4).Midterm Results'!B200=0,"",'(4).Midterm Results'!B200)</f>
        <v/>
      </c>
      <c r="J200" s="108" t="str">
        <f>IF('(4).Midterm Results'!C200=0,"",'(4).Midterm Results'!C200)</f>
        <v/>
      </c>
      <c r="K200" s="108" t="str">
        <f>IF('(4).Midterm Results'!D200=0,"",'(4).Midterm Results'!D200)</f>
        <v/>
      </c>
      <c r="L200" s="108" t="str">
        <f>IF('(4).Midterm Results'!E200=0,"",'(4).Midterm Results'!E200)</f>
        <v/>
      </c>
      <c r="M200" s="108" t="str">
        <f>IF('(4).Midterm Results'!F200=0,"",'(4).Midterm Results'!F200)</f>
        <v/>
      </c>
      <c r="N200" s="108" t="str">
        <f>IF('(4).Midterm Results'!G200=0,"",'(4).Midterm Results'!G200)</f>
        <v/>
      </c>
      <c r="O200" s="108" t="str">
        <f>IF('(4).Midterm Results'!H200=0,"",'(4).Midterm Results'!H200)</f>
        <v/>
      </c>
      <c r="P200" s="108" t="str">
        <f>IF('(4).Midterm Results'!I200=0,"",'(4).Midterm Results'!I200)</f>
        <v/>
      </c>
      <c r="Q200" s="108" t="str">
        <f>IF('(4).Midterm Results'!J200=0,"",'(4).Midterm Results'!J200)</f>
        <v/>
      </c>
      <c r="R200" s="108" t="str">
        <f>IF('(4).Midterm Results'!K200=0,"",'(4).Midterm Results'!K200)</f>
        <v/>
      </c>
      <c r="S200" s="108" t="str">
        <f>IF('(4).Midterm Results'!L200=0,"",'(4).Midterm Results'!L200)</f>
        <v/>
      </c>
      <c r="T200" s="108" t="str">
        <f>IF('(4).Midterm Results'!M200=0,"",'(4).Midterm Results'!M200)</f>
        <v/>
      </c>
      <c r="U200" s="108" t="str">
        <f>IF('(4).Midterm Results'!N200=0,"",'(4).Midterm Results'!N200)</f>
        <v/>
      </c>
      <c r="V200" s="108" t="str">
        <f>IF('(4).Midterm Results'!O200=0,"",'(4).Midterm Results'!O200)</f>
        <v/>
      </c>
    </row>
    <row r="201" spans="1:22" ht="12.4" customHeight="1">
      <c r="A201" s="247"/>
      <c r="B201" s="243"/>
      <c r="C201" s="137" t="str">
        <v>Science</v>
      </c>
      <c r="D201" s="138">
        <v>10</v>
      </c>
      <c r="E201" s="139">
        <v>8</v>
      </c>
      <c r="F201" s="140" t="str">
        <f t="shared" si="11"/>
        <v/>
      </c>
      <c r="H201" s="108">
        <f>IF('(4).Midterm Results'!A201=0,"",'(4).Midterm Results'!A201)</f>
        <v>15</v>
      </c>
      <c r="I201" s="108" t="str">
        <f>IF('(4).Midterm Results'!B201=0,"",'(4).Midterm Results'!B201)</f>
        <v/>
      </c>
      <c r="J201" s="108" t="str">
        <f>IF('(4).Midterm Results'!C201=0,"",'(4).Midterm Results'!C201)</f>
        <v/>
      </c>
      <c r="K201" s="108" t="str">
        <f>IF('(4).Midterm Results'!D201=0,"",'(4).Midterm Results'!D201)</f>
        <v/>
      </c>
      <c r="L201" s="108" t="str">
        <f>IF('(4).Midterm Results'!E201=0,"",'(4).Midterm Results'!E201)</f>
        <v/>
      </c>
      <c r="M201" s="108" t="str">
        <f>IF('(4).Midterm Results'!F201=0,"",'(4).Midterm Results'!F201)</f>
        <v/>
      </c>
      <c r="N201" s="108" t="str">
        <f>IF('(4).Midterm Results'!G201=0,"",'(4).Midterm Results'!G201)</f>
        <v/>
      </c>
      <c r="O201" s="108" t="str">
        <f>IF('(4).Midterm Results'!H201=0,"",'(4).Midterm Results'!H201)</f>
        <v/>
      </c>
      <c r="P201" s="108" t="str">
        <f>IF('(4).Midterm Results'!I201=0,"",'(4).Midterm Results'!I201)</f>
        <v/>
      </c>
      <c r="Q201" s="108" t="str">
        <f>IF('(4).Midterm Results'!J201=0,"",'(4).Midterm Results'!J201)</f>
        <v/>
      </c>
      <c r="R201" s="108" t="str">
        <f>IF('(4).Midterm Results'!K201=0,"",'(4).Midterm Results'!K201)</f>
        <v/>
      </c>
      <c r="S201" s="108" t="str">
        <f>IF('(4).Midterm Results'!L201=0,"",'(4).Midterm Results'!L201)</f>
        <v/>
      </c>
      <c r="T201" s="108" t="str">
        <f>IF('(4).Midterm Results'!M201=0,"",'(4).Midterm Results'!M201)</f>
        <v/>
      </c>
      <c r="U201" s="108" t="str">
        <f>IF('(4).Midterm Results'!N201=0,"",'(4).Midterm Results'!N201)</f>
        <v/>
      </c>
      <c r="V201" s="108" t="str">
        <f>IF('(4).Midterm Results'!O201=0,"",'(4).Midterm Results'!O201)</f>
        <v/>
      </c>
    </row>
    <row r="202" spans="1:22" ht="12.4" customHeight="1">
      <c r="A202" s="247"/>
      <c r="B202" s="244"/>
      <c r="C202" s="141" t="str">
        <v>Tracing</v>
      </c>
      <c r="D202" s="142">
        <v>10</v>
      </c>
      <c r="E202" s="143">
        <v>10</v>
      </c>
      <c r="F202" s="144" t="str">
        <f t="shared" si="11"/>
        <v/>
      </c>
      <c r="H202" s="108">
        <f>IF('(4).Midterm Results'!A202=0,"",'(4).Midterm Results'!A202)</f>
        <v>16</v>
      </c>
      <c r="I202" s="108" t="str">
        <f>IF('(4).Midterm Results'!B202=0,"",'(4).Midterm Results'!B202)</f>
        <v/>
      </c>
      <c r="J202" s="108" t="str">
        <f>IF('(4).Midterm Results'!C202=0,"",'(4).Midterm Results'!C202)</f>
        <v/>
      </c>
      <c r="K202" s="108" t="str">
        <f>IF('(4).Midterm Results'!D202=0,"",'(4).Midterm Results'!D202)</f>
        <v/>
      </c>
      <c r="L202" s="108" t="str">
        <f>IF('(4).Midterm Results'!E202=0,"",'(4).Midterm Results'!E202)</f>
        <v/>
      </c>
      <c r="M202" s="108" t="str">
        <f>IF('(4).Midterm Results'!F202=0,"",'(4).Midterm Results'!F202)</f>
        <v/>
      </c>
      <c r="N202" s="108" t="str">
        <f>IF('(4).Midterm Results'!G202=0,"",'(4).Midterm Results'!G202)</f>
        <v/>
      </c>
      <c r="O202" s="108" t="str">
        <f>IF('(4).Midterm Results'!H202=0,"",'(4).Midterm Results'!H202)</f>
        <v/>
      </c>
      <c r="P202" s="108" t="str">
        <f>IF('(4).Midterm Results'!I202=0,"",'(4).Midterm Results'!I202)</f>
        <v/>
      </c>
      <c r="Q202" s="108" t="str">
        <f>IF('(4).Midterm Results'!J202=0,"",'(4).Midterm Results'!J202)</f>
        <v/>
      </c>
      <c r="R202" s="108" t="str">
        <f>IF('(4).Midterm Results'!K202=0,"",'(4).Midterm Results'!K202)</f>
        <v/>
      </c>
      <c r="S202" s="108" t="str">
        <f>IF('(4).Midterm Results'!L202=0,"",'(4).Midterm Results'!L202)</f>
        <v/>
      </c>
      <c r="T202" s="108" t="str">
        <f>IF('(4).Midterm Results'!M202=0,"",'(4).Midterm Results'!M202)</f>
        <v/>
      </c>
      <c r="U202" s="108" t="str">
        <f>IF('(4).Midterm Results'!N202=0,"",'(4).Midterm Results'!N202)</f>
        <v/>
      </c>
      <c r="V202" s="108" t="str">
        <f>IF('(4).Midterm Results'!O202=0,"",'(4).Midterm Results'!O202)</f>
        <v/>
      </c>
    </row>
    <row r="203" spans="1:22" ht="12.4" customHeight="1">
      <c r="A203" s="248"/>
      <c r="B203" s="240" t="s">
        <v>133</v>
      </c>
      <c r="C203" s="241"/>
      <c r="D203" s="103">
        <f>D192*20%+SUM(D193:D202)*80%</f>
        <v>100</v>
      </c>
      <c r="E203" s="110">
        <v>91.100000000000009</v>
      </c>
      <c r="F203" s="104" t="str">
        <f t="shared" si="11"/>
        <v/>
      </c>
      <c r="H203" s="108">
        <f>IF('(4).Midterm Results'!A203=0,"",'(4).Midterm Results'!A203)</f>
        <v>17</v>
      </c>
      <c r="I203" s="108" t="str">
        <f>IF('(4).Midterm Results'!B203=0,"",'(4).Midterm Results'!B203)</f>
        <v/>
      </c>
      <c r="J203" s="108" t="str">
        <f>IF('(4).Midterm Results'!C203=0,"",'(4).Midterm Results'!C203)</f>
        <v/>
      </c>
      <c r="K203" s="108" t="str">
        <f>IF('(4).Midterm Results'!D203=0,"",'(4).Midterm Results'!D203)</f>
        <v/>
      </c>
      <c r="L203" s="108" t="str">
        <f>IF('(4).Midterm Results'!E203=0,"",'(4).Midterm Results'!E203)</f>
        <v/>
      </c>
      <c r="M203" s="108" t="str">
        <f>IF('(4).Midterm Results'!F203=0,"",'(4).Midterm Results'!F203)</f>
        <v/>
      </c>
      <c r="N203" s="108" t="str">
        <f>IF('(4).Midterm Results'!G203=0,"",'(4).Midterm Results'!G203)</f>
        <v/>
      </c>
      <c r="O203" s="108" t="str">
        <f>IF('(4).Midterm Results'!H203=0,"",'(4).Midterm Results'!H203)</f>
        <v/>
      </c>
      <c r="P203" s="108" t="str">
        <f>IF('(4).Midterm Results'!I203=0,"",'(4).Midterm Results'!I203)</f>
        <v/>
      </c>
      <c r="Q203" s="108" t="str">
        <f>IF('(4).Midterm Results'!J203=0,"",'(4).Midterm Results'!J203)</f>
        <v/>
      </c>
      <c r="R203" s="108" t="str">
        <f>IF('(4).Midterm Results'!K203=0,"",'(4).Midterm Results'!K203)</f>
        <v/>
      </c>
      <c r="S203" s="108" t="str">
        <f>IF('(4).Midterm Results'!L203=0,"",'(4).Midterm Results'!L203)</f>
        <v/>
      </c>
      <c r="T203" s="108" t="str">
        <f>IF('(4).Midterm Results'!M203=0,"",'(4).Midterm Results'!M203)</f>
        <v/>
      </c>
      <c r="U203" s="108" t="str">
        <f>IF('(4).Midterm Results'!N203=0,"",'(4).Midterm Results'!N203)</f>
        <v/>
      </c>
      <c r="V203" s="108" t="str">
        <f>IF('(4).Midterm Results'!O203=0,"",'(4).Midterm Results'!O203)</f>
        <v/>
      </c>
    </row>
    <row r="204" spans="1:22" ht="12.4" customHeight="1">
      <c r="H204" s="108">
        <f>IF('(4).Midterm Results'!A204=0,"",'(4).Midterm Results'!A204)</f>
        <v>18</v>
      </c>
      <c r="I204" s="108" t="str">
        <f>IF('(4).Midterm Results'!B204=0,"",'(4).Midterm Results'!B204)</f>
        <v/>
      </c>
      <c r="J204" s="108" t="str">
        <f>IF('(4).Midterm Results'!C204=0,"",'(4).Midterm Results'!C204)</f>
        <v/>
      </c>
      <c r="K204" s="108" t="str">
        <f>IF('(4).Midterm Results'!D204=0,"",'(4).Midterm Results'!D204)</f>
        <v/>
      </c>
      <c r="L204" s="108" t="str">
        <f>IF('(4).Midterm Results'!E204=0,"",'(4).Midterm Results'!E204)</f>
        <v/>
      </c>
      <c r="M204" s="108" t="str">
        <f>IF('(4).Midterm Results'!F204=0,"",'(4).Midterm Results'!F204)</f>
        <v/>
      </c>
      <c r="N204" s="108" t="str">
        <f>IF('(4).Midterm Results'!G204=0,"",'(4).Midterm Results'!G204)</f>
        <v/>
      </c>
      <c r="O204" s="108" t="str">
        <f>IF('(4).Midterm Results'!H204=0,"",'(4).Midterm Results'!H204)</f>
        <v/>
      </c>
      <c r="P204" s="108" t="str">
        <f>IF('(4).Midterm Results'!I204=0,"",'(4).Midterm Results'!I204)</f>
        <v/>
      </c>
      <c r="Q204" s="108" t="str">
        <f>IF('(4).Midterm Results'!J204=0,"",'(4).Midterm Results'!J204)</f>
        <v/>
      </c>
      <c r="R204" s="108" t="str">
        <f>IF('(4).Midterm Results'!K204=0,"",'(4).Midterm Results'!K204)</f>
        <v/>
      </c>
      <c r="S204" s="108" t="str">
        <f>IF('(4).Midterm Results'!L204=0,"",'(4).Midterm Results'!L204)</f>
        <v/>
      </c>
      <c r="T204" s="108" t="str">
        <f>IF('(4).Midterm Results'!M204=0,"",'(4).Midterm Results'!M204)</f>
        <v/>
      </c>
      <c r="U204" s="108" t="str">
        <f>IF('(4).Midterm Results'!N204=0,"",'(4).Midterm Results'!N204)</f>
        <v/>
      </c>
      <c r="V204" s="108" t="str">
        <f>IF('(4).Midterm Results'!O204=0,"",'(4).Midterm Results'!O204)</f>
        <v/>
      </c>
    </row>
    <row r="205" spans="1:22" ht="12.4" customHeight="1">
      <c r="A205" s="230" t="s">
        <v>121</v>
      </c>
      <c r="B205" s="231"/>
      <c r="C205" s="231"/>
      <c r="D205" s="107" t="s">
        <v>123</v>
      </c>
      <c r="E205" s="232" t="str">
        <f>I19</f>
        <v>Ly Sanmoniroth</v>
      </c>
      <c r="F205" s="233"/>
      <c r="G205" s="101">
        <v>19</v>
      </c>
      <c r="H205" s="108">
        <f>IF('(4).Midterm Results'!A205=0,"",'(4).Midterm Results'!A205)</f>
        <v>19</v>
      </c>
      <c r="I205" s="108" t="str">
        <f>IF('(4).Midterm Results'!B205=0,"",'(4).Midterm Results'!B205)</f>
        <v/>
      </c>
      <c r="J205" s="108" t="str">
        <f>IF('(4).Midterm Results'!C205=0,"",'(4).Midterm Results'!C205)</f>
        <v/>
      </c>
      <c r="K205" s="108" t="str">
        <f>IF('(4).Midterm Results'!D205=0,"",'(4).Midterm Results'!D205)</f>
        <v/>
      </c>
      <c r="L205" s="108" t="str">
        <f>IF('(4).Midterm Results'!E205=0,"",'(4).Midterm Results'!E205)</f>
        <v/>
      </c>
      <c r="M205" s="108" t="str">
        <f>IF('(4).Midterm Results'!F205=0,"",'(4).Midterm Results'!F205)</f>
        <v/>
      </c>
      <c r="N205" s="108" t="str">
        <f>IF('(4).Midterm Results'!G205=0,"",'(4).Midterm Results'!G205)</f>
        <v/>
      </c>
      <c r="O205" s="108" t="str">
        <f>IF('(4).Midterm Results'!H205=0,"",'(4).Midterm Results'!H205)</f>
        <v/>
      </c>
      <c r="P205" s="108" t="str">
        <f>IF('(4).Midterm Results'!I205=0,"",'(4).Midterm Results'!I205)</f>
        <v/>
      </c>
      <c r="Q205" s="108" t="str">
        <f>IF('(4).Midterm Results'!J205=0,"",'(4).Midterm Results'!J205)</f>
        <v/>
      </c>
      <c r="R205" s="108" t="str">
        <f>IF('(4).Midterm Results'!K205=0,"",'(4).Midterm Results'!K205)</f>
        <v/>
      </c>
      <c r="S205" s="108" t="str">
        <f>IF('(4).Midterm Results'!L205=0,"",'(4).Midterm Results'!L205)</f>
        <v/>
      </c>
      <c r="T205" s="108" t="str">
        <f>IF('(4).Midterm Results'!M205=0,"",'(4).Midterm Results'!M205)</f>
        <v/>
      </c>
      <c r="U205" s="108" t="str">
        <f>IF('(4).Midterm Results'!N205=0,"",'(4).Midterm Results'!N205)</f>
        <v/>
      </c>
      <c r="V205" s="108" t="str">
        <f>IF('(4).Midterm Results'!O205=0,"",'(4).Midterm Results'!O205)</f>
        <v/>
      </c>
    </row>
    <row r="206" spans="1:22" ht="12.4" customHeight="1">
      <c r="A206" s="105" t="s">
        <v>122</v>
      </c>
      <c r="B206" s="234" t="str">
        <f>$K$2</f>
        <v>FEBRUARY - JULY 2026</v>
      </c>
      <c r="C206" s="234"/>
      <c r="D206" s="106" t="s">
        <v>124</v>
      </c>
      <c r="E206" s="235" t="str">
        <f>$I$2</f>
        <v>K1B</v>
      </c>
      <c r="F206" s="236"/>
      <c r="H206" s="108">
        <f>IF('(4).Midterm Results'!A206=0,"",'(4).Midterm Results'!A206)</f>
        <v>20</v>
      </c>
      <c r="I206" s="108" t="str">
        <f>IF('(4).Midterm Results'!B206=0,"",'(4).Midterm Results'!B206)</f>
        <v/>
      </c>
      <c r="J206" s="108" t="str">
        <f>IF('(4).Midterm Results'!C206=0,"",'(4).Midterm Results'!C206)</f>
        <v/>
      </c>
      <c r="K206" s="108" t="str">
        <f>IF('(4).Midterm Results'!D206=0,"",'(4).Midterm Results'!D206)</f>
        <v/>
      </c>
      <c r="L206" s="108" t="str">
        <f>IF('(4).Midterm Results'!E206=0,"",'(4).Midterm Results'!E206)</f>
        <v/>
      </c>
      <c r="M206" s="108" t="str">
        <f>IF('(4).Midterm Results'!F206=0,"",'(4).Midterm Results'!F206)</f>
        <v/>
      </c>
      <c r="N206" s="108" t="str">
        <f>IF('(4).Midterm Results'!G206=0,"",'(4).Midterm Results'!G206)</f>
        <v/>
      </c>
      <c r="O206" s="108" t="str">
        <f>IF('(4).Midterm Results'!H206=0,"",'(4).Midterm Results'!H206)</f>
        <v/>
      </c>
      <c r="P206" s="108" t="str">
        <f>IF('(4).Midterm Results'!I206=0,"",'(4).Midterm Results'!I206)</f>
        <v/>
      </c>
      <c r="Q206" s="108" t="str">
        <f>IF('(4).Midterm Results'!J206=0,"",'(4).Midterm Results'!J206)</f>
        <v/>
      </c>
      <c r="R206" s="108" t="str">
        <f>IF('(4).Midterm Results'!K206=0,"",'(4).Midterm Results'!K206)</f>
        <v/>
      </c>
      <c r="S206" s="108" t="str">
        <f>IF('(4).Midterm Results'!L206=0,"",'(4).Midterm Results'!L206)</f>
        <v/>
      </c>
      <c r="T206" s="108" t="str">
        <f>IF('(4).Midterm Results'!M206=0,"",'(4).Midterm Results'!M206)</f>
        <v/>
      </c>
      <c r="U206" s="108" t="str">
        <f>IF('(4).Midterm Results'!N206=0,"",'(4).Midterm Results'!N206)</f>
        <v/>
      </c>
      <c r="V206" s="108" t="str">
        <f>IF('(4).Midterm Results'!O206=0,"",'(4).Midterm Results'!O206)</f>
        <v/>
      </c>
    </row>
    <row r="207" spans="1:22" ht="12.4" customHeight="1">
      <c r="A207" s="237" t="s">
        <v>130</v>
      </c>
      <c r="B207" s="238"/>
      <c r="C207" s="238"/>
      <c r="D207" s="238"/>
      <c r="E207" s="238"/>
      <c r="F207" s="239"/>
      <c r="H207" s="108">
        <f>IF('(4).Midterm Results'!A207=0,"",'(4).Midterm Results'!A207)</f>
        <v>21</v>
      </c>
      <c r="I207" s="108" t="str">
        <f>IF('(4).Midterm Results'!B207=0,"",'(4).Midterm Results'!B207)</f>
        <v/>
      </c>
      <c r="J207" s="108" t="str">
        <f>IF('(4).Midterm Results'!C207=0,"",'(4).Midterm Results'!C207)</f>
        <v/>
      </c>
      <c r="K207" s="108" t="str">
        <f>IF('(4).Midterm Results'!D207=0,"",'(4).Midterm Results'!D207)</f>
        <v/>
      </c>
      <c r="L207" s="108" t="str">
        <f>IF('(4).Midterm Results'!E207=0,"",'(4).Midterm Results'!E207)</f>
        <v/>
      </c>
      <c r="M207" s="108" t="str">
        <f>IF('(4).Midterm Results'!F207=0,"",'(4).Midterm Results'!F207)</f>
        <v/>
      </c>
      <c r="N207" s="108" t="str">
        <f>IF('(4).Midterm Results'!G207=0,"",'(4).Midterm Results'!G207)</f>
        <v/>
      </c>
      <c r="O207" s="108" t="str">
        <f>IF('(4).Midterm Results'!H207=0,"",'(4).Midterm Results'!H207)</f>
        <v/>
      </c>
      <c r="P207" s="108" t="str">
        <f>IF('(4).Midterm Results'!I207=0,"",'(4).Midterm Results'!I207)</f>
        <v/>
      </c>
      <c r="Q207" s="108" t="str">
        <f>IF('(4).Midterm Results'!J207=0,"",'(4).Midterm Results'!J207)</f>
        <v/>
      </c>
      <c r="R207" s="108" t="str">
        <f>IF('(4).Midterm Results'!K207=0,"",'(4).Midterm Results'!K207)</f>
        <v/>
      </c>
      <c r="S207" s="108" t="str">
        <f>IF('(4).Midterm Results'!L207=0,"",'(4).Midterm Results'!L207)</f>
        <v/>
      </c>
      <c r="T207" s="108" t="str">
        <f>IF('(4).Midterm Results'!M207=0,"",'(4).Midterm Results'!M207)</f>
        <v/>
      </c>
      <c r="U207" s="108" t="str">
        <f>IF('(4).Midterm Results'!N207=0,"",'(4).Midterm Results'!N207)</f>
        <v/>
      </c>
      <c r="V207" s="108" t="str">
        <f>IF('(4).Midterm Results'!O207=0,"",'(4).Midterm Results'!O207)</f>
        <v/>
      </c>
    </row>
    <row r="208" spans="1:22" ht="12.4" customHeight="1">
      <c r="A208" s="245" t="s">
        <v>14</v>
      </c>
      <c r="B208" s="240" t="s">
        <v>125</v>
      </c>
      <c r="C208" s="241"/>
      <c r="D208" s="102" t="s">
        <v>126</v>
      </c>
      <c r="E208" s="109" t="s">
        <v>127</v>
      </c>
      <c r="F208" s="102" t="s">
        <v>128</v>
      </c>
      <c r="H208" s="108">
        <f>IF('(4).Midterm Results'!A208=0,"",'(4).Midterm Results'!A208)</f>
        <v>22</v>
      </c>
      <c r="I208" s="108" t="str">
        <f>IF('(4).Midterm Results'!B208=0,"",'(4).Midterm Results'!B208)</f>
        <v/>
      </c>
      <c r="J208" s="108" t="str">
        <f>IF('(4).Midterm Results'!C208=0,"",'(4).Midterm Results'!C208)</f>
        <v/>
      </c>
      <c r="K208" s="108" t="str">
        <f>IF('(4).Midterm Results'!D208=0,"",'(4).Midterm Results'!D208)</f>
        <v/>
      </c>
      <c r="L208" s="108" t="str">
        <f>IF('(4).Midterm Results'!E208=0,"",'(4).Midterm Results'!E208)</f>
        <v/>
      </c>
      <c r="M208" s="108" t="str">
        <f>IF('(4).Midterm Results'!F208=0,"",'(4).Midterm Results'!F208)</f>
        <v/>
      </c>
      <c r="N208" s="108" t="str">
        <f>IF('(4).Midterm Results'!G208=0,"",'(4).Midterm Results'!G208)</f>
        <v/>
      </c>
      <c r="O208" s="108" t="str">
        <f>IF('(4).Midterm Results'!H208=0,"",'(4).Midterm Results'!H208)</f>
        <v/>
      </c>
      <c r="P208" s="108" t="str">
        <f>IF('(4).Midterm Results'!I208=0,"",'(4).Midterm Results'!I208)</f>
        <v/>
      </c>
      <c r="Q208" s="108" t="str">
        <f>IF('(4).Midterm Results'!J208=0,"",'(4).Midterm Results'!J208)</f>
        <v/>
      </c>
      <c r="R208" s="108" t="str">
        <f>IF('(4).Midterm Results'!K208=0,"",'(4).Midterm Results'!K208)</f>
        <v/>
      </c>
      <c r="S208" s="108" t="str">
        <f>IF('(4).Midterm Results'!L208=0,"",'(4).Midterm Results'!L208)</f>
        <v/>
      </c>
      <c r="T208" s="108" t="str">
        <f>IF('(4).Midterm Results'!M208=0,"",'(4).Midterm Results'!M208)</f>
        <v/>
      </c>
      <c r="U208" s="108" t="str">
        <f>IF('(4).Midterm Results'!N208=0,"",'(4).Midterm Results'!N208)</f>
        <v/>
      </c>
      <c r="V208" s="108" t="str">
        <f>IF('(4).Midterm Results'!O208=0,"",'(4).Midterm Results'!O208)</f>
        <v/>
      </c>
    </row>
    <row r="209" spans="1:22" ht="12.4" customHeight="1">
      <c r="A209" s="246"/>
      <c r="B209" s="240" t="s">
        <v>129</v>
      </c>
      <c r="C209" s="241"/>
      <c r="D209" s="102">
        <v>100</v>
      </c>
      <c r="E209" s="110" cm="1">
        <f t="array" ref="E209:E220">TRANSPOSE(K19:V19)</f>
        <v>69</v>
      </c>
      <c r="F209" s="104" t="str">
        <f>IF(E209="","",IF(E209&lt;D209*60%,"Try harder",""))</f>
        <v/>
      </c>
      <c r="H209" s="108">
        <f>IF('(4).Midterm Results'!A209=0,"",'(4).Midterm Results'!A209)</f>
        <v>23</v>
      </c>
      <c r="I209" s="108" t="str">
        <f>IF('(4).Midterm Results'!B209=0,"",'(4).Midterm Results'!B209)</f>
        <v/>
      </c>
      <c r="J209" s="108" t="str">
        <f>IF('(4).Midterm Results'!C209=0,"",'(4).Midterm Results'!C209)</f>
        <v/>
      </c>
      <c r="K209" s="108" t="str">
        <f>IF('(4).Midterm Results'!D209=0,"",'(4).Midterm Results'!D209)</f>
        <v/>
      </c>
      <c r="L209" s="108" t="str">
        <f>IF('(4).Midterm Results'!E209=0,"",'(4).Midterm Results'!E209)</f>
        <v/>
      </c>
      <c r="M209" s="108" t="str">
        <f>IF('(4).Midterm Results'!F209=0,"",'(4).Midterm Results'!F209)</f>
        <v/>
      </c>
      <c r="N209" s="108" t="str">
        <f>IF('(4).Midterm Results'!G209=0,"",'(4).Midterm Results'!G209)</f>
        <v/>
      </c>
      <c r="O209" s="108" t="str">
        <f>IF('(4).Midterm Results'!H209=0,"",'(4).Midterm Results'!H209)</f>
        <v/>
      </c>
      <c r="P209" s="108" t="str">
        <f>IF('(4).Midterm Results'!I209=0,"",'(4).Midterm Results'!I209)</f>
        <v/>
      </c>
      <c r="Q209" s="108" t="str">
        <f>IF('(4).Midterm Results'!J209=0,"",'(4).Midterm Results'!J209)</f>
        <v/>
      </c>
      <c r="R209" s="108" t="str">
        <f>IF('(4).Midterm Results'!K209=0,"",'(4).Midterm Results'!K209)</f>
        <v/>
      </c>
      <c r="S209" s="108" t="str">
        <f>IF('(4).Midterm Results'!L209=0,"",'(4).Midterm Results'!L209)</f>
        <v/>
      </c>
      <c r="T209" s="108" t="str">
        <f>IF('(4).Midterm Results'!M209=0,"",'(4).Midterm Results'!M209)</f>
        <v/>
      </c>
      <c r="U209" s="108" t="str">
        <f>IF('(4).Midterm Results'!N209=0,"",'(4).Midterm Results'!N209)</f>
        <v/>
      </c>
      <c r="V209" s="108" t="str">
        <f>IF('(4).Midterm Results'!O209=0,"",'(4).Midterm Results'!O209)</f>
        <v/>
      </c>
    </row>
    <row r="210" spans="1:22" ht="12.4" customHeight="1">
      <c r="A210" s="246"/>
      <c r="B210" s="242" t="s">
        <v>132</v>
      </c>
      <c r="C210" s="133" t="str" cm="1">
        <f t="array" ref="C210:C219">TRANSPOSE($L$5:$U$5)</f>
        <v>Up-Low C</v>
      </c>
      <c r="D210" s="134">
        <v>10</v>
      </c>
      <c r="E210" s="135">
        <v>8</v>
      </c>
      <c r="F210" s="136" t="str">
        <f t="shared" ref="F210:F220" si="12">IF(E210="","",IF(E210&lt;D210*60%,"Try harder",""))</f>
        <v/>
      </c>
      <c r="H210" s="108">
        <f>IF('(4).Midterm Results'!A210=0,"",'(4).Midterm Results'!A210)</f>
        <v>24</v>
      </c>
      <c r="I210" s="108" t="str">
        <f>IF('(4).Midterm Results'!B210=0,"",'(4).Midterm Results'!B210)</f>
        <v/>
      </c>
      <c r="J210" s="108" t="str">
        <f>IF('(4).Midterm Results'!C210=0,"",'(4).Midterm Results'!C210)</f>
        <v/>
      </c>
      <c r="K210" s="108" t="str">
        <f>IF('(4).Midterm Results'!D210=0,"",'(4).Midterm Results'!D210)</f>
        <v/>
      </c>
      <c r="L210" s="108" t="str">
        <f>IF('(4).Midterm Results'!E210=0,"",'(4).Midterm Results'!E210)</f>
        <v/>
      </c>
      <c r="M210" s="108" t="str">
        <f>IF('(4).Midterm Results'!F210=0,"",'(4).Midterm Results'!F210)</f>
        <v/>
      </c>
      <c r="N210" s="108" t="str">
        <f>IF('(4).Midterm Results'!G210=0,"",'(4).Midterm Results'!G210)</f>
        <v/>
      </c>
      <c r="O210" s="108" t="str">
        <f>IF('(4).Midterm Results'!H210=0,"",'(4).Midterm Results'!H210)</f>
        <v/>
      </c>
      <c r="P210" s="108" t="str">
        <f>IF('(4).Midterm Results'!I210=0,"",'(4).Midterm Results'!I210)</f>
        <v/>
      </c>
      <c r="Q210" s="108" t="str">
        <f>IF('(4).Midterm Results'!J210=0,"",'(4).Midterm Results'!J210)</f>
        <v/>
      </c>
      <c r="R210" s="108" t="str">
        <f>IF('(4).Midterm Results'!K210=0,"",'(4).Midterm Results'!K210)</f>
        <v/>
      </c>
      <c r="S210" s="108" t="str">
        <f>IF('(4).Midterm Results'!L210=0,"",'(4).Midterm Results'!L210)</f>
        <v/>
      </c>
      <c r="T210" s="108" t="str">
        <f>IF('(4).Midterm Results'!M210=0,"",'(4).Midterm Results'!M210)</f>
        <v/>
      </c>
      <c r="U210" s="108" t="str">
        <f>IF('(4).Midterm Results'!N210=0,"",'(4).Midterm Results'!N210)</f>
        <v/>
      </c>
      <c r="V210" s="108" t="str">
        <f>IF('(4).Midterm Results'!O210=0,"",'(4).Midterm Results'!O210)</f>
        <v/>
      </c>
    </row>
    <row r="211" spans="1:22" ht="12.4" customHeight="1">
      <c r="A211" s="246"/>
      <c r="B211" s="243"/>
      <c r="C211" s="137" t="str">
        <v>Alphabet N</v>
      </c>
      <c r="D211" s="138">
        <v>10</v>
      </c>
      <c r="E211" s="139">
        <v>7.75</v>
      </c>
      <c r="F211" s="140" t="str">
        <f t="shared" si="12"/>
        <v/>
      </c>
      <c r="H211" s="108">
        <f>IF('(4).Midterm Results'!A211=0,"",'(4).Midterm Results'!A211)</f>
        <v>25</v>
      </c>
      <c r="I211" s="108" t="str">
        <f>IF('(4).Midterm Results'!B211=0,"",'(4).Midterm Results'!B211)</f>
        <v/>
      </c>
      <c r="J211" s="108" t="str">
        <f>IF('(4).Midterm Results'!C211=0,"",'(4).Midterm Results'!C211)</f>
        <v/>
      </c>
      <c r="K211" s="108" t="str">
        <f>IF('(4).Midterm Results'!D211=0,"",'(4).Midterm Results'!D211)</f>
        <v/>
      </c>
      <c r="L211" s="108" t="str">
        <f>IF('(4).Midterm Results'!E211=0,"",'(4).Midterm Results'!E211)</f>
        <v/>
      </c>
      <c r="M211" s="108" t="str">
        <f>IF('(4).Midterm Results'!F211=0,"",'(4).Midterm Results'!F211)</f>
        <v/>
      </c>
      <c r="N211" s="108" t="str">
        <f>IF('(4).Midterm Results'!G211=0,"",'(4).Midterm Results'!G211)</f>
        <v/>
      </c>
      <c r="O211" s="108" t="str">
        <f>IF('(4).Midterm Results'!H211=0,"",'(4).Midterm Results'!H211)</f>
        <v/>
      </c>
      <c r="P211" s="108" t="str">
        <f>IF('(4).Midterm Results'!I211=0,"",'(4).Midterm Results'!I211)</f>
        <v/>
      </c>
      <c r="Q211" s="108" t="str">
        <f>IF('(4).Midterm Results'!J211=0,"",'(4).Midterm Results'!J211)</f>
        <v/>
      </c>
      <c r="R211" s="108" t="str">
        <f>IF('(4).Midterm Results'!K211=0,"",'(4).Midterm Results'!K211)</f>
        <v/>
      </c>
      <c r="S211" s="108" t="str">
        <f>IF('(4).Midterm Results'!L211=0,"",'(4).Midterm Results'!L211)</f>
        <v/>
      </c>
      <c r="T211" s="108" t="str">
        <f>IF('(4).Midterm Results'!M211=0,"",'(4).Midterm Results'!M211)</f>
        <v/>
      </c>
      <c r="U211" s="108" t="str">
        <f>IF('(4).Midterm Results'!N211=0,"",'(4).Midterm Results'!N211)</f>
        <v/>
      </c>
      <c r="V211" s="108" t="str">
        <f>IF('(4).Midterm Results'!O211=0,"",'(4).Midterm Results'!O211)</f>
        <v/>
      </c>
    </row>
    <row r="212" spans="1:22" ht="12.4" customHeight="1">
      <c r="A212" s="246"/>
      <c r="B212" s="243"/>
      <c r="C212" s="137" t="str">
        <v>Alphabet S</v>
      </c>
      <c r="D212" s="138">
        <v>10</v>
      </c>
      <c r="E212" s="139">
        <v>9.5</v>
      </c>
      <c r="F212" s="140" t="str">
        <f t="shared" si="12"/>
        <v/>
      </c>
      <c r="H212" s="108">
        <f>IF('(4).Midterm Results'!A212=0,"",'(4).Midterm Results'!A212)</f>
        <v>26</v>
      </c>
      <c r="I212" s="108" t="str">
        <f>IF('(4).Midterm Results'!B212=0,"",'(4).Midterm Results'!B212)</f>
        <v/>
      </c>
      <c r="J212" s="108" t="str">
        <f>IF('(4).Midterm Results'!C212=0,"",'(4).Midterm Results'!C212)</f>
        <v/>
      </c>
      <c r="K212" s="108" t="str">
        <f>IF('(4).Midterm Results'!D212=0,"",'(4).Midterm Results'!D212)</f>
        <v/>
      </c>
      <c r="L212" s="108" t="str">
        <f>IF('(4).Midterm Results'!E212=0,"",'(4).Midterm Results'!E212)</f>
        <v/>
      </c>
      <c r="M212" s="108" t="str">
        <f>IF('(4).Midterm Results'!F212=0,"",'(4).Midterm Results'!F212)</f>
        <v/>
      </c>
      <c r="N212" s="108" t="str">
        <f>IF('(4).Midterm Results'!G212=0,"",'(4).Midterm Results'!G212)</f>
        <v/>
      </c>
      <c r="O212" s="108" t="str">
        <f>IF('(4).Midterm Results'!H212=0,"",'(4).Midterm Results'!H212)</f>
        <v/>
      </c>
      <c r="P212" s="108" t="str">
        <f>IF('(4).Midterm Results'!I212=0,"",'(4).Midterm Results'!I212)</f>
        <v/>
      </c>
      <c r="Q212" s="108" t="str">
        <f>IF('(4).Midterm Results'!J212=0,"",'(4).Midterm Results'!J212)</f>
        <v/>
      </c>
      <c r="R212" s="108" t="str">
        <f>IF('(4).Midterm Results'!K212=0,"",'(4).Midterm Results'!K212)</f>
        <v/>
      </c>
      <c r="S212" s="108" t="str">
        <f>IF('(4).Midterm Results'!L212=0,"",'(4).Midterm Results'!L212)</f>
        <v/>
      </c>
      <c r="T212" s="108" t="str">
        <f>IF('(4).Midterm Results'!M212=0,"",'(4).Midterm Results'!M212)</f>
        <v/>
      </c>
      <c r="U212" s="108" t="str">
        <f>IF('(4).Midterm Results'!N212=0,"",'(4).Midterm Results'!N212)</f>
        <v/>
      </c>
      <c r="V212" s="108" t="str">
        <f>IF('(4).Midterm Results'!O212=0,"",'(4).Midterm Results'!O212)</f>
        <v/>
      </c>
    </row>
    <row r="213" spans="1:22" ht="12.4" customHeight="1">
      <c r="A213" s="246"/>
      <c r="B213" s="243"/>
      <c r="C213" s="137" t="str">
        <v>Vocabulary</v>
      </c>
      <c r="D213" s="138">
        <v>10</v>
      </c>
      <c r="E213" s="139">
        <v>8</v>
      </c>
      <c r="F213" s="140" t="str">
        <f t="shared" si="12"/>
        <v/>
      </c>
      <c r="H213" s="108">
        <f>IF('(4).Midterm Results'!A213=0,"",'(4).Midterm Results'!A213)</f>
        <v>27</v>
      </c>
      <c r="I213" s="108" t="str">
        <f>IF('(4).Midterm Results'!B213=0,"",'(4).Midterm Results'!B213)</f>
        <v/>
      </c>
      <c r="J213" s="108" t="str">
        <f>IF('(4).Midterm Results'!C213=0,"",'(4).Midterm Results'!C213)</f>
        <v/>
      </c>
      <c r="K213" s="108" t="str">
        <f>IF('(4).Midterm Results'!D213=0,"",'(4).Midterm Results'!D213)</f>
        <v/>
      </c>
      <c r="L213" s="108" t="str">
        <f>IF('(4).Midterm Results'!E213=0,"",'(4).Midterm Results'!E213)</f>
        <v/>
      </c>
      <c r="M213" s="108" t="str">
        <f>IF('(4).Midterm Results'!F213=0,"",'(4).Midterm Results'!F213)</f>
        <v/>
      </c>
      <c r="N213" s="108" t="str">
        <f>IF('(4).Midterm Results'!G213=0,"",'(4).Midterm Results'!G213)</f>
        <v/>
      </c>
      <c r="O213" s="108" t="str">
        <f>IF('(4).Midterm Results'!H213=0,"",'(4).Midterm Results'!H213)</f>
        <v/>
      </c>
      <c r="P213" s="108" t="str">
        <f>IF('(4).Midterm Results'!I213=0,"",'(4).Midterm Results'!I213)</f>
        <v/>
      </c>
      <c r="Q213" s="108" t="str">
        <f>IF('(4).Midterm Results'!J213=0,"",'(4).Midterm Results'!J213)</f>
        <v/>
      </c>
      <c r="R213" s="108" t="str">
        <f>IF('(4).Midterm Results'!K213=0,"",'(4).Midterm Results'!K213)</f>
        <v/>
      </c>
      <c r="S213" s="108" t="str">
        <f>IF('(4).Midterm Results'!L213=0,"",'(4).Midterm Results'!L213)</f>
        <v/>
      </c>
      <c r="T213" s="108" t="str">
        <f>IF('(4).Midterm Results'!M213=0,"",'(4).Midterm Results'!M213)</f>
        <v/>
      </c>
      <c r="U213" s="108" t="str">
        <f>IF('(4).Midterm Results'!N213=0,"",'(4).Midterm Results'!N213)</f>
        <v/>
      </c>
      <c r="V213" s="108" t="str">
        <f>IF('(4).Midterm Results'!O213=0,"",'(4).Midterm Results'!O213)</f>
        <v/>
      </c>
    </row>
    <row r="214" spans="1:22" ht="12.4" customHeight="1">
      <c r="A214" s="247" t="s">
        <v>131</v>
      </c>
      <c r="B214" s="243"/>
      <c r="C214" s="137" t="str">
        <v>Sprouts</v>
      </c>
      <c r="D214" s="138">
        <v>10</v>
      </c>
      <c r="E214" s="139">
        <v>7</v>
      </c>
      <c r="F214" s="140" t="str">
        <f t="shared" si="12"/>
        <v/>
      </c>
      <c r="H214" s="108">
        <f>IF('(4).Midterm Results'!A214=0,"",'(4).Midterm Results'!A214)</f>
        <v>28</v>
      </c>
      <c r="I214" s="108" t="str">
        <f>IF('(4).Midterm Results'!B214=0,"",'(4).Midterm Results'!B214)</f>
        <v/>
      </c>
      <c r="J214" s="108" t="str">
        <f>IF('(4).Midterm Results'!C214=0,"",'(4).Midterm Results'!C214)</f>
        <v/>
      </c>
      <c r="K214" s="108" t="str">
        <f>IF('(4).Midterm Results'!D214=0,"",'(4).Midterm Results'!D214)</f>
        <v/>
      </c>
      <c r="L214" s="108" t="str">
        <f>IF('(4).Midterm Results'!E214=0,"",'(4).Midterm Results'!E214)</f>
        <v/>
      </c>
      <c r="M214" s="108" t="str">
        <f>IF('(4).Midterm Results'!F214=0,"",'(4).Midterm Results'!F214)</f>
        <v/>
      </c>
      <c r="N214" s="108" t="str">
        <f>IF('(4).Midterm Results'!G214=0,"",'(4).Midterm Results'!G214)</f>
        <v/>
      </c>
      <c r="O214" s="108" t="str">
        <f>IF('(4).Midterm Results'!H214=0,"",'(4).Midterm Results'!H214)</f>
        <v/>
      </c>
      <c r="P214" s="108" t="str">
        <f>IF('(4).Midterm Results'!I214=0,"",'(4).Midterm Results'!I214)</f>
        <v/>
      </c>
      <c r="Q214" s="108" t="str">
        <f>IF('(4).Midterm Results'!J214=0,"",'(4).Midterm Results'!J214)</f>
        <v/>
      </c>
      <c r="R214" s="108" t="str">
        <f>IF('(4).Midterm Results'!K214=0,"",'(4).Midterm Results'!K214)</f>
        <v/>
      </c>
      <c r="S214" s="108" t="str">
        <f>IF('(4).Midterm Results'!L214=0,"",'(4).Midterm Results'!L214)</f>
        <v/>
      </c>
      <c r="T214" s="108" t="str">
        <f>IF('(4).Midterm Results'!M214=0,"",'(4).Midterm Results'!M214)</f>
        <v/>
      </c>
      <c r="U214" s="108" t="str">
        <f>IF('(4).Midterm Results'!N214=0,"",'(4).Midterm Results'!N214)</f>
        <v/>
      </c>
      <c r="V214" s="108" t="str">
        <f>IF('(4).Midterm Results'!O214=0,"",'(4).Midterm Results'!O214)</f>
        <v/>
      </c>
    </row>
    <row r="215" spans="1:22" ht="12.4" customHeight="1">
      <c r="A215" s="247"/>
      <c r="B215" s="243"/>
      <c r="C215" s="137" t="str">
        <v>Phonics</v>
      </c>
      <c r="D215" s="138">
        <v>10</v>
      </c>
      <c r="E215" s="139">
        <v>9</v>
      </c>
      <c r="F215" s="140" t="str">
        <f t="shared" si="12"/>
        <v/>
      </c>
      <c r="H215" s="108">
        <f>IF('(4).Midterm Results'!A215=0,"",'(4).Midterm Results'!A215)</f>
        <v>29</v>
      </c>
      <c r="I215" s="108" t="str">
        <f>IF('(4).Midterm Results'!B215=0,"",'(4).Midterm Results'!B215)</f>
        <v/>
      </c>
      <c r="J215" s="108" t="str">
        <f>IF('(4).Midterm Results'!C215=0,"",'(4).Midterm Results'!C215)</f>
        <v/>
      </c>
      <c r="K215" s="108" t="str">
        <f>IF('(4).Midterm Results'!D215=0,"",'(4).Midterm Results'!D215)</f>
        <v/>
      </c>
      <c r="L215" s="108" t="str">
        <f>IF('(4).Midterm Results'!E215=0,"",'(4).Midterm Results'!E215)</f>
        <v/>
      </c>
      <c r="M215" s="108" t="str">
        <f>IF('(4).Midterm Results'!F215=0,"",'(4).Midterm Results'!F215)</f>
        <v/>
      </c>
      <c r="N215" s="108" t="str">
        <f>IF('(4).Midterm Results'!G215=0,"",'(4).Midterm Results'!G215)</f>
        <v/>
      </c>
      <c r="O215" s="108" t="str">
        <f>IF('(4).Midterm Results'!H215=0,"",'(4).Midterm Results'!H215)</f>
        <v/>
      </c>
      <c r="P215" s="108" t="str">
        <f>IF('(4).Midterm Results'!I215=0,"",'(4).Midterm Results'!I215)</f>
        <v/>
      </c>
      <c r="Q215" s="108" t="str">
        <f>IF('(4).Midterm Results'!J215=0,"",'(4).Midterm Results'!J215)</f>
        <v/>
      </c>
      <c r="R215" s="108" t="str">
        <f>IF('(4).Midterm Results'!K215=0,"",'(4).Midterm Results'!K215)</f>
        <v/>
      </c>
      <c r="S215" s="108" t="str">
        <f>IF('(4).Midterm Results'!L215=0,"",'(4).Midterm Results'!L215)</f>
        <v/>
      </c>
      <c r="T215" s="108" t="str">
        <f>IF('(4).Midterm Results'!M215=0,"",'(4).Midterm Results'!M215)</f>
        <v/>
      </c>
      <c r="U215" s="108" t="str">
        <f>IF('(4).Midterm Results'!N215=0,"",'(4).Midterm Results'!N215)</f>
        <v/>
      </c>
      <c r="V215" s="108" t="str">
        <f>IF('(4).Midterm Results'!O215=0,"",'(4).Midterm Results'!O215)</f>
        <v/>
      </c>
    </row>
    <row r="216" spans="1:22" ht="12.4" customHeight="1">
      <c r="A216" s="247"/>
      <c r="B216" s="243"/>
      <c r="C216" s="137" t="str">
        <v>Math</v>
      </c>
      <c r="D216" s="138">
        <v>10</v>
      </c>
      <c r="E216" s="139">
        <v>9.5</v>
      </c>
      <c r="F216" s="140" t="str">
        <f t="shared" si="12"/>
        <v/>
      </c>
      <c r="H216" s="108">
        <f>IF('(4).Midterm Results'!A216=0,"",'(4).Midterm Results'!A216)</f>
        <v>30</v>
      </c>
      <c r="I216" s="108" t="str">
        <f>IF('(4).Midterm Results'!B216=0,"",'(4).Midterm Results'!B216)</f>
        <v/>
      </c>
      <c r="J216" s="108" t="str">
        <f>IF('(4).Midterm Results'!C216=0,"",'(4).Midterm Results'!C216)</f>
        <v/>
      </c>
      <c r="K216" s="108" t="str">
        <f>IF('(4).Midterm Results'!D216=0,"",'(4).Midterm Results'!D216)</f>
        <v/>
      </c>
      <c r="L216" s="108" t="str">
        <f>IF('(4).Midterm Results'!E216=0,"",'(4).Midterm Results'!E216)</f>
        <v/>
      </c>
      <c r="M216" s="108" t="str">
        <f>IF('(4).Midterm Results'!F216=0,"",'(4).Midterm Results'!F216)</f>
        <v/>
      </c>
      <c r="N216" s="108" t="str">
        <f>IF('(4).Midterm Results'!G216=0,"",'(4).Midterm Results'!G216)</f>
        <v/>
      </c>
      <c r="O216" s="108" t="str">
        <f>IF('(4).Midterm Results'!H216=0,"",'(4).Midterm Results'!H216)</f>
        <v/>
      </c>
      <c r="P216" s="108" t="str">
        <f>IF('(4).Midterm Results'!I216=0,"",'(4).Midterm Results'!I216)</f>
        <v/>
      </c>
      <c r="Q216" s="108" t="str">
        <f>IF('(4).Midterm Results'!J216=0,"",'(4).Midterm Results'!J216)</f>
        <v/>
      </c>
      <c r="R216" s="108" t="str">
        <f>IF('(4).Midterm Results'!K216=0,"",'(4).Midterm Results'!K216)</f>
        <v/>
      </c>
      <c r="S216" s="108" t="str">
        <f>IF('(4).Midterm Results'!L216=0,"",'(4).Midterm Results'!L216)</f>
        <v/>
      </c>
      <c r="T216" s="108" t="str">
        <f>IF('(4).Midterm Results'!M216=0,"",'(4).Midterm Results'!M216)</f>
        <v/>
      </c>
      <c r="U216" s="108" t="str">
        <f>IF('(4).Midterm Results'!N216=0,"",'(4).Midterm Results'!N216)</f>
        <v/>
      </c>
      <c r="V216" s="108" t="str">
        <f>IF('(4).Midterm Results'!O216=0,"",'(4).Midterm Results'!O216)</f>
        <v/>
      </c>
    </row>
    <row r="217" spans="1:22" ht="12.4" customHeight="1">
      <c r="A217" s="247"/>
      <c r="B217" s="243"/>
      <c r="C217" s="137" t="str">
        <v>Shape</v>
      </c>
      <c r="D217" s="138">
        <v>10</v>
      </c>
      <c r="E217" s="139">
        <v>6</v>
      </c>
      <c r="F217" s="140" t="str">
        <f t="shared" si="12"/>
        <v/>
      </c>
    </row>
    <row r="218" spans="1:22" ht="12.4" customHeight="1">
      <c r="A218" s="247"/>
      <c r="B218" s="243"/>
      <c r="C218" s="137" t="str">
        <v>Science</v>
      </c>
      <c r="D218" s="138">
        <v>10</v>
      </c>
      <c r="E218" s="139">
        <v>9</v>
      </c>
      <c r="F218" s="140" t="str">
        <f t="shared" si="12"/>
        <v/>
      </c>
    </row>
    <row r="219" spans="1:22" ht="12.4" customHeight="1">
      <c r="A219" s="247"/>
      <c r="B219" s="244"/>
      <c r="C219" s="141" t="str">
        <v>Tracing</v>
      </c>
      <c r="D219" s="142">
        <v>10</v>
      </c>
      <c r="E219" s="143">
        <v>9</v>
      </c>
      <c r="F219" s="144" t="str">
        <f t="shared" si="12"/>
        <v/>
      </c>
    </row>
    <row r="220" spans="1:22" ht="12.4" customHeight="1">
      <c r="A220" s="248"/>
      <c r="B220" s="240" t="s">
        <v>133</v>
      </c>
      <c r="C220" s="241"/>
      <c r="D220" s="103">
        <f>D209*20%+SUM(D210:D219)*80%</f>
        <v>100</v>
      </c>
      <c r="E220" s="110">
        <v>80</v>
      </c>
      <c r="F220" s="104" t="str">
        <f t="shared" si="12"/>
        <v/>
      </c>
    </row>
    <row r="222" spans="1:22" ht="12.4" customHeight="1">
      <c r="A222" s="230" t="s">
        <v>121</v>
      </c>
      <c r="B222" s="231"/>
      <c r="C222" s="231"/>
      <c r="D222" s="107" t="s">
        <v>123</v>
      </c>
      <c r="E222" s="232" t="str">
        <f>I20</f>
        <v>Noun Thoreakrith</v>
      </c>
      <c r="F222" s="233"/>
      <c r="G222" s="101">
        <v>20</v>
      </c>
    </row>
    <row r="223" spans="1:22" ht="12.4" customHeight="1">
      <c r="A223" s="105" t="s">
        <v>122</v>
      </c>
      <c r="B223" s="234" t="str">
        <f>$K$2</f>
        <v>FEBRUARY - JULY 2026</v>
      </c>
      <c r="C223" s="234"/>
      <c r="D223" s="106" t="s">
        <v>124</v>
      </c>
      <c r="E223" s="235" t="str">
        <f>$I$2</f>
        <v>K1B</v>
      </c>
      <c r="F223" s="236"/>
    </row>
    <row r="224" spans="1:22" ht="12.4" customHeight="1">
      <c r="A224" s="237" t="s">
        <v>130</v>
      </c>
      <c r="B224" s="238"/>
      <c r="C224" s="238"/>
      <c r="D224" s="238"/>
      <c r="E224" s="238"/>
      <c r="F224" s="239"/>
    </row>
    <row r="225" spans="1:7" ht="12.4" customHeight="1">
      <c r="A225" s="245" t="s">
        <v>14</v>
      </c>
      <c r="B225" s="240" t="s">
        <v>125</v>
      </c>
      <c r="C225" s="241"/>
      <c r="D225" s="102" t="s">
        <v>126</v>
      </c>
      <c r="E225" s="109" t="s">
        <v>127</v>
      </c>
      <c r="F225" s="102" t="s">
        <v>128</v>
      </c>
    </row>
    <row r="226" spans="1:7" ht="12.4" customHeight="1">
      <c r="A226" s="246"/>
      <c r="B226" s="240" t="s">
        <v>129</v>
      </c>
      <c r="C226" s="241"/>
      <c r="D226" s="102">
        <v>100</v>
      </c>
      <c r="E226" s="110" cm="1">
        <f t="array" ref="E226:E237">TRANSPOSE(K20:V20)</f>
        <v>85</v>
      </c>
      <c r="F226" s="104" t="str">
        <f>IF(E226="","",IF(E226&lt;D226*60%,"Try harder",""))</f>
        <v/>
      </c>
    </row>
    <row r="227" spans="1:7" ht="12.4" customHeight="1">
      <c r="A227" s="246"/>
      <c r="B227" s="242" t="s">
        <v>132</v>
      </c>
      <c r="C227" s="133" t="str" cm="1">
        <f t="array" ref="C227:C236">TRANSPOSE($L$5:$U$5)</f>
        <v>Up-Low C</v>
      </c>
      <c r="D227" s="134">
        <v>10</v>
      </c>
      <c r="E227" s="135">
        <v>9</v>
      </c>
      <c r="F227" s="136" t="str">
        <f t="shared" ref="F227:F237" si="13">IF(E227="","",IF(E227&lt;D227*60%,"Try harder",""))</f>
        <v/>
      </c>
    </row>
    <row r="228" spans="1:7" ht="12.4" customHeight="1">
      <c r="A228" s="246"/>
      <c r="B228" s="243"/>
      <c r="C228" s="137" t="str">
        <v>Alphabet N</v>
      </c>
      <c r="D228" s="138">
        <v>10</v>
      </c>
      <c r="E228" s="139">
        <v>8</v>
      </c>
      <c r="F228" s="140" t="str">
        <f t="shared" si="13"/>
        <v/>
      </c>
    </row>
    <row r="229" spans="1:7" ht="12.4" customHeight="1">
      <c r="A229" s="246"/>
      <c r="B229" s="243"/>
      <c r="C229" s="137" t="str">
        <v>Alphabet S</v>
      </c>
      <c r="D229" s="138">
        <v>10</v>
      </c>
      <c r="E229" s="139">
        <v>8.5</v>
      </c>
      <c r="F229" s="140" t="str">
        <f t="shared" si="13"/>
        <v/>
      </c>
    </row>
    <row r="230" spans="1:7" ht="12.4" customHeight="1">
      <c r="A230" s="246"/>
      <c r="B230" s="243"/>
      <c r="C230" s="137" t="str">
        <v>Vocabulary</v>
      </c>
      <c r="D230" s="138">
        <v>10</v>
      </c>
      <c r="E230" s="139">
        <v>8</v>
      </c>
      <c r="F230" s="140" t="str">
        <f t="shared" si="13"/>
        <v/>
      </c>
    </row>
    <row r="231" spans="1:7" ht="12.4" customHeight="1">
      <c r="A231" s="247" t="s">
        <v>131</v>
      </c>
      <c r="B231" s="243"/>
      <c r="C231" s="137" t="str">
        <v>Sprouts</v>
      </c>
      <c r="D231" s="138">
        <v>10</v>
      </c>
      <c r="E231" s="139">
        <v>7.5</v>
      </c>
      <c r="F231" s="140" t="str">
        <f t="shared" si="13"/>
        <v/>
      </c>
    </row>
    <row r="232" spans="1:7" ht="12.4" customHeight="1">
      <c r="A232" s="247"/>
      <c r="B232" s="243"/>
      <c r="C232" s="137" t="str">
        <v>Phonics</v>
      </c>
      <c r="D232" s="138">
        <v>10</v>
      </c>
      <c r="E232" s="139">
        <v>10</v>
      </c>
      <c r="F232" s="140" t="str">
        <f t="shared" si="13"/>
        <v/>
      </c>
    </row>
    <row r="233" spans="1:7" ht="12.4" customHeight="1">
      <c r="A233" s="247"/>
      <c r="B233" s="243"/>
      <c r="C233" s="137" t="str">
        <v>Math</v>
      </c>
      <c r="D233" s="138">
        <v>10</v>
      </c>
      <c r="E233" s="139">
        <v>10</v>
      </c>
      <c r="F233" s="140" t="str">
        <f t="shared" si="13"/>
        <v/>
      </c>
    </row>
    <row r="234" spans="1:7" ht="12.4" customHeight="1">
      <c r="A234" s="247"/>
      <c r="B234" s="243"/>
      <c r="C234" s="137" t="str">
        <v>Shape</v>
      </c>
      <c r="D234" s="138">
        <v>10</v>
      </c>
      <c r="E234" s="139">
        <v>10</v>
      </c>
      <c r="F234" s="140" t="str">
        <f t="shared" si="13"/>
        <v/>
      </c>
    </row>
    <row r="235" spans="1:7" ht="12.4" customHeight="1">
      <c r="A235" s="247"/>
      <c r="B235" s="243"/>
      <c r="C235" s="137" t="str">
        <v>Science</v>
      </c>
      <c r="D235" s="138">
        <v>10</v>
      </c>
      <c r="E235" s="139">
        <v>10</v>
      </c>
      <c r="F235" s="140" t="str">
        <f t="shared" si="13"/>
        <v/>
      </c>
    </row>
    <row r="236" spans="1:7" ht="12.4" customHeight="1">
      <c r="A236" s="247"/>
      <c r="B236" s="244"/>
      <c r="C236" s="141" t="str">
        <v>Tracing</v>
      </c>
      <c r="D236" s="142">
        <v>10</v>
      </c>
      <c r="E236" s="143">
        <v>9.5</v>
      </c>
      <c r="F236" s="144" t="str">
        <f t="shared" si="13"/>
        <v/>
      </c>
    </row>
    <row r="237" spans="1:7" ht="12.4" customHeight="1">
      <c r="A237" s="248"/>
      <c r="B237" s="240" t="s">
        <v>133</v>
      </c>
      <c r="C237" s="241"/>
      <c r="D237" s="103">
        <f>D226*20%+SUM(D227:D236)*80%</f>
        <v>100</v>
      </c>
      <c r="E237" s="110">
        <v>89.4</v>
      </c>
      <c r="F237" s="104" t="str">
        <f t="shared" si="13"/>
        <v/>
      </c>
    </row>
    <row r="239" spans="1:7" ht="12.4" customHeight="1">
      <c r="A239" s="230" t="s">
        <v>121</v>
      </c>
      <c r="B239" s="231"/>
      <c r="C239" s="231"/>
      <c r="D239" s="107" t="s">
        <v>123</v>
      </c>
      <c r="E239" s="232" t="str">
        <f>I21</f>
        <v>OL Amara</v>
      </c>
      <c r="F239" s="233"/>
      <c r="G239" s="101">
        <v>21</v>
      </c>
    </row>
    <row r="240" spans="1:7" ht="12.4" customHeight="1">
      <c r="A240" s="105" t="s">
        <v>122</v>
      </c>
      <c r="B240" s="234" t="str">
        <f>$K$2</f>
        <v>FEBRUARY - JULY 2026</v>
      </c>
      <c r="C240" s="234"/>
      <c r="D240" s="106" t="s">
        <v>124</v>
      </c>
      <c r="E240" s="235" t="str">
        <f>$I$2</f>
        <v>K1B</v>
      </c>
      <c r="F240" s="236"/>
    </row>
    <row r="241" spans="1:7" ht="12.4" customHeight="1">
      <c r="A241" s="237" t="s">
        <v>130</v>
      </c>
      <c r="B241" s="238"/>
      <c r="C241" s="238"/>
      <c r="D241" s="238"/>
      <c r="E241" s="238"/>
      <c r="F241" s="239"/>
    </row>
    <row r="242" spans="1:7" ht="12.4" customHeight="1">
      <c r="A242" s="245" t="s">
        <v>14</v>
      </c>
      <c r="B242" s="240" t="s">
        <v>125</v>
      </c>
      <c r="C242" s="241"/>
      <c r="D242" s="102" t="s">
        <v>126</v>
      </c>
      <c r="E242" s="109" t="s">
        <v>127</v>
      </c>
      <c r="F242" s="102" t="s">
        <v>128</v>
      </c>
    </row>
    <row r="243" spans="1:7" ht="12.4" customHeight="1">
      <c r="A243" s="246"/>
      <c r="B243" s="240" t="s">
        <v>129</v>
      </c>
      <c r="C243" s="241"/>
      <c r="D243" s="102">
        <v>100</v>
      </c>
      <c r="E243" s="110" cm="1">
        <f t="array" ref="E243:E254">TRANSPOSE(K21:V21)</f>
        <v>93.75</v>
      </c>
      <c r="F243" s="104" t="str">
        <f>IF(E243="","",IF(E243&lt;D243*60%,"Try harder",""))</f>
        <v/>
      </c>
    </row>
    <row r="244" spans="1:7" ht="12.4" customHeight="1">
      <c r="A244" s="246"/>
      <c r="B244" s="242" t="s">
        <v>132</v>
      </c>
      <c r="C244" s="133" t="str" cm="1">
        <f t="array" ref="C244:C253">TRANSPOSE($L$5:$U$5)</f>
        <v>Up-Low C</v>
      </c>
      <c r="D244" s="134">
        <v>10</v>
      </c>
      <c r="E244" s="135">
        <v>10</v>
      </c>
      <c r="F244" s="136" t="str">
        <f t="shared" ref="F244:F254" si="14">IF(E244="","",IF(E244&lt;D244*60%,"Try harder",""))</f>
        <v/>
      </c>
    </row>
    <row r="245" spans="1:7" ht="12.4" customHeight="1">
      <c r="A245" s="246"/>
      <c r="B245" s="243"/>
      <c r="C245" s="137" t="str">
        <v>Alphabet N</v>
      </c>
      <c r="D245" s="138">
        <v>10</v>
      </c>
      <c r="E245" s="139">
        <v>9</v>
      </c>
      <c r="F245" s="140" t="str">
        <f t="shared" si="14"/>
        <v/>
      </c>
    </row>
    <row r="246" spans="1:7" ht="12.4" customHeight="1">
      <c r="A246" s="246"/>
      <c r="B246" s="243"/>
      <c r="C246" s="137" t="str">
        <v>Alphabet S</v>
      </c>
      <c r="D246" s="138">
        <v>10</v>
      </c>
      <c r="E246" s="139">
        <v>10</v>
      </c>
      <c r="F246" s="140" t="str">
        <f t="shared" si="14"/>
        <v/>
      </c>
    </row>
    <row r="247" spans="1:7" ht="12.4" customHeight="1">
      <c r="A247" s="246"/>
      <c r="B247" s="243"/>
      <c r="C247" s="137" t="str">
        <v>Vocabulary</v>
      </c>
      <c r="D247" s="138">
        <v>10</v>
      </c>
      <c r="E247" s="139">
        <v>10</v>
      </c>
      <c r="F247" s="140" t="str">
        <f t="shared" si="14"/>
        <v/>
      </c>
    </row>
    <row r="248" spans="1:7" ht="12.4" customHeight="1">
      <c r="A248" s="247" t="s">
        <v>131</v>
      </c>
      <c r="B248" s="243"/>
      <c r="C248" s="137" t="str">
        <v>Sprouts</v>
      </c>
      <c r="D248" s="138">
        <v>10</v>
      </c>
      <c r="E248" s="139">
        <v>9</v>
      </c>
      <c r="F248" s="140" t="str">
        <f t="shared" si="14"/>
        <v/>
      </c>
    </row>
    <row r="249" spans="1:7" ht="12.4" customHeight="1">
      <c r="A249" s="247"/>
      <c r="B249" s="243"/>
      <c r="C249" s="137" t="str">
        <v>Phonics</v>
      </c>
      <c r="D249" s="138">
        <v>10</v>
      </c>
      <c r="E249" s="139">
        <v>10</v>
      </c>
      <c r="F249" s="140" t="str">
        <f t="shared" si="14"/>
        <v/>
      </c>
    </row>
    <row r="250" spans="1:7" ht="12.4" customHeight="1">
      <c r="A250" s="247"/>
      <c r="B250" s="243"/>
      <c r="C250" s="137" t="str">
        <v>Math</v>
      </c>
      <c r="D250" s="138">
        <v>10</v>
      </c>
      <c r="E250" s="139">
        <v>10</v>
      </c>
      <c r="F250" s="140" t="str">
        <f t="shared" si="14"/>
        <v/>
      </c>
    </row>
    <row r="251" spans="1:7" ht="12.4" customHeight="1">
      <c r="A251" s="247"/>
      <c r="B251" s="243"/>
      <c r="C251" s="137" t="str">
        <v>Shape</v>
      </c>
      <c r="D251" s="138">
        <v>10</v>
      </c>
      <c r="E251" s="139">
        <v>10</v>
      </c>
      <c r="F251" s="140" t="str">
        <f t="shared" si="14"/>
        <v/>
      </c>
    </row>
    <row r="252" spans="1:7" ht="12.4" customHeight="1">
      <c r="A252" s="247"/>
      <c r="B252" s="243"/>
      <c r="C252" s="137" t="str">
        <v>Science</v>
      </c>
      <c r="D252" s="138">
        <v>10</v>
      </c>
      <c r="E252" s="139">
        <v>10</v>
      </c>
      <c r="F252" s="140" t="str">
        <f t="shared" si="14"/>
        <v/>
      </c>
    </row>
    <row r="253" spans="1:7" ht="12.4" customHeight="1">
      <c r="A253" s="247"/>
      <c r="B253" s="244"/>
      <c r="C253" s="141" t="str">
        <v>Tracing</v>
      </c>
      <c r="D253" s="142">
        <v>10</v>
      </c>
      <c r="E253" s="143">
        <v>10</v>
      </c>
      <c r="F253" s="144" t="str">
        <f t="shared" si="14"/>
        <v/>
      </c>
    </row>
    <row r="254" spans="1:7" ht="12.4" customHeight="1">
      <c r="A254" s="248"/>
      <c r="B254" s="240" t="s">
        <v>133</v>
      </c>
      <c r="C254" s="241"/>
      <c r="D254" s="103">
        <f>D243*20%+SUM(D244:D253)*80%</f>
        <v>100</v>
      </c>
      <c r="E254" s="110">
        <v>97.15</v>
      </c>
      <c r="F254" s="104" t="str">
        <f t="shared" si="14"/>
        <v/>
      </c>
    </row>
    <row r="256" spans="1:7" ht="12.4" customHeight="1">
      <c r="A256" s="230" t="s">
        <v>121</v>
      </c>
      <c r="B256" s="231"/>
      <c r="C256" s="231"/>
      <c r="D256" s="107" t="s">
        <v>123</v>
      </c>
      <c r="E256" s="232" t="str">
        <f>I22</f>
        <v>Prom Monometa</v>
      </c>
      <c r="F256" s="233"/>
      <c r="G256" s="101">
        <v>22</v>
      </c>
    </row>
    <row r="257" spans="1:6" ht="12.4" customHeight="1">
      <c r="A257" s="105" t="s">
        <v>122</v>
      </c>
      <c r="B257" s="234" t="str">
        <f>$K$2</f>
        <v>FEBRUARY - JULY 2026</v>
      </c>
      <c r="C257" s="234"/>
      <c r="D257" s="106" t="s">
        <v>124</v>
      </c>
      <c r="E257" s="235" t="str">
        <f>$I$2</f>
        <v>K1B</v>
      </c>
      <c r="F257" s="236"/>
    </row>
    <row r="258" spans="1:6" ht="12.4" customHeight="1">
      <c r="A258" s="237" t="s">
        <v>130</v>
      </c>
      <c r="B258" s="238"/>
      <c r="C258" s="238"/>
      <c r="D258" s="238"/>
      <c r="E258" s="238"/>
      <c r="F258" s="239"/>
    </row>
    <row r="259" spans="1:6" ht="12.4" customHeight="1">
      <c r="A259" s="245" t="s">
        <v>14</v>
      </c>
      <c r="B259" s="240" t="s">
        <v>125</v>
      </c>
      <c r="C259" s="241"/>
      <c r="D259" s="102" t="s">
        <v>126</v>
      </c>
      <c r="E259" s="109" t="s">
        <v>127</v>
      </c>
      <c r="F259" s="102" t="s">
        <v>128</v>
      </c>
    </row>
    <row r="260" spans="1:6" ht="12.4" customHeight="1">
      <c r="A260" s="246"/>
      <c r="B260" s="240" t="s">
        <v>129</v>
      </c>
      <c r="C260" s="241"/>
      <c r="D260" s="102">
        <v>100</v>
      </c>
      <c r="E260" s="110" cm="1">
        <f t="array" ref="E260:E271">TRANSPOSE(K22:V22)</f>
        <v>77.25</v>
      </c>
      <c r="F260" s="104" t="str">
        <f>IF(E260="","",IF(E260&lt;D260*60%,"Try harder",""))</f>
        <v/>
      </c>
    </row>
    <row r="261" spans="1:6" ht="12.4" customHeight="1">
      <c r="A261" s="246"/>
      <c r="B261" s="242" t="s">
        <v>132</v>
      </c>
      <c r="C261" s="133" t="str" cm="1">
        <f t="array" ref="C261:C270">TRANSPOSE($L$5:$U$5)</f>
        <v>Up-Low C</v>
      </c>
      <c r="D261" s="134">
        <v>10</v>
      </c>
      <c r="E261" s="135">
        <v>9.5</v>
      </c>
      <c r="F261" s="136" t="str">
        <f t="shared" ref="F261:F271" si="15">IF(E261="","",IF(E261&lt;D261*60%,"Try harder",""))</f>
        <v/>
      </c>
    </row>
    <row r="262" spans="1:6" ht="12.4" customHeight="1">
      <c r="A262" s="246"/>
      <c r="B262" s="243"/>
      <c r="C262" s="137" t="str">
        <v>Alphabet N</v>
      </c>
      <c r="D262" s="138">
        <v>10</v>
      </c>
      <c r="E262" s="139">
        <v>7.5</v>
      </c>
      <c r="F262" s="140" t="str">
        <f t="shared" si="15"/>
        <v/>
      </c>
    </row>
    <row r="263" spans="1:6" ht="12.4" customHeight="1">
      <c r="A263" s="246"/>
      <c r="B263" s="243"/>
      <c r="C263" s="137" t="str">
        <v>Alphabet S</v>
      </c>
      <c r="D263" s="138">
        <v>10</v>
      </c>
      <c r="E263" s="139">
        <v>8.5</v>
      </c>
      <c r="F263" s="140" t="str">
        <f t="shared" si="15"/>
        <v/>
      </c>
    </row>
    <row r="264" spans="1:6" ht="12.4" customHeight="1">
      <c r="A264" s="246"/>
      <c r="B264" s="243"/>
      <c r="C264" s="137" t="str">
        <v>Vocabulary</v>
      </c>
      <c r="D264" s="138">
        <v>10</v>
      </c>
      <c r="E264" s="139">
        <v>5</v>
      </c>
      <c r="F264" s="140" t="str">
        <f t="shared" si="15"/>
        <v>Try harder</v>
      </c>
    </row>
    <row r="265" spans="1:6" ht="12.4" customHeight="1">
      <c r="A265" s="247" t="s">
        <v>131</v>
      </c>
      <c r="B265" s="243"/>
      <c r="C265" s="137" t="str">
        <v>Sprouts</v>
      </c>
      <c r="D265" s="138">
        <v>10</v>
      </c>
      <c r="E265" s="139">
        <v>6</v>
      </c>
      <c r="F265" s="140" t="str">
        <f t="shared" si="15"/>
        <v/>
      </c>
    </row>
    <row r="266" spans="1:6" ht="12.4" customHeight="1">
      <c r="A266" s="247"/>
      <c r="B266" s="243"/>
      <c r="C266" s="137" t="str">
        <v>Phonics</v>
      </c>
      <c r="D266" s="138">
        <v>10</v>
      </c>
      <c r="E266" s="139">
        <v>9</v>
      </c>
      <c r="F266" s="140" t="str">
        <f t="shared" si="15"/>
        <v/>
      </c>
    </row>
    <row r="267" spans="1:6" ht="12.4" customHeight="1">
      <c r="A267" s="247"/>
      <c r="B267" s="243"/>
      <c r="C267" s="137" t="str">
        <v>Math</v>
      </c>
      <c r="D267" s="138">
        <v>10</v>
      </c>
      <c r="E267" s="139">
        <v>10</v>
      </c>
      <c r="F267" s="140" t="str">
        <f t="shared" si="15"/>
        <v/>
      </c>
    </row>
    <row r="268" spans="1:6" ht="12.4" customHeight="1">
      <c r="A268" s="247"/>
      <c r="B268" s="243"/>
      <c r="C268" s="137" t="str">
        <v>Shape</v>
      </c>
      <c r="D268" s="138">
        <v>10</v>
      </c>
      <c r="E268" s="139">
        <v>8</v>
      </c>
      <c r="F268" s="140" t="str">
        <f t="shared" si="15"/>
        <v/>
      </c>
    </row>
    <row r="269" spans="1:6" ht="12.4" customHeight="1">
      <c r="A269" s="247"/>
      <c r="B269" s="243"/>
      <c r="C269" s="137" t="str">
        <v>Science</v>
      </c>
      <c r="D269" s="138">
        <v>10</v>
      </c>
      <c r="E269" s="139">
        <v>9</v>
      </c>
      <c r="F269" s="140" t="str">
        <f t="shared" si="15"/>
        <v/>
      </c>
    </row>
    <row r="270" spans="1:6" ht="12.4" customHeight="1">
      <c r="A270" s="247"/>
      <c r="B270" s="244"/>
      <c r="C270" s="141" t="str">
        <v>Tracing</v>
      </c>
      <c r="D270" s="142">
        <v>10</v>
      </c>
      <c r="E270" s="143">
        <v>9</v>
      </c>
      <c r="F270" s="144" t="str">
        <f t="shared" si="15"/>
        <v/>
      </c>
    </row>
    <row r="271" spans="1:6" ht="12.4" customHeight="1">
      <c r="A271" s="248"/>
      <c r="B271" s="240" t="s">
        <v>133</v>
      </c>
      <c r="C271" s="241"/>
      <c r="D271" s="103">
        <f>D260*20%+SUM(D261:D270)*80%</f>
        <v>100</v>
      </c>
      <c r="E271" s="110">
        <v>80.650000000000006</v>
      </c>
      <c r="F271" s="104" t="str">
        <f t="shared" si="15"/>
        <v/>
      </c>
    </row>
    <row r="273" spans="1:7" ht="12.4" customHeight="1">
      <c r="A273" s="230" t="s">
        <v>121</v>
      </c>
      <c r="B273" s="231"/>
      <c r="C273" s="231"/>
      <c r="D273" s="107" t="s">
        <v>123</v>
      </c>
      <c r="E273" s="232" t="str">
        <f>I23</f>
        <v>Seng Moamunyriangsey</v>
      </c>
      <c r="F273" s="233"/>
      <c r="G273" s="101">
        <v>23</v>
      </c>
    </row>
    <row r="274" spans="1:7" ht="12.4" customHeight="1">
      <c r="A274" s="105" t="s">
        <v>122</v>
      </c>
      <c r="B274" s="234" t="str">
        <f>$K$2</f>
        <v>FEBRUARY - JULY 2026</v>
      </c>
      <c r="C274" s="234"/>
      <c r="D274" s="106" t="s">
        <v>124</v>
      </c>
      <c r="E274" s="235" t="str">
        <f>$I$2</f>
        <v>K1B</v>
      </c>
      <c r="F274" s="236"/>
    </row>
    <row r="275" spans="1:7" ht="12.4" customHeight="1">
      <c r="A275" s="237" t="s">
        <v>130</v>
      </c>
      <c r="B275" s="238"/>
      <c r="C275" s="238"/>
      <c r="D275" s="238"/>
      <c r="E275" s="238"/>
      <c r="F275" s="239"/>
    </row>
    <row r="276" spans="1:7" ht="12.4" customHeight="1">
      <c r="A276" s="245" t="s">
        <v>14</v>
      </c>
      <c r="B276" s="240" t="s">
        <v>125</v>
      </c>
      <c r="C276" s="241"/>
      <c r="D276" s="102" t="s">
        <v>126</v>
      </c>
      <c r="E276" s="109" t="s">
        <v>127</v>
      </c>
      <c r="F276" s="102" t="s">
        <v>128</v>
      </c>
    </row>
    <row r="277" spans="1:7" ht="12.4" customHeight="1">
      <c r="A277" s="246"/>
      <c r="B277" s="240" t="s">
        <v>129</v>
      </c>
      <c r="C277" s="241"/>
      <c r="D277" s="102">
        <v>100</v>
      </c>
      <c r="E277" s="110" cm="1">
        <f t="array" ref="E277:E288">TRANSPOSE(K23:V23)</f>
        <v>73.625</v>
      </c>
      <c r="F277" s="104" t="str">
        <f>IF(E277="","",IF(E277&lt;D277*60%,"Try harder",""))</f>
        <v/>
      </c>
    </row>
    <row r="278" spans="1:7" ht="12.4" customHeight="1">
      <c r="A278" s="246"/>
      <c r="B278" s="242" t="s">
        <v>132</v>
      </c>
      <c r="C278" s="133" t="str" cm="1">
        <f t="array" ref="C278:C287">TRANSPOSE($L$5:$U$5)</f>
        <v>Up-Low C</v>
      </c>
      <c r="D278" s="134">
        <v>10</v>
      </c>
      <c r="E278" s="135">
        <v>8</v>
      </c>
      <c r="F278" s="136" t="str">
        <f t="shared" ref="F278:F288" si="16">IF(E278="","",IF(E278&lt;D278*60%,"Try harder",""))</f>
        <v/>
      </c>
    </row>
    <row r="279" spans="1:7" ht="12.4" customHeight="1">
      <c r="A279" s="246"/>
      <c r="B279" s="243"/>
      <c r="C279" s="137" t="str">
        <v>Alphabet N</v>
      </c>
      <c r="D279" s="138">
        <v>10</v>
      </c>
      <c r="E279" s="139">
        <v>8.5</v>
      </c>
      <c r="F279" s="140" t="str">
        <f t="shared" si="16"/>
        <v/>
      </c>
    </row>
    <row r="280" spans="1:7" ht="12.4" customHeight="1">
      <c r="A280" s="246"/>
      <c r="B280" s="243"/>
      <c r="C280" s="137" t="str">
        <v>Alphabet S</v>
      </c>
      <c r="D280" s="138">
        <v>10</v>
      </c>
      <c r="E280" s="139">
        <v>8</v>
      </c>
      <c r="F280" s="140" t="str">
        <f t="shared" si="16"/>
        <v/>
      </c>
    </row>
    <row r="281" spans="1:7" ht="12.4" customHeight="1">
      <c r="A281" s="246"/>
      <c r="B281" s="243"/>
      <c r="C281" s="137" t="str">
        <v>Vocabulary</v>
      </c>
      <c r="D281" s="138">
        <v>10</v>
      </c>
      <c r="E281" s="139">
        <v>5</v>
      </c>
      <c r="F281" s="140" t="str">
        <f t="shared" si="16"/>
        <v>Try harder</v>
      </c>
    </row>
    <row r="282" spans="1:7" ht="12.4" customHeight="1">
      <c r="A282" s="247" t="s">
        <v>131</v>
      </c>
      <c r="B282" s="243"/>
      <c r="C282" s="137" t="str">
        <v>Sprouts</v>
      </c>
      <c r="D282" s="138">
        <v>10</v>
      </c>
      <c r="E282" s="139">
        <v>6</v>
      </c>
      <c r="F282" s="140" t="str">
        <f t="shared" si="16"/>
        <v/>
      </c>
    </row>
    <row r="283" spans="1:7" ht="12.4" customHeight="1">
      <c r="A283" s="247"/>
      <c r="B283" s="243"/>
      <c r="C283" s="137" t="str">
        <v>Phonics</v>
      </c>
      <c r="D283" s="138">
        <v>10</v>
      </c>
      <c r="E283" s="139">
        <v>8</v>
      </c>
      <c r="F283" s="140" t="str">
        <f t="shared" si="16"/>
        <v/>
      </c>
    </row>
    <row r="284" spans="1:7" ht="12.4" customHeight="1">
      <c r="A284" s="247"/>
      <c r="B284" s="243"/>
      <c r="C284" s="137" t="str">
        <v>Math</v>
      </c>
      <c r="D284" s="138">
        <v>10</v>
      </c>
      <c r="E284" s="139">
        <v>10</v>
      </c>
      <c r="F284" s="140" t="str">
        <f t="shared" si="16"/>
        <v/>
      </c>
    </row>
    <row r="285" spans="1:7" ht="12.4" customHeight="1">
      <c r="A285" s="247"/>
      <c r="B285" s="243"/>
      <c r="C285" s="137" t="str">
        <v>Shape</v>
      </c>
      <c r="D285" s="138">
        <v>10</v>
      </c>
      <c r="E285" s="139">
        <v>8</v>
      </c>
      <c r="F285" s="140" t="str">
        <f t="shared" si="16"/>
        <v/>
      </c>
    </row>
    <row r="286" spans="1:7" ht="12.4" customHeight="1">
      <c r="A286" s="247"/>
      <c r="B286" s="243"/>
      <c r="C286" s="137" t="str">
        <v>Science</v>
      </c>
      <c r="D286" s="138">
        <v>10</v>
      </c>
      <c r="E286" s="139">
        <v>9</v>
      </c>
      <c r="F286" s="140" t="str">
        <f t="shared" si="16"/>
        <v/>
      </c>
    </row>
    <row r="287" spans="1:7" ht="12.4" customHeight="1">
      <c r="A287" s="247"/>
      <c r="B287" s="244"/>
      <c r="C287" s="141" t="str">
        <v>Tracing</v>
      </c>
      <c r="D287" s="142">
        <v>10</v>
      </c>
      <c r="E287" s="143">
        <v>8.5</v>
      </c>
      <c r="F287" s="144" t="str">
        <f t="shared" si="16"/>
        <v/>
      </c>
    </row>
    <row r="288" spans="1:7" ht="12.4" customHeight="1">
      <c r="A288" s="248"/>
      <c r="B288" s="240" t="s">
        <v>133</v>
      </c>
      <c r="C288" s="241"/>
      <c r="D288" s="103">
        <f>D277*20%+SUM(D278:D287)*80%</f>
        <v>100</v>
      </c>
      <c r="E288" s="110">
        <v>77.925000000000011</v>
      </c>
      <c r="F288" s="104" t="str">
        <f t="shared" si="16"/>
        <v/>
      </c>
    </row>
    <row r="290" spans="1:7" ht="12.4" customHeight="1">
      <c r="A290" s="230" t="s">
        <v>121</v>
      </c>
      <c r="B290" s="231"/>
      <c r="C290" s="231"/>
      <c r="D290" s="107" t="s">
        <v>123</v>
      </c>
      <c r="E290" s="232" t="str">
        <f>I24</f>
        <v>Thuy Chanmeylinh</v>
      </c>
      <c r="F290" s="233"/>
      <c r="G290" s="101">
        <v>24</v>
      </c>
    </row>
    <row r="291" spans="1:7" ht="12.4" customHeight="1">
      <c r="A291" s="105" t="s">
        <v>122</v>
      </c>
      <c r="B291" s="234" t="str">
        <f>$K$2</f>
        <v>FEBRUARY - JULY 2026</v>
      </c>
      <c r="C291" s="234"/>
      <c r="D291" s="106" t="s">
        <v>124</v>
      </c>
      <c r="E291" s="235" t="str">
        <f>$I$2</f>
        <v>K1B</v>
      </c>
      <c r="F291" s="236"/>
    </row>
    <row r="292" spans="1:7" ht="12.4" customHeight="1">
      <c r="A292" s="237" t="s">
        <v>130</v>
      </c>
      <c r="B292" s="238"/>
      <c r="C292" s="238"/>
      <c r="D292" s="238"/>
      <c r="E292" s="238"/>
      <c r="F292" s="239"/>
    </row>
    <row r="293" spans="1:7" ht="12.4" customHeight="1">
      <c r="A293" s="245" t="s">
        <v>14</v>
      </c>
      <c r="B293" s="240" t="s">
        <v>125</v>
      </c>
      <c r="C293" s="241"/>
      <c r="D293" s="102" t="s">
        <v>126</v>
      </c>
      <c r="E293" s="109" t="s">
        <v>127</v>
      </c>
      <c r="F293" s="102" t="s">
        <v>128</v>
      </c>
    </row>
    <row r="294" spans="1:7" ht="12.4" customHeight="1">
      <c r="A294" s="246"/>
      <c r="B294" s="240" t="s">
        <v>129</v>
      </c>
      <c r="C294" s="241"/>
      <c r="D294" s="102">
        <v>100</v>
      </c>
      <c r="E294" s="110" cm="1">
        <f t="array" ref="E294:E305">TRANSPOSE(K24:V24)</f>
        <v>97</v>
      </c>
      <c r="F294" s="104" t="str">
        <f>IF(E294="","",IF(E294&lt;D294*60%,"Try harder",""))</f>
        <v/>
      </c>
    </row>
    <row r="295" spans="1:7" ht="12.4" customHeight="1">
      <c r="A295" s="246"/>
      <c r="B295" s="242" t="s">
        <v>132</v>
      </c>
      <c r="C295" s="133" t="str" cm="1">
        <f t="array" ref="C295:C304">TRANSPOSE($L$5:$U$5)</f>
        <v>Up-Low C</v>
      </c>
      <c r="D295" s="134">
        <v>10</v>
      </c>
      <c r="E295" s="135">
        <v>9</v>
      </c>
      <c r="F295" s="136" t="str">
        <f t="shared" ref="F295:F305" si="17">IF(E295="","",IF(E295&lt;D295*60%,"Try harder",""))</f>
        <v/>
      </c>
    </row>
    <row r="296" spans="1:7" ht="12.4" customHeight="1">
      <c r="A296" s="246"/>
      <c r="B296" s="243"/>
      <c r="C296" s="137" t="str">
        <v>Alphabet N</v>
      </c>
      <c r="D296" s="138">
        <v>10</v>
      </c>
      <c r="E296" s="139">
        <v>9.75</v>
      </c>
      <c r="F296" s="140" t="str">
        <f t="shared" si="17"/>
        <v/>
      </c>
    </row>
    <row r="297" spans="1:7" ht="12.4" customHeight="1">
      <c r="A297" s="246"/>
      <c r="B297" s="243"/>
      <c r="C297" s="137" t="str">
        <v>Alphabet S</v>
      </c>
      <c r="D297" s="138">
        <v>10</v>
      </c>
      <c r="E297" s="139">
        <v>10</v>
      </c>
      <c r="F297" s="140" t="str">
        <f t="shared" si="17"/>
        <v/>
      </c>
    </row>
    <row r="298" spans="1:7" ht="12.4" customHeight="1">
      <c r="A298" s="246"/>
      <c r="B298" s="243"/>
      <c r="C298" s="137" t="str">
        <v>Vocabulary</v>
      </c>
      <c r="D298" s="138">
        <v>10</v>
      </c>
      <c r="E298" s="139">
        <v>9</v>
      </c>
      <c r="F298" s="140" t="str">
        <f t="shared" si="17"/>
        <v/>
      </c>
    </row>
    <row r="299" spans="1:7" ht="12.4" customHeight="1">
      <c r="A299" s="247" t="s">
        <v>131</v>
      </c>
      <c r="B299" s="243"/>
      <c r="C299" s="137" t="str">
        <v>Sprouts</v>
      </c>
      <c r="D299" s="138">
        <v>10</v>
      </c>
      <c r="E299" s="139">
        <v>10</v>
      </c>
      <c r="F299" s="140" t="str">
        <f t="shared" si="17"/>
        <v/>
      </c>
    </row>
    <row r="300" spans="1:7" ht="12.4" customHeight="1">
      <c r="A300" s="247"/>
      <c r="B300" s="243"/>
      <c r="C300" s="137" t="str">
        <v>Phonics</v>
      </c>
      <c r="D300" s="138">
        <v>10</v>
      </c>
      <c r="E300" s="139">
        <v>10</v>
      </c>
      <c r="F300" s="140" t="str">
        <f t="shared" si="17"/>
        <v/>
      </c>
    </row>
    <row r="301" spans="1:7" ht="12.4" customHeight="1">
      <c r="A301" s="247"/>
      <c r="B301" s="243"/>
      <c r="C301" s="137" t="str">
        <v>Math</v>
      </c>
      <c r="D301" s="138">
        <v>10</v>
      </c>
      <c r="E301" s="139">
        <v>10</v>
      </c>
      <c r="F301" s="140" t="str">
        <f t="shared" si="17"/>
        <v/>
      </c>
    </row>
    <row r="302" spans="1:7" ht="12.4" customHeight="1">
      <c r="A302" s="247"/>
      <c r="B302" s="243"/>
      <c r="C302" s="137" t="str">
        <v>Shape</v>
      </c>
      <c r="D302" s="138">
        <v>10</v>
      </c>
      <c r="E302" s="139">
        <v>10</v>
      </c>
      <c r="F302" s="140" t="str">
        <f t="shared" si="17"/>
        <v/>
      </c>
    </row>
    <row r="303" spans="1:7" ht="12.4" customHeight="1">
      <c r="A303" s="247"/>
      <c r="B303" s="243"/>
      <c r="C303" s="137" t="str">
        <v>Science</v>
      </c>
      <c r="D303" s="138">
        <v>10</v>
      </c>
      <c r="E303" s="139">
        <v>10</v>
      </c>
      <c r="F303" s="140" t="str">
        <f t="shared" si="17"/>
        <v/>
      </c>
    </row>
    <row r="304" spans="1:7" ht="12.4" customHeight="1">
      <c r="A304" s="247"/>
      <c r="B304" s="244"/>
      <c r="C304" s="141" t="str">
        <v>Tracing</v>
      </c>
      <c r="D304" s="142">
        <v>10</v>
      </c>
      <c r="E304" s="143">
        <v>10</v>
      </c>
      <c r="F304" s="144" t="str">
        <f t="shared" si="17"/>
        <v/>
      </c>
    </row>
    <row r="305" spans="1:7" ht="12.4" customHeight="1">
      <c r="A305" s="248"/>
      <c r="B305" s="240" t="s">
        <v>133</v>
      </c>
      <c r="C305" s="241"/>
      <c r="D305" s="103">
        <f>D294*20%+SUM(D295:D304)*80%</f>
        <v>100</v>
      </c>
      <c r="E305" s="110">
        <v>97.600000000000009</v>
      </c>
      <c r="F305" s="104" t="str">
        <f t="shared" si="17"/>
        <v/>
      </c>
    </row>
    <row r="307" spans="1:7" ht="12.4" customHeight="1">
      <c r="A307" s="230" t="s">
        <v>121</v>
      </c>
      <c r="B307" s="231"/>
      <c r="C307" s="231"/>
      <c r="D307" s="107" t="s">
        <v>123</v>
      </c>
      <c r="E307" s="232" t="str">
        <f>I25</f>
        <v>Vy Monineath</v>
      </c>
      <c r="F307" s="233"/>
      <c r="G307" s="101">
        <v>25</v>
      </c>
    </row>
    <row r="308" spans="1:7" ht="12.4" customHeight="1">
      <c r="A308" s="105" t="s">
        <v>122</v>
      </c>
      <c r="B308" s="234" t="str">
        <f>$K$2</f>
        <v>FEBRUARY - JULY 2026</v>
      </c>
      <c r="C308" s="234"/>
      <c r="D308" s="106" t="s">
        <v>124</v>
      </c>
      <c r="E308" s="235" t="str">
        <f>$I$2</f>
        <v>K1B</v>
      </c>
      <c r="F308" s="236"/>
    </row>
    <row r="309" spans="1:7" ht="12.4" customHeight="1">
      <c r="A309" s="237" t="s">
        <v>130</v>
      </c>
      <c r="B309" s="238"/>
      <c r="C309" s="238"/>
      <c r="D309" s="238"/>
      <c r="E309" s="238"/>
      <c r="F309" s="239"/>
    </row>
    <row r="310" spans="1:7" ht="12.4" customHeight="1">
      <c r="A310" s="245" t="s">
        <v>14</v>
      </c>
      <c r="B310" s="240" t="s">
        <v>125</v>
      </c>
      <c r="C310" s="241"/>
      <c r="D310" s="102" t="s">
        <v>126</v>
      </c>
      <c r="E310" s="109" t="s">
        <v>127</v>
      </c>
      <c r="F310" s="102" t="s">
        <v>128</v>
      </c>
    </row>
    <row r="311" spans="1:7" ht="12.4" customHeight="1">
      <c r="A311" s="246"/>
      <c r="B311" s="240" t="s">
        <v>129</v>
      </c>
      <c r="C311" s="241"/>
      <c r="D311" s="102">
        <v>100</v>
      </c>
      <c r="E311" s="110" cm="1">
        <f t="array" ref="E311:E322">TRANSPOSE(K25:V25)</f>
        <v>96.625</v>
      </c>
      <c r="F311" s="104" t="str">
        <f>IF(E311="","",IF(E311&lt;D311*60%,"Try harder",""))</f>
        <v/>
      </c>
    </row>
    <row r="312" spans="1:7" ht="12.4" customHeight="1">
      <c r="A312" s="246"/>
      <c r="B312" s="242" t="s">
        <v>132</v>
      </c>
      <c r="C312" s="133" t="str" cm="1">
        <f t="array" ref="C312:C321">TRANSPOSE($L$5:$U$5)</f>
        <v>Up-Low C</v>
      </c>
      <c r="D312" s="134">
        <v>10</v>
      </c>
      <c r="E312" s="135">
        <v>9</v>
      </c>
      <c r="F312" s="136" t="str">
        <f t="shared" ref="F312:F322" si="18">IF(E312="","",IF(E312&lt;D312*60%,"Try harder",""))</f>
        <v/>
      </c>
    </row>
    <row r="313" spans="1:7" ht="12.4" customHeight="1">
      <c r="A313" s="246"/>
      <c r="B313" s="243"/>
      <c r="C313" s="137" t="str">
        <v>Alphabet N</v>
      </c>
      <c r="D313" s="138">
        <v>10</v>
      </c>
      <c r="E313" s="139">
        <v>10</v>
      </c>
      <c r="F313" s="140" t="str">
        <f t="shared" si="18"/>
        <v/>
      </c>
    </row>
    <row r="314" spans="1:7" ht="12.4" customHeight="1">
      <c r="A314" s="246"/>
      <c r="B314" s="243"/>
      <c r="C314" s="137" t="str">
        <v>Alphabet S</v>
      </c>
      <c r="D314" s="138">
        <v>10</v>
      </c>
      <c r="E314" s="139">
        <v>10</v>
      </c>
      <c r="F314" s="140" t="str">
        <f t="shared" si="18"/>
        <v/>
      </c>
    </row>
    <row r="315" spans="1:7" ht="12.4" customHeight="1">
      <c r="A315" s="246"/>
      <c r="B315" s="243"/>
      <c r="C315" s="137" t="str">
        <v>Vocabulary</v>
      </c>
      <c r="D315" s="138">
        <v>10</v>
      </c>
      <c r="E315" s="139">
        <v>10</v>
      </c>
      <c r="F315" s="140" t="str">
        <f t="shared" si="18"/>
        <v/>
      </c>
    </row>
    <row r="316" spans="1:7" ht="12.4" customHeight="1">
      <c r="A316" s="247" t="s">
        <v>131</v>
      </c>
      <c r="B316" s="243"/>
      <c r="C316" s="137" t="str">
        <v>Sprouts</v>
      </c>
      <c r="D316" s="138">
        <v>10</v>
      </c>
      <c r="E316" s="139">
        <v>9</v>
      </c>
      <c r="F316" s="140" t="str">
        <f t="shared" si="18"/>
        <v/>
      </c>
    </row>
    <row r="317" spans="1:7" ht="12.4" customHeight="1">
      <c r="A317" s="247"/>
      <c r="B317" s="243"/>
      <c r="C317" s="137" t="str">
        <v>Phonics</v>
      </c>
      <c r="D317" s="138">
        <v>10</v>
      </c>
      <c r="E317" s="139">
        <v>10</v>
      </c>
      <c r="F317" s="140" t="str">
        <f t="shared" si="18"/>
        <v/>
      </c>
    </row>
    <row r="318" spans="1:7" ht="12.4" customHeight="1">
      <c r="A318" s="247"/>
      <c r="B318" s="243"/>
      <c r="C318" s="137" t="str">
        <v>Math</v>
      </c>
      <c r="D318" s="138">
        <v>10</v>
      </c>
      <c r="E318" s="139">
        <v>10</v>
      </c>
      <c r="F318" s="140" t="str">
        <f t="shared" si="18"/>
        <v/>
      </c>
    </row>
    <row r="319" spans="1:7" ht="12.4" customHeight="1">
      <c r="A319" s="247"/>
      <c r="B319" s="243"/>
      <c r="C319" s="137" t="str">
        <v>Shape</v>
      </c>
      <c r="D319" s="138">
        <v>10</v>
      </c>
      <c r="E319" s="139">
        <v>10</v>
      </c>
      <c r="F319" s="140" t="str">
        <f t="shared" si="18"/>
        <v/>
      </c>
    </row>
    <row r="320" spans="1:7" ht="12.4" customHeight="1">
      <c r="A320" s="247"/>
      <c r="B320" s="243"/>
      <c r="C320" s="137" t="str">
        <v>Science</v>
      </c>
      <c r="D320" s="138">
        <v>10</v>
      </c>
      <c r="E320" s="139">
        <v>10</v>
      </c>
      <c r="F320" s="140" t="str">
        <f t="shared" si="18"/>
        <v/>
      </c>
    </row>
    <row r="321" spans="1:7" ht="12.4" customHeight="1">
      <c r="A321" s="247"/>
      <c r="B321" s="244"/>
      <c r="C321" s="141" t="str">
        <v>Tracing</v>
      </c>
      <c r="D321" s="142">
        <v>10</v>
      </c>
      <c r="E321" s="143">
        <v>10</v>
      </c>
      <c r="F321" s="144" t="str">
        <f t="shared" si="18"/>
        <v/>
      </c>
    </row>
    <row r="322" spans="1:7" ht="12.4" customHeight="1">
      <c r="A322" s="248"/>
      <c r="B322" s="240" t="s">
        <v>133</v>
      </c>
      <c r="C322" s="241"/>
      <c r="D322" s="103">
        <f>D311*20%+SUM(D312:D321)*80%</f>
        <v>100</v>
      </c>
      <c r="E322" s="110">
        <v>97.725000000000009</v>
      </c>
      <c r="F322" s="104" t="str">
        <f t="shared" si="18"/>
        <v/>
      </c>
    </row>
    <row r="324" spans="1:7" ht="12.4" customHeight="1">
      <c r="A324" s="230" t="s">
        <v>121</v>
      </c>
      <c r="B324" s="231"/>
      <c r="C324" s="231"/>
      <c r="D324" s="107" t="s">
        <v>123</v>
      </c>
      <c r="E324" s="232" t="str">
        <f>I26</f>
        <v/>
      </c>
      <c r="F324" s="233"/>
      <c r="G324" s="101">
        <v>26</v>
      </c>
    </row>
    <row r="325" spans="1:7" ht="12.4" customHeight="1">
      <c r="A325" s="105" t="s">
        <v>122</v>
      </c>
      <c r="B325" s="234" t="str">
        <f>$K$2</f>
        <v>FEBRUARY - JULY 2026</v>
      </c>
      <c r="C325" s="234"/>
      <c r="D325" s="106" t="s">
        <v>124</v>
      </c>
      <c r="E325" s="235" t="str">
        <f>$I$2</f>
        <v>K1B</v>
      </c>
      <c r="F325" s="236"/>
    </row>
    <row r="326" spans="1:7" ht="12.4" customHeight="1">
      <c r="A326" s="237" t="s">
        <v>130</v>
      </c>
      <c r="B326" s="238"/>
      <c r="C326" s="238"/>
      <c r="D326" s="238"/>
      <c r="E326" s="238"/>
      <c r="F326" s="239"/>
    </row>
    <row r="327" spans="1:7" ht="12.4" customHeight="1">
      <c r="A327" s="245" t="s">
        <v>14</v>
      </c>
      <c r="B327" s="240" t="s">
        <v>125</v>
      </c>
      <c r="C327" s="241"/>
      <c r="D327" s="102" t="s">
        <v>126</v>
      </c>
      <c r="E327" s="109" t="s">
        <v>127</v>
      </c>
      <c r="F327" s="102" t="s">
        <v>128</v>
      </c>
    </row>
    <row r="328" spans="1:7" ht="12.4" customHeight="1">
      <c r="A328" s="246"/>
      <c r="B328" s="240" t="s">
        <v>129</v>
      </c>
      <c r="C328" s="241"/>
      <c r="D328" s="102">
        <v>100</v>
      </c>
      <c r="E328" s="110" t="str" cm="1">
        <f t="array" ref="E328:E339">TRANSPOSE(K26:V26)</f>
        <v/>
      </c>
      <c r="F328" s="104" t="str">
        <f>IF(E328="","",IF(E328&lt;D328*60%,"Try harder",""))</f>
        <v/>
      </c>
    </row>
    <row r="329" spans="1:7" ht="12.4" customHeight="1">
      <c r="A329" s="246"/>
      <c r="B329" s="242" t="s">
        <v>132</v>
      </c>
      <c r="C329" s="133" t="str" cm="1">
        <f t="array" ref="C329:C338">TRANSPOSE($L$5:$U$5)</f>
        <v>Up-Low C</v>
      </c>
      <c r="D329" s="134">
        <v>10</v>
      </c>
      <c r="E329" s="135" t="str">
        <v/>
      </c>
      <c r="F329" s="136" t="str">
        <f t="shared" ref="F329:F339" si="19">IF(E329="","",IF(E329&lt;D329*60%,"Try harder",""))</f>
        <v/>
      </c>
    </row>
    <row r="330" spans="1:7" ht="12.4" customHeight="1">
      <c r="A330" s="246"/>
      <c r="B330" s="243"/>
      <c r="C330" s="137" t="str">
        <v>Alphabet N</v>
      </c>
      <c r="D330" s="138">
        <v>10</v>
      </c>
      <c r="E330" s="139" t="str">
        <v/>
      </c>
      <c r="F330" s="140" t="str">
        <f t="shared" si="19"/>
        <v/>
      </c>
    </row>
    <row r="331" spans="1:7" ht="12.4" customHeight="1">
      <c r="A331" s="246"/>
      <c r="B331" s="243"/>
      <c r="C331" s="137" t="str">
        <v>Alphabet S</v>
      </c>
      <c r="D331" s="138">
        <v>10</v>
      </c>
      <c r="E331" s="139" t="str">
        <v/>
      </c>
      <c r="F331" s="140" t="str">
        <f t="shared" si="19"/>
        <v/>
      </c>
    </row>
    <row r="332" spans="1:7" ht="12.4" customHeight="1">
      <c r="A332" s="246"/>
      <c r="B332" s="243"/>
      <c r="C332" s="137" t="str">
        <v>Vocabulary</v>
      </c>
      <c r="D332" s="138">
        <v>10</v>
      </c>
      <c r="E332" s="139" t="str">
        <v/>
      </c>
      <c r="F332" s="140" t="str">
        <f t="shared" si="19"/>
        <v/>
      </c>
    </row>
    <row r="333" spans="1:7" ht="12.4" customHeight="1">
      <c r="A333" s="247" t="s">
        <v>131</v>
      </c>
      <c r="B333" s="243"/>
      <c r="C333" s="137" t="str">
        <v>Sprouts</v>
      </c>
      <c r="D333" s="138">
        <v>10</v>
      </c>
      <c r="E333" s="139" t="str">
        <v/>
      </c>
      <c r="F333" s="140" t="str">
        <f t="shared" si="19"/>
        <v/>
      </c>
    </row>
    <row r="334" spans="1:7" ht="12.4" customHeight="1">
      <c r="A334" s="247"/>
      <c r="B334" s="243"/>
      <c r="C334" s="137" t="str">
        <v>Phonics</v>
      </c>
      <c r="D334" s="138">
        <v>10</v>
      </c>
      <c r="E334" s="139" t="str">
        <v/>
      </c>
      <c r="F334" s="140" t="str">
        <f t="shared" si="19"/>
        <v/>
      </c>
    </row>
    <row r="335" spans="1:7" ht="12.4" customHeight="1">
      <c r="A335" s="247"/>
      <c r="B335" s="243"/>
      <c r="C335" s="137" t="str">
        <v>Math</v>
      </c>
      <c r="D335" s="138">
        <v>10</v>
      </c>
      <c r="E335" s="139" t="str">
        <v/>
      </c>
      <c r="F335" s="140" t="str">
        <f t="shared" si="19"/>
        <v/>
      </c>
    </row>
    <row r="336" spans="1:7" ht="12.4" customHeight="1">
      <c r="A336" s="247"/>
      <c r="B336" s="243"/>
      <c r="C336" s="137" t="str">
        <v>Shape</v>
      </c>
      <c r="D336" s="138">
        <v>10</v>
      </c>
      <c r="E336" s="139" t="str">
        <v/>
      </c>
      <c r="F336" s="140" t="str">
        <f t="shared" si="19"/>
        <v/>
      </c>
    </row>
    <row r="337" spans="1:7" ht="12.4" customHeight="1">
      <c r="A337" s="247"/>
      <c r="B337" s="243"/>
      <c r="C337" s="137" t="str">
        <v>Science</v>
      </c>
      <c r="D337" s="138">
        <v>10</v>
      </c>
      <c r="E337" s="139" t="str">
        <v/>
      </c>
      <c r="F337" s="140" t="str">
        <f t="shared" si="19"/>
        <v/>
      </c>
    </row>
    <row r="338" spans="1:7" ht="12.4" customHeight="1">
      <c r="A338" s="247"/>
      <c r="B338" s="244"/>
      <c r="C338" s="141" t="str">
        <v>Tracing</v>
      </c>
      <c r="D338" s="142">
        <v>10</v>
      </c>
      <c r="E338" s="143" t="str">
        <v/>
      </c>
      <c r="F338" s="144" t="str">
        <f t="shared" si="19"/>
        <v/>
      </c>
    </row>
    <row r="339" spans="1:7" ht="12.4" customHeight="1">
      <c r="A339" s="248"/>
      <c r="B339" s="240" t="s">
        <v>133</v>
      </c>
      <c r="C339" s="241"/>
      <c r="D339" s="103">
        <f>D328*20%+SUM(D329:D338)*80%</f>
        <v>100</v>
      </c>
      <c r="E339" s="110" t="str">
        <v/>
      </c>
      <c r="F339" s="104" t="str">
        <f t="shared" si="19"/>
        <v/>
      </c>
    </row>
    <row r="341" spans="1:7" ht="12.4" customHeight="1">
      <c r="A341" s="230" t="s">
        <v>121</v>
      </c>
      <c r="B341" s="231"/>
      <c r="C341" s="231"/>
      <c r="D341" s="107" t="s">
        <v>123</v>
      </c>
      <c r="E341" s="232" t="str">
        <f>I27</f>
        <v/>
      </c>
      <c r="F341" s="233"/>
      <c r="G341" s="101">
        <v>27</v>
      </c>
    </row>
    <row r="342" spans="1:7" ht="12.4" customHeight="1">
      <c r="A342" s="105" t="s">
        <v>122</v>
      </c>
      <c r="B342" s="234" t="str">
        <f>$K$2</f>
        <v>FEBRUARY - JULY 2026</v>
      </c>
      <c r="C342" s="234"/>
      <c r="D342" s="106" t="s">
        <v>124</v>
      </c>
      <c r="E342" s="235" t="str">
        <f>$I$2</f>
        <v>K1B</v>
      </c>
      <c r="F342" s="236"/>
    </row>
    <row r="343" spans="1:7" ht="12.4" customHeight="1">
      <c r="A343" s="237" t="s">
        <v>130</v>
      </c>
      <c r="B343" s="238"/>
      <c r="C343" s="238"/>
      <c r="D343" s="238"/>
      <c r="E343" s="238"/>
      <c r="F343" s="239"/>
    </row>
    <row r="344" spans="1:7" ht="12.4" customHeight="1">
      <c r="A344" s="245" t="s">
        <v>14</v>
      </c>
      <c r="B344" s="240" t="s">
        <v>125</v>
      </c>
      <c r="C344" s="241"/>
      <c r="D344" s="102" t="s">
        <v>126</v>
      </c>
      <c r="E344" s="109" t="s">
        <v>127</v>
      </c>
      <c r="F344" s="102" t="s">
        <v>128</v>
      </c>
    </row>
    <row r="345" spans="1:7" ht="12.4" customHeight="1">
      <c r="A345" s="246"/>
      <c r="B345" s="240" t="s">
        <v>129</v>
      </c>
      <c r="C345" s="241"/>
      <c r="D345" s="102">
        <v>100</v>
      </c>
      <c r="E345" s="110" t="str" cm="1">
        <f t="array" ref="E345:E356">TRANSPOSE(K27:V27)</f>
        <v/>
      </c>
      <c r="F345" s="104" t="str">
        <f>IF(E345="","",IF(E345&lt;D345*60%,"Try harder",""))</f>
        <v/>
      </c>
    </row>
    <row r="346" spans="1:7" ht="12.4" customHeight="1">
      <c r="A346" s="246"/>
      <c r="B346" s="242" t="s">
        <v>132</v>
      </c>
      <c r="C346" s="133" t="str" cm="1">
        <f t="array" ref="C346:C355">TRANSPOSE($L$5:$U$5)</f>
        <v>Up-Low C</v>
      </c>
      <c r="D346" s="134">
        <v>10</v>
      </c>
      <c r="E346" s="135" t="str">
        <v/>
      </c>
      <c r="F346" s="136" t="str">
        <f t="shared" ref="F346:F356" si="20">IF(E346="","",IF(E346&lt;D346*60%,"Try harder",""))</f>
        <v/>
      </c>
    </row>
    <row r="347" spans="1:7" ht="12.4" customHeight="1">
      <c r="A347" s="246"/>
      <c r="B347" s="243"/>
      <c r="C347" s="137" t="str">
        <v>Alphabet N</v>
      </c>
      <c r="D347" s="138">
        <v>10</v>
      </c>
      <c r="E347" s="139" t="str">
        <v/>
      </c>
      <c r="F347" s="140" t="str">
        <f t="shared" si="20"/>
        <v/>
      </c>
    </row>
    <row r="348" spans="1:7" ht="12.4" customHeight="1">
      <c r="A348" s="246"/>
      <c r="B348" s="243"/>
      <c r="C348" s="137" t="str">
        <v>Alphabet S</v>
      </c>
      <c r="D348" s="138">
        <v>10</v>
      </c>
      <c r="E348" s="139" t="str">
        <v/>
      </c>
      <c r="F348" s="140" t="str">
        <f t="shared" si="20"/>
        <v/>
      </c>
    </row>
    <row r="349" spans="1:7" ht="12.4" customHeight="1">
      <c r="A349" s="246"/>
      <c r="B349" s="243"/>
      <c r="C349" s="137" t="str">
        <v>Vocabulary</v>
      </c>
      <c r="D349" s="138">
        <v>10</v>
      </c>
      <c r="E349" s="139" t="str">
        <v/>
      </c>
      <c r="F349" s="140" t="str">
        <f t="shared" si="20"/>
        <v/>
      </c>
    </row>
    <row r="350" spans="1:7" ht="12.4" customHeight="1">
      <c r="A350" s="247" t="s">
        <v>131</v>
      </c>
      <c r="B350" s="243"/>
      <c r="C350" s="137" t="str">
        <v>Sprouts</v>
      </c>
      <c r="D350" s="138">
        <v>10</v>
      </c>
      <c r="E350" s="139" t="str">
        <v/>
      </c>
      <c r="F350" s="140" t="str">
        <f t="shared" si="20"/>
        <v/>
      </c>
    </row>
    <row r="351" spans="1:7" ht="12.4" customHeight="1">
      <c r="A351" s="247"/>
      <c r="B351" s="243"/>
      <c r="C351" s="137" t="str">
        <v>Phonics</v>
      </c>
      <c r="D351" s="138">
        <v>10</v>
      </c>
      <c r="E351" s="139" t="str">
        <v/>
      </c>
      <c r="F351" s="140" t="str">
        <f t="shared" si="20"/>
        <v/>
      </c>
    </row>
    <row r="352" spans="1:7" ht="12.4" customHeight="1">
      <c r="A352" s="247"/>
      <c r="B352" s="243"/>
      <c r="C352" s="137" t="str">
        <v>Math</v>
      </c>
      <c r="D352" s="138">
        <v>10</v>
      </c>
      <c r="E352" s="139" t="str">
        <v/>
      </c>
      <c r="F352" s="140" t="str">
        <f t="shared" si="20"/>
        <v/>
      </c>
    </row>
    <row r="353" spans="1:7" ht="12.4" customHeight="1">
      <c r="A353" s="247"/>
      <c r="B353" s="243"/>
      <c r="C353" s="137" t="str">
        <v>Shape</v>
      </c>
      <c r="D353" s="138">
        <v>10</v>
      </c>
      <c r="E353" s="139" t="str">
        <v/>
      </c>
      <c r="F353" s="140" t="str">
        <f t="shared" si="20"/>
        <v/>
      </c>
    </row>
    <row r="354" spans="1:7" ht="12.4" customHeight="1">
      <c r="A354" s="247"/>
      <c r="B354" s="243"/>
      <c r="C354" s="137" t="str">
        <v>Science</v>
      </c>
      <c r="D354" s="138">
        <v>10</v>
      </c>
      <c r="E354" s="139" t="str">
        <v/>
      </c>
      <c r="F354" s="140" t="str">
        <f t="shared" si="20"/>
        <v/>
      </c>
    </row>
    <row r="355" spans="1:7" ht="12.4" customHeight="1">
      <c r="A355" s="247"/>
      <c r="B355" s="244"/>
      <c r="C355" s="141" t="str">
        <v>Tracing</v>
      </c>
      <c r="D355" s="142">
        <v>10</v>
      </c>
      <c r="E355" s="143" t="str">
        <v/>
      </c>
      <c r="F355" s="144" t="str">
        <f t="shared" si="20"/>
        <v/>
      </c>
    </row>
    <row r="356" spans="1:7" ht="12.4" customHeight="1">
      <c r="A356" s="248"/>
      <c r="B356" s="240" t="s">
        <v>133</v>
      </c>
      <c r="C356" s="241"/>
      <c r="D356" s="103">
        <f>D345*20%+SUM(D346:D355)*80%</f>
        <v>100</v>
      </c>
      <c r="E356" s="110" t="str">
        <v/>
      </c>
      <c r="F356" s="104" t="str">
        <f t="shared" si="20"/>
        <v/>
      </c>
    </row>
    <row r="358" spans="1:7" ht="12.4" customHeight="1">
      <c r="A358" s="230" t="s">
        <v>121</v>
      </c>
      <c r="B358" s="231"/>
      <c r="C358" s="231"/>
      <c r="D358" s="107" t="s">
        <v>123</v>
      </c>
      <c r="E358" s="232" t="str">
        <f>I28</f>
        <v/>
      </c>
      <c r="F358" s="233"/>
      <c r="G358" s="101">
        <v>28</v>
      </c>
    </row>
    <row r="359" spans="1:7" ht="12.4" customHeight="1">
      <c r="A359" s="105" t="s">
        <v>122</v>
      </c>
      <c r="B359" s="234" t="str">
        <f>$K$2</f>
        <v>FEBRUARY - JULY 2026</v>
      </c>
      <c r="C359" s="234"/>
      <c r="D359" s="106" t="s">
        <v>124</v>
      </c>
      <c r="E359" s="235" t="str">
        <f>$I$2</f>
        <v>K1B</v>
      </c>
      <c r="F359" s="236"/>
    </row>
    <row r="360" spans="1:7" ht="12.4" customHeight="1">
      <c r="A360" s="237" t="s">
        <v>130</v>
      </c>
      <c r="B360" s="238"/>
      <c r="C360" s="238"/>
      <c r="D360" s="238"/>
      <c r="E360" s="238"/>
      <c r="F360" s="239"/>
    </row>
    <row r="361" spans="1:7" ht="12.4" customHeight="1">
      <c r="A361" s="245" t="s">
        <v>14</v>
      </c>
      <c r="B361" s="240" t="s">
        <v>125</v>
      </c>
      <c r="C361" s="241"/>
      <c r="D361" s="102" t="s">
        <v>126</v>
      </c>
      <c r="E361" s="109" t="s">
        <v>127</v>
      </c>
      <c r="F361" s="102" t="s">
        <v>128</v>
      </c>
    </row>
    <row r="362" spans="1:7" ht="12.4" customHeight="1">
      <c r="A362" s="246"/>
      <c r="B362" s="240" t="s">
        <v>129</v>
      </c>
      <c r="C362" s="241"/>
      <c r="D362" s="102">
        <v>100</v>
      </c>
      <c r="E362" s="110" t="str" cm="1">
        <f t="array" ref="E362:E373">TRANSPOSE(K28:V28)</f>
        <v/>
      </c>
      <c r="F362" s="104" t="str">
        <f>IF(E362="","",IF(E362&lt;D362*60%,"Try harder",""))</f>
        <v/>
      </c>
    </row>
    <row r="363" spans="1:7" ht="12.4" customHeight="1">
      <c r="A363" s="246"/>
      <c r="B363" s="242" t="s">
        <v>132</v>
      </c>
      <c r="C363" s="133" t="str" cm="1">
        <f t="array" ref="C363:C372">TRANSPOSE($L$5:$U$5)</f>
        <v>Up-Low C</v>
      </c>
      <c r="D363" s="134">
        <v>10</v>
      </c>
      <c r="E363" s="135" t="str">
        <v/>
      </c>
      <c r="F363" s="136" t="str">
        <f t="shared" ref="F363:F373" si="21">IF(E363="","",IF(E363&lt;D363*60%,"Try harder",""))</f>
        <v/>
      </c>
    </row>
    <row r="364" spans="1:7" ht="12.4" customHeight="1">
      <c r="A364" s="246"/>
      <c r="B364" s="243"/>
      <c r="C364" s="137" t="str">
        <v>Alphabet N</v>
      </c>
      <c r="D364" s="138">
        <v>10</v>
      </c>
      <c r="E364" s="139" t="str">
        <v/>
      </c>
      <c r="F364" s="140" t="str">
        <f t="shared" si="21"/>
        <v/>
      </c>
    </row>
    <row r="365" spans="1:7" ht="12.4" customHeight="1">
      <c r="A365" s="246"/>
      <c r="B365" s="243"/>
      <c r="C365" s="137" t="str">
        <v>Alphabet S</v>
      </c>
      <c r="D365" s="138">
        <v>10</v>
      </c>
      <c r="E365" s="139" t="str">
        <v/>
      </c>
      <c r="F365" s="140" t="str">
        <f t="shared" si="21"/>
        <v/>
      </c>
    </row>
    <row r="366" spans="1:7" ht="12.4" customHeight="1">
      <c r="A366" s="246"/>
      <c r="B366" s="243"/>
      <c r="C366" s="137" t="str">
        <v>Vocabulary</v>
      </c>
      <c r="D366" s="138">
        <v>10</v>
      </c>
      <c r="E366" s="139" t="str">
        <v/>
      </c>
      <c r="F366" s="140" t="str">
        <f t="shared" si="21"/>
        <v/>
      </c>
    </row>
    <row r="367" spans="1:7" ht="12.4" customHeight="1">
      <c r="A367" s="247" t="s">
        <v>131</v>
      </c>
      <c r="B367" s="243"/>
      <c r="C367" s="137" t="str">
        <v>Sprouts</v>
      </c>
      <c r="D367" s="138">
        <v>10</v>
      </c>
      <c r="E367" s="139" t="str">
        <v/>
      </c>
      <c r="F367" s="140" t="str">
        <f t="shared" si="21"/>
        <v/>
      </c>
    </row>
    <row r="368" spans="1:7" ht="12.4" customHeight="1">
      <c r="A368" s="247"/>
      <c r="B368" s="243"/>
      <c r="C368" s="137" t="str">
        <v>Phonics</v>
      </c>
      <c r="D368" s="138">
        <v>10</v>
      </c>
      <c r="E368" s="139" t="str">
        <v/>
      </c>
      <c r="F368" s="140" t="str">
        <f t="shared" si="21"/>
        <v/>
      </c>
    </row>
    <row r="369" spans="1:7" ht="12.4" customHeight="1">
      <c r="A369" s="247"/>
      <c r="B369" s="243"/>
      <c r="C369" s="137" t="str">
        <v>Math</v>
      </c>
      <c r="D369" s="138">
        <v>10</v>
      </c>
      <c r="E369" s="139" t="str">
        <v/>
      </c>
      <c r="F369" s="140" t="str">
        <f t="shared" si="21"/>
        <v/>
      </c>
    </row>
    <row r="370" spans="1:7" ht="12.4" customHeight="1">
      <c r="A370" s="247"/>
      <c r="B370" s="243"/>
      <c r="C370" s="137" t="str">
        <v>Shape</v>
      </c>
      <c r="D370" s="138">
        <v>10</v>
      </c>
      <c r="E370" s="139" t="str">
        <v/>
      </c>
      <c r="F370" s="140" t="str">
        <f t="shared" si="21"/>
        <v/>
      </c>
    </row>
    <row r="371" spans="1:7" ht="12.4" customHeight="1">
      <c r="A371" s="247"/>
      <c r="B371" s="243"/>
      <c r="C371" s="137" t="str">
        <v>Science</v>
      </c>
      <c r="D371" s="138">
        <v>10</v>
      </c>
      <c r="E371" s="139" t="str">
        <v/>
      </c>
      <c r="F371" s="140" t="str">
        <f t="shared" si="21"/>
        <v/>
      </c>
    </row>
    <row r="372" spans="1:7" ht="12.4" customHeight="1">
      <c r="A372" s="247"/>
      <c r="B372" s="244"/>
      <c r="C372" s="141" t="str">
        <v>Tracing</v>
      </c>
      <c r="D372" s="142">
        <v>10</v>
      </c>
      <c r="E372" s="143" t="str">
        <v/>
      </c>
      <c r="F372" s="144" t="str">
        <f t="shared" si="21"/>
        <v/>
      </c>
    </row>
    <row r="373" spans="1:7" ht="12.4" customHeight="1">
      <c r="A373" s="248"/>
      <c r="B373" s="240" t="s">
        <v>133</v>
      </c>
      <c r="C373" s="241"/>
      <c r="D373" s="103">
        <f>D362*20%+SUM(D363:D372)*80%</f>
        <v>100</v>
      </c>
      <c r="E373" s="110" t="str">
        <v/>
      </c>
      <c r="F373" s="104" t="str">
        <f t="shared" si="21"/>
        <v/>
      </c>
    </row>
    <row r="375" spans="1:7" ht="12.4" customHeight="1">
      <c r="A375" s="230" t="s">
        <v>121</v>
      </c>
      <c r="B375" s="231"/>
      <c r="C375" s="231"/>
      <c r="D375" s="107" t="s">
        <v>123</v>
      </c>
      <c r="E375" s="232" t="str">
        <f>I29</f>
        <v/>
      </c>
      <c r="F375" s="233"/>
      <c r="G375" s="101">
        <v>29</v>
      </c>
    </row>
    <row r="376" spans="1:7" ht="12.4" customHeight="1">
      <c r="A376" s="105" t="s">
        <v>122</v>
      </c>
      <c r="B376" s="234" t="str">
        <f>$K$2</f>
        <v>FEBRUARY - JULY 2026</v>
      </c>
      <c r="C376" s="234"/>
      <c r="D376" s="106" t="s">
        <v>124</v>
      </c>
      <c r="E376" s="235" t="str">
        <f>$I$2</f>
        <v>K1B</v>
      </c>
      <c r="F376" s="236"/>
    </row>
    <row r="377" spans="1:7" ht="12.4" customHeight="1">
      <c r="A377" s="237" t="s">
        <v>130</v>
      </c>
      <c r="B377" s="238"/>
      <c r="C377" s="238"/>
      <c r="D377" s="238"/>
      <c r="E377" s="238"/>
      <c r="F377" s="239"/>
    </row>
    <row r="378" spans="1:7" ht="12.4" customHeight="1">
      <c r="A378" s="245" t="s">
        <v>14</v>
      </c>
      <c r="B378" s="240" t="s">
        <v>125</v>
      </c>
      <c r="C378" s="241"/>
      <c r="D378" s="102" t="s">
        <v>126</v>
      </c>
      <c r="E378" s="109" t="s">
        <v>127</v>
      </c>
      <c r="F378" s="102" t="s">
        <v>128</v>
      </c>
    </row>
    <row r="379" spans="1:7" ht="12.4" customHeight="1">
      <c r="A379" s="246"/>
      <c r="B379" s="240" t="s">
        <v>129</v>
      </c>
      <c r="C379" s="241"/>
      <c r="D379" s="102">
        <v>100</v>
      </c>
      <c r="E379" s="110" t="str" cm="1">
        <f t="array" ref="E379:E390">TRANSPOSE(K29:V29)</f>
        <v/>
      </c>
      <c r="F379" s="104" t="str">
        <f>IF(E379="","",IF(E379&lt;D379*60%,"Try harder",""))</f>
        <v/>
      </c>
    </row>
    <row r="380" spans="1:7" ht="12.4" customHeight="1">
      <c r="A380" s="246"/>
      <c r="B380" s="242" t="s">
        <v>132</v>
      </c>
      <c r="C380" s="133" t="str" cm="1">
        <f t="array" ref="C380:C389">TRANSPOSE($L$5:$U$5)</f>
        <v>Up-Low C</v>
      </c>
      <c r="D380" s="134">
        <v>10</v>
      </c>
      <c r="E380" s="135" t="str">
        <v/>
      </c>
      <c r="F380" s="136" t="str">
        <f t="shared" ref="F380:F390" si="22">IF(E380="","",IF(E380&lt;D380*60%,"Try harder",""))</f>
        <v/>
      </c>
    </row>
    <row r="381" spans="1:7" ht="12.4" customHeight="1">
      <c r="A381" s="246"/>
      <c r="B381" s="243"/>
      <c r="C381" s="137" t="str">
        <v>Alphabet N</v>
      </c>
      <c r="D381" s="138">
        <v>10</v>
      </c>
      <c r="E381" s="139" t="str">
        <v/>
      </c>
      <c r="F381" s="140" t="str">
        <f t="shared" si="22"/>
        <v/>
      </c>
    </row>
    <row r="382" spans="1:7" ht="12.4" customHeight="1">
      <c r="A382" s="246"/>
      <c r="B382" s="243"/>
      <c r="C382" s="137" t="str">
        <v>Alphabet S</v>
      </c>
      <c r="D382" s="138">
        <v>10</v>
      </c>
      <c r="E382" s="139" t="str">
        <v/>
      </c>
      <c r="F382" s="140" t="str">
        <f t="shared" si="22"/>
        <v/>
      </c>
    </row>
    <row r="383" spans="1:7" ht="12.4" customHeight="1">
      <c r="A383" s="246"/>
      <c r="B383" s="243"/>
      <c r="C383" s="137" t="str">
        <v>Vocabulary</v>
      </c>
      <c r="D383" s="138">
        <v>10</v>
      </c>
      <c r="E383" s="139" t="str">
        <v/>
      </c>
      <c r="F383" s="140" t="str">
        <f t="shared" si="22"/>
        <v/>
      </c>
    </row>
    <row r="384" spans="1:7" ht="12.4" customHeight="1">
      <c r="A384" s="247" t="s">
        <v>131</v>
      </c>
      <c r="B384" s="243"/>
      <c r="C384" s="137" t="str">
        <v>Sprouts</v>
      </c>
      <c r="D384" s="138">
        <v>10</v>
      </c>
      <c r="E384" s="139" t="str">
        <v/>
      </c>
      <c r="F384" s="140" t="str">
        <f t="shared" si="22"/>
        <v/>
      </c>
    </row>
    <row r="385" spans="1:7" ht="12.4" customHeight="1">
      <c r="A385" s="247"/>
      <c r="B385" s="243"/>
      <c r="C385" s="137" t="str">
        <v>Phonics</v>
      </c>
      <c r="D385" s="138">
        <v>10</v>
      </c>
      <c r="E385" s="139" t="str">
        <v/>
      </c>
      <c r="F385" s="140" t="str">
        <f t="shared" si="22"/>
        <v/>
      </c>
    </row>
    <row r="386" spans="1:7" ht="12.4" customHeight="1">
      <c r="A386" s="247"/>
      <c r="B386" s="243"/>
      <c r="C386" s="137" t="str">
        <v>Math</v>
      </c>
      <c r="D386" s="138">
        <v>10</v>
      </c>
      <c r="E386" s="139" t="str">
        <v/>
      </c>
      <c r="F386" s="140" t="str">
        <f t="shared" si="22"/>
        <v/>
      </c>
    </row>
    <row r="387" spans="1:7" ht="12.4" customHeight="1">
      <c r="A387" s="247"/>
      <c r="B387" s="243"/>
      <c r="C387" s="137" t="str">
        <v>Shape</v>
      </c>
      <c r="D387" s="138">
        <v>10</v>
      </c>
      <c r="E387" s="139" t="str">
        <v/>
      </c>
      <c r="F387" s="140" t="str">
        <f t="shared" si="22"/>
        <v/>
      </c>
    </row>
    <row r="388" spans="1:7" ht="12.4" customHeight="1">
      <c r="A388" s="247"/>
      <c r="B388" s="243"/>
      <c r="C388" s="137" t="str">
        <v>Science</v>
      </c>
      <c r="D388" s="138">
        <v>10</v>
      </c>
      <c r="E388" s="139" t="str">
        <v/>
      </c>
      <c r="F388" s="140" t="str">
        <f t="shared" si="22"/>
        <v/>
      </c>
    </row>
    <row r="389" spans="1:7" ht="12.4" customHeight="1">
      <c r="A389" s="247"/>
      <c r="B389" s="244"/>
      <c r="C389" s="141" t="str">
        <v>Tracing</v>
      </c>
      <c r="D389" s="142">
        <v>10</v>
      </c>
      <c r="E389" s="143" t="str">
        <v/>
      </c>
      <c r="F389" s="144" t="str">
        <f t="shared" si="22"/>
        <v/>
      </c>
    </row>
    <row r="390" spans="1:7" ht="12.4" customHeight="1">
      <c r="A390" s="248"/>
      <c r="B390" s="240" t="s">
        <v>133</v>
      </c>
      <c r="C390" s="241"/>
      <c r="D390" s="103">
        <f>D379*20%+SUM(D380:D389)*80%</f>
        <v>100</v>
      </c>
      <c r="E390" s="110" t="str">
        <v/>
      </c>
      <c r="F390" s="104" t="str">
        <f t="shared" si="22"/>
        <v/>
      </c>
    </row>
    <row r="392" spans="1:7" ht="12.4" customHeight="1">
      <c r="A392" s="230" t="s">
        <v>121</v>
      </c>
      <c r="B392" s="231"/>
      <c r="C392" s="231"/>
      <c r="D392" s="107" t="s">
        <v>123</v>
      </c>
      <c r="E392" s="232" t="str">
        <f>I30</f>
        <v/>
      </c>
      <c r="F392" s="233"/>
      <c r="G392" s="101">
        <v>30</v>
      </c>
    </row>
    <row r="393" spans="1:7" ht="12.4" customHeight="1">
      <c r="A393" s="105" t="s">
        <v>122</v>
      </c>
      <c r="B393" s="234" t="str">
        <f>$K$2</f>
        <v>FEBRUARY - JULY 2026</v>
      </c>
      <c r="C393" s="234"/>
      <c r="D393" s="106" t="s">
        <v>124</v>
      </c>
      <c r="E393" s="235" t="str">
        <f>$I$2</f>
        <v>K1B</v>
      </c>
      <c r="F393" s="236"/>
    </row>
    <row r="394" spans="1:7" ht="12.4" customHeight="1">
      <c r="A394" s="237" t="s">
        <v>130</v>
      </c>
      <c r="B394" s="238"/>
      <c r="C394" s="238"/>
      <c r="D394" s="238"/>
      <c r="E394" s="238"/>
      <c r="F394" s="239"/>
    </row>
    <row r="395" spans="1:7" ht="12.4" customHeight="1">
      <c r="A395" s="245" t="s">
        <v>14</v>
      </c>
      <c r="B395" s="240" t="s">
        <v>125</v>
      </c>
      <c r="C395" s="241"/>
      <c r="D395" s="102" t="s">
        <v>126</v>
      </c>
      <c r="E395" s="109" t="s">
        <v>127</v>
      </c>
      <c r="F395" s="102" t="s">
        <v>128</v>
      </c>
    </row>
    <row r="396" spans="1:7" ht="12.4" customHeight="1">
      <c r="A396" s="246"/>
      <c r="B396" s="240" t="s">
        <v>129</v>
      </c>
      <c r="C396" s="241"/>
      <c r="D396" s="102">
        <v>100</v>
      </c>
      <c r="E396" s="110" t="str" cm="1">
        <f t="array" ref="E396:E407">TRANSPOSE(K30:V30)</f>
        <v/>
      </c>
      <c r="F396" s="104" t="str">
        <f>IF(E396="","",IF(E396&lt;D396*60%,"Try harder",""))</f>
        <v/>
      </c>
    </row>
    <row r="397" spans="1:7" ht="12.4" customHeight="1">
      <c r="A397" s="246"/>
      <c r="B397" s="242" t="s">
        <v>132</v>
      </c>
      <c r="C397" s="133" t="str" cm="1">
        <f t="array" ref="C397:C406">TRANSPOSE($L$5:$U$5)</f>
        <v>Up-Low C</v>
      </c>
      <c r="D397" s="134">
        <v>10</v>
      </c>
      <c r="E397" s="135" t="str">
        <v/>
      </c>
      <c r="F397" s="136" t="str">
        <f t="shared" ref="F397:F407" si="23">IF(E397="","",IF(E397&lt;D397*60%,"Try harder",""))</f>
        <v/>
      </c>
    </row>
    <row r="398" spans="1:7" ht="12.4" customHeight="1">
      <c r="A398" s="246"/>
      <c r="B398" s="243"/>
      <c r="C398" s="137" t="str">
        <v>Alphabet N</v>
      </c>
      <c r="D398" s="138">
        <v>10</v>
      </c>
      <c r="E398" s="139" t="str">
        <v/>
      </c>
      <c r="F398" s="140" t="str">
        <f t="shared" si="23"/>
        <v/>
      </c>
    </row>
    <row r="399" spans="1:7" ht="12.4" customHeight="1">
      <c r="A399" s="246"/>
      <c r="B399" s="243"/>
      <c r="C399" s="137" t="str">
        <v>Alphabet S</v>
      </c>
      <c r="D399" s="138">
        <v>10</v>
      </c>
      <c r="E399" s="139" t="str">
        <v/>
      </c>
      <c r="F399" s="140" t="str">
        <f t="shared" si="23"/>
        <v/>
      </c>
    </row>
    <row r="400" spans="1:7" ht="12.4" customHeight="1">
      <c r="A400" s="246"/>
      <c r="B400" s="243"/>
      <c r="C400" s="137" t="str">
        <v>Vocabulary</v>
      </c>
      <c r="D400" s="138">
        <v>10</v>
      </c>
      <c r="E400" s="139" t="str">
        <v/>
      </c>
      <c r="F400" s="140" t="str">
        <f t="shared" si="23"/>
        <v/>
      </c>
    </row>
    <row r="401" spans="1:7" ht="12.4" customHeight="1">
      <c r="A401" s="247" t="s">
        <v>131</v>
      </c>
      <c r="B401" s="243"/>
      <c r="C401" s="137" t="str">
        <v>Sprouts</v>
      </c>
      <c r="D401" s="138">
        <v>10</v>
      </c>
      <c r="E401" s="139" t="str">
        <v/>
      </c>
      <c r="F401" s="140" t="str">
        <f t="shared" si="23"/>
        <v/>
      </c>
    </row>
    <row r="402" spans="1:7" ht="12.4" customHeight="1">
      <c r="A402" s="247"/>
      <c r="B402" s="243"/>
      <c r="C402" s="137" t="str">
        <v>Phonics</v>
      </c>
      <c r="D402" s="138">
        <v>10</v>
      </c>
      <c r="E402" s="139" t="str">
        <v/>
      </c>
      <c r="F402" s="140" t="str">
        <f t="shared" si="23"/>
        <v/>
      </c>
    </row>
    <row r="403" spans="1:7" ht="12.4" customHeight="1">
      <c r="A403" s="247"/>
      <c r="B403" s="243"/>
      <c r="C403" s="137" t="str">
        <v>Math</v>
      </c>
      <c r="D403" s="138">
        <v>10</v>
      </c>
      <c r="E403" s="139" t="str">
        <v/>
      </c>
      <c r="F403" s="140" t="str">
        <f t="shared" si="23"/>
        <v/>
      </c>
    </row>
    <row r="404" spans="1:7" ht="12.4" customHeight="1">
      <c r="A404" s="247"/>
      <c r="B404" s="243"/>
      <c r="C404" s="137" t="str">
        <v>Shape</v>
      </c>
      <c r="D404" s="138">
        <v>10</v>
      </c>
      <c r="E404" s="139" t="str">
        <v/>
      </c>
      <c r="F404" s="140" t="str">
        <f t="shared" si="23"/>
        <v/>
      </c>
    </row>
    <row r="405" spans="1:7" ht="12.4" customHeight="1">
      <c r="A405" s="247"/>
      <c r="B405" s="243"/>
      <c r="C405" s="137" t="str">
        <v>Science</v>
      </c>
      <c r="D405" s="138">
        <v>10</v>
      </c>
      <c r="E405" s="139" t="str">
        <v/>
      </c>
      <c r="F405" s="140" t="str">
        <f t="shared" si="23"/>
        <v/>
      </c>
    </row>
    <row r="406" spans="1:7" ht="12.4" customHeight="1">
      <c r="A406" s="247"/>
      <c r="B406" s="244"/>
      <c r="C406" s="141" t="str">
        <v>Tracing</v>
      </c>
      <c r="D406" s="142">
        <v>10</v>
      </c>
      <c r="E406" s="143" t="str">
        <v/>
      </c>
      <c r="F406" s="144" t="str">
        <f t="shared" si="23"/>
        <v/>
      </c>
    </row>
    <row r="407" spans="1:7" ht="12.4" customHeight="1">
      <c r="A407" s="248"/>
      <c r="B407" s="240" t="s">
        <v>133</v>
      </c>
      <c r="C407" s="241"/>
      <c r="D407" s="103">
        <f>D396*20%+SUM(D397:D406)*80%</f>
        <v>100</v>
      </c>
      <c r="E407" s="110" t="str">
        <v/>
      </c>
      <c r="F407" s="104" t="str">
        <f t="shared" si="23"/>
        <v/>
      </c>
    </row>
    <row r="409" spans="1:7" ht="12.4" customHeight="1">
      <c r="A409" s="230" t="s">
        <v>121</v>
      </c>
      <c r="B409" s="231"/>
      <c r="C409" s="231"/>
      <c r="D409" s="107" t="s">
        <v>123</v>
      </c>
      <c r="E409" s="232" t="str">
        <f>I31</f>
        <v/>
      </c>
      <c r="F409" s="233"/>
      <c r="G409" s="101">
        <v>31</v>
      </c>
    </row>
    <row r="410" spans="1:7" ht="12.4" customHeight="1">
      <c r="A410" s="105" t="s">
        <v>122</v>
      </c>
      <c r="B410" s="234" t="str">
        <f>$K$2</f>
        <v>FEBRUARY - JULY 2026</v>
      </c>
      <c r="C410" s="234"/>
      <c r="D410" s="106" t="s">
        <v>124</v>
      </c>
      <c r="E410" s="235" t="str">
        <f>$I$2</f>
        <v>K1B</v>
      </c>
      <c r="F410" s="236"/>
    </row>
    <row r="411" spans="1:7" ht="12.4" customHeight="1">
      <c r="A411" s="237" t="s">
        <v>130</v>
      </c>
      <c r="B411" s="238"/>
      <c r="C411" s="238"/>
      <c r="D411" s="238"/>
      <c r="E411" s="238"/>
      <c r="F411" s="239"/>
    </row>
    <row r="412" spans="1:7" ht="12.4" customHeight="1">
      <c r="A412" s="245" t="s">
        <v>14</v>
      </c>
      <c r="B412" s="240" t="s">
        <v>125</v>
      </c>
      <c r="C412" s="241"/>
      <c r="D412" s="102" t="s">
        <v>126</v>
      </c>
      <c r="E412" s="109" t="s">
        <v>127</v>
      </c>
      <c r="F412" s="102" t="s">
        <v>128</v>
      </c>
    </row>
    <row r="413" spans="1:7" ht="12.4" customHeight="1">
      <c r="A413" s="246"/>
      <c r="B413" s="240" t="s">
        <v>129</v>
      </c>
      <c r="C413" s="241"/>
      <c r="D413" s="102">
        <v>100</v>
      </c>
      <c r="E413" s="110" t="str" cm="1">
        <f t="array" ref="E413:E424">TRANSPOSE(K31:V31)</f>
        <v/>
      </c>
      <c r="F413" s="104" t="str">
        <f>IF(E413="","",IF(E413&lt;D413*60%,"Try harder",""))</f>
        <v/>
      </c>
    </row>
    <row r="414" spans="1:7" ht="12.4" customHeight="1">
      <c r="A414" s="246"/>
      <c r="B414" s="242" t="s">
        <v>132</v>
      </c>
      <c r="C414" s="133" t="str" cm="1">
        <f t="array" ref="C414:C423">TRANSPOSE($L$5:$U$5)</f>
        <v>Up-Low C</v>
      </c>
      <c r="D414" s="134">
        <v>10</v>
      </c>
      <c r="E414" s="135" t="str">
        <v/>
      </c>
      <c r="F414" s="136" t="str">
        <f t="shared" ref="F414:F424" si="24">IF(E414="","",IF(E414&lt;D414*60%,"Try harder",""))</f>
        <v/>
      </c>
    </row>
    <row r="415" spans="1:7" ht="12.4" customHeight="1">
      <c r="A415" s="246"/>
      <c r="B415" s="243"/>
      <c r="C415" s="137" t="str">
        <v>Alphabet N</v>
      </c>
      <c r="D415" s="138">
        <v>10</v>
      </c>
      <c r="E415" s="139" t="str">
        <v/>
      </c>
      <c r="F415" s="140" t="str">
        <f t="shared" si="24"/>
        <v/>
      </c>
    </row>
    <row r="416" spans="1:7" ht="12.4" customHeight="1">
      <c r="A416" s="246"/>
      <c r="B416" s="243"/>
      <c r="C416" s="137" t="str">
        <v>Alphabet S</v>
      </c>
      <c r="D416" s="138">
        <v>10</v>
      </c>
      <c r="E416" s="139" t="str">
        <v/>
      </c>
      <c r="F416" s="140" t="str">
        <f t="shared" si="24"/>
        <v/>
      </c>
    </row>
    <row r="417" spans="1:7" ht="12.4" customHeight="1">
      <c r="A417" s="246"/>
      <c r="B417" s="243"/>
      <c r="C417" s="137" t="str">
        <v>Vocabulary</v>
      </c>
      <c r="D417" s="138">
        <v>10</v>
      </c>
      <c r="E417" s="139" t="str">
        <v/>
      </c>
      <c r="F417" s="140" t="str">
        <f t="shared" si="24"/>
        <v/>
      </c>
    </row>
    <row r="418" spans="1:7" ht="12.4" customHeight="1">
      <c r="A418" s="247" t="s">
        <v>131</v>
      </c>
      <c r="B418" s="243"/>
      <c r="C418" s="137" t="str">
        <v>Sprouts</v>
      </c>
      <c r="D418" s="138">
        <v>10</v>
      </c>
      <c r="E418" s="139" t="str">
        <v/>
      </c>
      <c r="F418" s="140" t="str">
        <f t="shared" si="24"/>
        <v/>
      </c>
    </row>
    <row r="419" spans="1:7" ht="12.4" customHeight="1">
      <c r="A419" s="247"/>
      <c r="B419" s="243"/>
      <c r="C419" s="137" t="str">
        <v>Phonics</v>
      </c>
      <c r="D419" s="138">
        <v>10</v>
      </c>
      <c r="E419" s="139" t="str">
        <v/>
      </c>
      <c r="F419" s="140" t="str">
        <f t="shared" si="24"/>
        <v/>
      </c>
    </row>
    <row r="420" spans="1:7" ht="12.4" customHeight="1">
      <c r="A420" s="247"/>
      <c r="B420" s="243"/>
      <c r="C420" s="137" t="str">
        <v>Math</v>
      </c>
      <c r="D420" s="138">
        <v>10</v>
      </c>
      <c r="E420" s="139" t="str">
        <v/>
      </c>
      <c r="F420" s="140" t="str">
        <f t="shared" si="24"/>
        <v/>
      </c>
    </row>
    <row r="421" spans="1:7" ht="12.4" customHeight="1">
      <c r="A421" s="247"/>
      <c r="B421" s="243"/>
      <c r="C421" s="137" t="str">
        <v>Shape</v>
      </c>
      <c r="D421" s="138">
        <v>10</v>
      </c>
      <c r="E421" s="139" t="str">
        <v/>
      </c>
      <c r="F421" s="140" t="str">
        <f t="shared" si="24"/>
        <v/>
      </c>
    </row>
    <row r="422" spans="1:7" ht="12.4" customHeight="1">
      <c r="A422" s="247"/>
      <c r="B422" s="243"/>
      <c r="C422" s="137" t="str">
        <v>Science</v>
      </c>
      <c r="D422" s="138">
        <v>10</v>
      </c>
      <c r="E422" s="139" t="str">
        <v/>
      </c>
      <c r="F422" s="140" t="str">
        <f t="shared" si="24"/>
        <v/>
      </c>
    </row>
    <row r="423" spans="1:7" ht="12.4" customHeight="1">
      <c r="A423" s="247"/>
      <c r="B423" s="244"/>
      <c r="C423" s="141" t="str">
        <v>Tracing</v>
      </c>
      <c r="D423" s="142">
        <v>10</v>
      </c>
      <c r="E423" s="143" t="str">
        <v/>
      </c>
      <c r="F423" s="144" t="str">
        <f t="shared" si="24"/>
        <v/>
      </c>
    </row>
    <row r="424" spans="1:7" ht="12.4" customHeight="1">
      <c r="A424" s="248"/>
      <c r="B424" s="240" t="s">
        <v>133</v>
      </c>
      <c r="C424" s="241"/>
      <c r="D424" s="103">
        <f>D413*20%+SUM(D414:D423)*80%</f>
        <v>100</v>
      </c>
      <c r="E424" s="110" t="str">
        <v/>
      </c>
      <c r="F424" s="104" t="str">
        <f t="shared" si="24"/>
        <v/>
      </c>
    </row>
    <row r="426" spans="1:7" ht="12.4" customHeight="1">
      <c r="A426" s="230" t="s">
        <v>121</v>
      </c>
      <c r="B426" s="231"/>
      <c r="C426" s="231"/>
      <c r="D426" s="107" t="s">
        <v>123</v>
      </c>
      <c r="E426" s="232" t="str">
        <f>I32</f>
        <v/>
      </c>
      <c r="F426" s="233"/>
      <c r="G426" s="101">
        <v>32</v>
      </c>
    </row>
    <row r="427" spans="1:7" ht="12.4" customHeight="1">
      <c r="A427" s="105" t="s">
        <v>122</v>
      </c>
      <c r="B427" s="234" t="str">
        <f>$K$2</f>
        <v>FEBRUARY - JULY 2026</v>
      </c>
      <c r="C427" s="234"/>
      <c r="D427" s="106" t="s">
        <v>124</v>
      </c>
      <c r="E427" s="235" t="str">
        <f>$I$2</f>
        <v>K1B</v>
      </c>
      <c r="F427" s="236"/>
    </row>
    <row r="428" spans="1:7" ht="12.4" customHeight="1">
      <c r="A428" s="237" t="s">
        <v>130</v>
      </c>
      <c r="B428" s="238"/>
      <c r="C428" s="238"/>
      <c r="D428" s="238"/>
      <c r="E428" s="238"/>
      <c r="F428" s="239"/>
    </row>
    <row r="429" spans="1:7" ht="12.4" customHeight="1">
      <c r="A429" s="245" t="s">
        <v>14</v>
      </c>
      <c r="B429" s="240" t="s">
        <v>125</v>
      </c>
      <c r="C429" s="241"/>
      <c r="D429" s="102" t="s">
        <v>126</v>
      </c>
      <c r="E429" s="109" t="s">
        <v>127</v>
      </c>
      <c r="F429" s="102" t="s">
        <v>128</v>
      </c>
    </row>
    <row r="430" spans="1:7" ht="12.4" customHeight="1">
      <c r="A430" s="246"/>
      <c r="B430" s="240" t="s">
        <v>129</v>
      </c>
      <c r="C430" s="241"/>
      <c r="D430" s="102">
        <v>100</v>
      </c>
      <c r="E430" s="110" t="str" cm="1">
        <f t="array" ref="E430:E441">TRANSPOSE(K32:V32)</f>
        <v/>
      </c>
      <c r="F430" s="104" t="str">
        <f>IF(E430="","",IF(E430&lt;D430*60%,"Try harder",""))</f>
        <v/>
      </c>
    </row>
    <row r="431" spans="1:7" ht="12.4" customHeight="1">
      <c r="A431" s="246"/>
      <c r="B431" s="242" t="s">
        <v>132</v>
      </c>
      <c r="C431" s="133" t="str" cm="1">
        <f t="array" ref="C431:C440">TRANSPOSE($L$5:$U$5)</f>
        <v>Up-Low C</v>
      </c>
      <c r="D431" s="134">
        <v>10</v>
      </c>
      <c r="E431" s="135" t="str">
        <v/>
      </c>
      <c r="F431" s="136" t="str">
        <f t="shared" ref="F431:F441" si="25">IF(E431="","",IF(E431&lt;D431*60%,"Try harder",""))</f>
        <v/>
      </c>
    </row>
    <row r="432" spans="1:7" ht="12.4" customHeight="1">
      <c r="A432" s="246"/>
      <c r="B432" s="243"/>
      <c r="C432" s="137" t="str">
        <v>Alphabet N</v>
      </c>
      <c r="D432" s="138">
        <v>10</v>
      </c>
      <c r="E432" s="139" t="str">
        <v/>
      </c>
      <c r="F432" s="140" t="str">
        <f t="shared" si="25"/>
        <v/>
      </c>
    </row>
    <row r="433" spans="1:7" ht="12.4" customHeight="1">
      <c r="A433" s="246"/>
      <c r="B433" s="243"/>
      <c r="C433" s="137" t="str">
        <v>Alphabet S</v>
      </c>
      <c r="D433" s="138">
        <v>10</v>
      </c>
      <c r="E433" s="139" t="str">
        <v/>
      </c>
      <c r="F433" s="140" t="str">
        <f t="shared" si="25"/>
        <v/>
      </c>
    </row>
    <row r="434" spans="1:7" ht="12.4" customHeight="1">
      <c r="A434" s="246"/>
      <c r="B434" s="243"/>
      <c r="C434" s="137" t="str">
        <v>Vocabulary</v>
      </c>
      <c r="D434" s="138">
        <v>10</v>
      </c>
      <c r="E434" s="139" t="str">
        <v/>
      </c>
      <c r="F434" s="140" t="str">
        <f t="shared" si="25"/>
        <v/>
      </c>
    </row>
    <row r="435" spans="1:7" ht="12.4" customHeight="1">
      <c r="A435" s="247" t="s">
        <v>131</v>
      </c>
      <c r="B435" s="243"/>
      <c r="C435" s="137" t="str">
        <v>Sprouts</v>
      </c>
      <c r="D435" s="138">
        <v>10</v>
      </c>
      <c r="E435" s="139" t="str">
        <v/>
      </c>
      <c r="F435" s="140" t="str">
        <f t="shared" si="25"/>
        <v/>
      </c>
    </row>
    <row r="436" spans="1:7" ht="12.4" customHeight="1">
      <c r="A436" s="247"/>
      <c r="B436" s="243"/>
      <c r="C436" s="137" t="str">
        <v>Phonics</v>
      </c>
      <c r="D436" s="138">
        <v>10</v>
      </c>
      <c r="E436" s="139" t="str">
        <v/>
      </c>
      <c r="F436" s="140" t="str">
        <f t="shared" si="25"/>
        <v/>
      </c>
    </row>
    <row r="437" spans="1:7" ht="12.4" customHeight="1">
      <c r="A437" s="247"/>
      <c r="B437" s="243"/>
      <c r="C437" s="137" t="str">
        <v>Math</v>
      </c>
      <c r="D437" s="138">
        <v>10</v>
      </c>
      <c r="E437" s="139" t="str">
        <v/>
      </c>
      <c r="F437" s="140" t="str">
        <f t="shared" si="25"/>
        <v/>
      </c>
    </row>
    <row r="438" spans="1:7" ht="12.4" customHeight="1">
      <c r="A438" s="247"/>
      <c r="B438" s="243"/>
      <c r="C438" s="137" t="str">
        <v>Shape</v>
      </c>
      <c r="D438" s="138">
        <v>10</v>
      </c>
      <c r="E438" s="139" t="str">
        <v/>
      </c>
      <c r="F438" s="140" t="str">
        <f t="shared" si="25"/>
        <v/>
      </c>
    </row>
    <row r="439" spans="1:7" ht="12.4" customHeight="1">
      <c r="A439" s="247"/>
      <c r="B439" s="243"/>
      <c r="C439" s="137" t="str">
        <v>Science</v>
      </c>
      <c r="D439" s="138">
        <v>10</v>
      </c>
      <c r="E439" s="139" t="str">
        <v/>
      </c>
      <c r="F439" s="140" t="str">
        <f t="shared" si="25"/>
        <v/>
      </c>
    </row>
    <row r="440" spans="1:7" ht="12.4" customHeight="1">
      <c r="A440" s="247"/>
      <c r="B440" s="244"/>
      <c r="C440" s="141" t="str">
        <v>Tracing</v>
      </c>
      <c r="D440" s="142">
        <v>10</v>
      </c>
      <c r="E440" s="143" t="str">
        <v/>
      </c>
      <c r="F440" s="144" t="str">
        <f t="shared" si="25"/>
        <v/>
      </c>
    </row>
    <row r="441" spans="1:7" ht="12.4" customHeight="1">
      <c r="A441" s="248"/>
      <c r="B441" s="240" t="s">
        <v>133</v>
      </c>
      <c r="C441" s="241"/>
      <c r="D441" s="103">
        <f>D430*20%+SUM(D431:D440)*80%</f>
        <v>100</v>
      </c>
      <c r="E441" s="110" t="str">
        <v/>
      </c>
      <c r="F441" s="104" t="str">
        <f t="shared" si="25"/>
        <v/>
      </c>
    </row>
    <row r="443" spans="1:7" ht="12.4" customHeight="1">
      <c r="A443" s="230" t="s">
        <v>121</v>
      </c>
      <c r="B443" s="231"/>
      <c r="C443" s="231"/>
      <c r="D443" s="107" t="s">
        <v>123</v>
      </c>
      <c r="E443" s="232" t="str">
        <f>I33</f>
        <v/>
      </c>
      <c r="F443" s="233"/>
      <c r="G443" s="101">
        <v>33</v>
      </c>
    </row>
    <row r="444" spans="1:7" ht="12.4" customHeight="1">
      <c r="A444" s="105" t="s">
        <v>122</v>
      </c>
      <c r="B444" s="234" t="str">
        <f>$K$2</f>
        <v>FEBRUARY - JULY 2026</v>
      </c>
      <c r="C444" s="234"/>
      <c r="D444" s="106" t="s">
        <v>124</v>
      </c>
      <c r="E444" s="235" t="str">
        <f>$I$2</f>
        <v>K1B</v>
      </c>
      <c r="F444" s="236"/>
    </row>
    <row r="445" spans="1:7" ht="12.4" customHeight="1">
      <c r="A445" s="237" t="s">
        <v>130</v>
      </c>
      <c r="B445" s="238"/>
      <c r="C445" s="238"/>
      <c r="D445" s="238"/>
      <c r="E445" s="238"/>
      <c r="F445" s="239"/>
    </row>
    <row r="446" spans="1:7" ht="12.4" customHeight="1">
      <c r="A446" s="245" t="s">
        <v>14</v>
      </c>
      <c r="B446" s="240" t="s">
        <v>125</v>
      </c>
      <c r="C446" s="241"/>
      <c r="D446" s="102" t="s">
        <v>126</v>
      </c>
      <c r="E446" s="109" t="s">
        <v>127</v>
      </c>
      <c r="F446" s="102" t="s">
        <v>128</v>
      </c>
    </row>
    <row r="447" spans="1:7" ht="12.4" customHeight="1">
      <c r="A447" s="246"/>
      <c r="B447" s="240" t="s">
        <v>129</v>
      </c>
      <c r="C447" s="241"/>
      <c r="D447" s="102">
        <v>100</v>
      </c>
      <c r="E447" s="110" t="str" cm="1">
        <f t="array" ref="E447:E458">TRANSPOSE(K33:V33)</f>
        <v/>
      </c>
      <c r="F447" s="104" t="str">
        <f>IF(E447="","",IF(E447&lt;D447*60%,"Try harder",""))</f>
        <v/>
      </c>
    </row>
    <row r="448" spans="1:7" ht="12.4" customHeight="1">
      <c r="A448" s="246"/>
      <c r="B448" s="242" t="s">
        <v>132</v>
      </c>
      <c r="C448" s="133" t="str" cm="1">
        <f t="array" ref="C448:C457">TRANSPOSE($L$5:$U$5)</f>
        <v>Up-Low C</v>
      </c>
      <c r="D448" s="134">
        <v>10</v>
      </c>
      <c r="E448" s="135" t="str">
        <v/>
      </c>
      <c r="F448" s="136" t="str">
        <f t="shared" ref="F448:F458" si="26">IF(E448="","",IF(E448&lt;D448*60%,"Try harder",""))</f>
        <v/>
      </c>
    </row>
    <row r="449" spans="1:7" ht="12.4" customHeight="1">
      <c r="A449" s="246"/>
      <c r="B449" s="243"/>
      <c r="C449" s="137" t="str">
        <v>Alphabet N</v>
      </c>
      <c r="D449" s="138">
        <v>10</v>
      </c>
      <c r="E449" s="139" t="str">
        <v/>
      </c>
      <c r="F449" s="140" t="str">
        <f t="shared" si="26"/>
        <v/>
      </c>
    </row>
    <row r="450" spans="1:7" ht="12.4" customHeight="1">
      <c r="A450" s="246"/>
      <c r="B450" s="243"/>
      <c r="C450" s="137" t="str">
        <v>Alphabet S</v>
      </c>
      <c r="D450" s="138">
        <v>10</v>
      </c>
      <c r="E450" s="139" t="str">
        <v/>
      </c>
      <c r="F450" s="140" t="str">
        <f t="shared" si="26"/>
        <v/>
      </c>
    </row>
    <row r="451" spans="1:7" ht="12.4" customHeight="1">
      <c r="A451" s="246"/>
      <c r="B451" s="243"/>
      <c r="C451" s="137" t="str">
        <v>Vocabulary</v>
      </c>
      <c r="D451" s="138">
        <v>10</v>
      </c>
      <c r="E451" s="139" t="str">
        <v/>
      </c>
      <c r="F451" s="140" t="str">
        <f t="shared" si="26"/>
        <v/>
      </c>
    </row>
    <row r="452" spans="1:7" ht="12.4" customHeight="1">
      <c r="A452" s="247" t="s">
        <v>131</v>
      </c>
      <c r="B452" s="243"/>
      <c r="C452" s="137" t="str">
        <v>Sprouts</v>
      </c>
      <c r="D452" s="138">
        <v>10</v>
      </c>
      <c r="E452" s="139" t="str">
        <v/>
      </c>
      <c r="F452" s="140" t="str">
        <f t="shared" si="26"/>
        <v/>
      </c>
    </row>
    <row r="453" spans="1:7" ht="12.4" customHeight="1">
      <c r="A453" s="247"/>
      <c r="B453" s="243"/>
      <c r="C453" s="137" t="str">
        <v>Phonics</v>
      </c>
      <c r="D453" s="138">
        <v>10</v>
      </c>
      <c r="E453" s="139" t="str">
        <v/>
      </c>
      <c r="F453" s="140" t="str">
        <f t="shared" si="26"/>
        <v/>
      </c>
    </row>
    <row r="454" spans="1:7" ht="12.4" customHeight="1">
      <c r="A454" s="247"/>
      <c r="B454" s="243"/>
      <c r="C454" s="137" t="str">
        <v>Math</v>
      </c>
      <c r="D454" s="138">
        <v>10</v>
      </c>
      <c r="E454" s="139" t="str">
        <v/>
      </c>
      <c r="F454" s="140" t="str">
        <f t="shared" si="26"/>
        <v/>
      </c>
    </row>
    <row r="455" spans="1:7" ht="12.4" customHeight="1">
      <c r="A455" s="247"/>
      <c r="B455" s="243"/>
      <c r="C455" s="137" t="str">
        <v>Shape</v>
      </c>
      <c r="D455" s="138">
        <v>10</v>
      </c>
      <c r="E455" s="139" t="str">
        <v/>
      </c>
      <c r="F455" s="140" t="str">
        <f t="shared" si="26"/>
        <v/>
      </c>
    </row>
    <row r="456" spans="1:7" ht="12.4" customHeight="1">
      <c r="A456" s="247"/>
      <c r="B456" s="243"/>
      <c r="C456" s="137" t="str">
        <v>Science</v>
      </c>
      <c r="D456" s="138">
        <v>10</v>
      </c>
      <c r="E456" s="139" t="str">
        <v/>
      </c>
      <c r="F456" s="140" t="str">
        <f t="shared" si="26"/>
        <v/>
      </c>
    </row>
    <row r="457" spans="1:7" ht="12.4" customHeight="1">
      <c r="A457" s="247"/>
      <c r="B457" s="244"/>
      <c r="C457" s="141" t="str">
        <v>Tracing</v>
      </c>
      <c r="D457" s="142">
        <v>10</v>
      </c>
      <c r="E457" s="143" t="str">
        <v/>
      </c>
      <c r="F457" s="144" t="str">
        <f t="shared" si="26"/>
        <v/>
      </c>
    </row>
    <row r="458" spans="1:7" ht="12.4" customHeight="1">
      <c r="A458" s="248"/>
      <c r="B458" s="240" t="s">
        <v>133</v>
      </c>
      <c r="C458" s="241"/>
      <c r="D458" s="103">
        <f>D447*20%+SUM(D448:D457)*80%</f>
        <v>100</v>
      </c>
      <c r="E458" s="110" t="str">
        <v/>
      </c>
      <c r="F458" s="104" t="str">
        <f t="shared" si="26"/>
        <v/>
      </c>
    </row>
    <row r="460" spans="1:7" ht="12.4" customHeight="1">
      <c r="A460" s="230" t="s">
        <v>121</v>
      </c>
      <c r="B460" s="231"/>
      <c r="C460" s="231"/>
      <c r="D460" s="107" t="s">
        <v>123</v>
      </c>
      <c r="E460" s="232" t="str">
        <f>I34</f>
        <v/>
      </c>
      <c r="F460" s="233"/>
      <c r="G460" s="101">
        <v>34</v>
      </c>
    </row>
    <row r="461" spans="1:7" ht="12.4" customHeight="1">
      <c r="A461" s="105" t="s">
        <v>122</v>
      </c>
      <c r="B461" s="234" t="str">
        <f>$K$2</f>
        <v>FEBRUARY - JULY 2026</v>
      </c>
      <c r="C461" s="234"/>
      <c r="D461" s="106" t="s">
        <v>124</v>
      </c>
      <c r="E461" s="235" t="str">
        <f>$I$2</f>
        <v>K1B</v>
      </c>
      <c r="F461" s="236"/>
    </row>
    <row r="462" spans="1:7" ht="12.4" customHeight="1">
      <c r="A462" s="237" t="s">
        <v>130</v>
      </c>
      <c r="B462" s="238"/>
      <c r="C462" s="238"/>
      <c r="D462" s="238"/>
      <c r="E462" s="238"/>
      <c r="F462" s="239"/>
    </row>
    <row r="463" spans="1:7" ht="12.4" customHeight="1">
      <c r="A463" s="245" t="s">
        <v>14</v>
      </c>
      <c r="B463" s="240" t="s">
        <v>125</v>
      </c>
      <c r="C463" s="241"/>
      <c r="D463" s="102" t="s">
        <v>126</v>
      </c>
      <c r="E463" s="109" t="s">
        <v>127</v>
      </c>
      <c r="F463" s="102" t="s">
        <v>128</v>
      </c>
    </row>
    <row r="464" spans="1:7" ht="12.4" customHeight="1">
      <c r="A464" s="246"/>
      <c r="B464" s="240" t="s">
        <v>129</v>
      </c>
      <c r="C464" s="241"/>
      <c r="D464" s="102">
        <v>100</v>
      </c>
      <c r="E464" s="110" t="str" cm="1">
        <f t="array" ref="E464:E475">TRANSPOSE(K34:V34)</f>
        <v/>
      </c>
      <c r="F464" s="104" t="str">
        <f>IF(E464="","",IF(E464&lt;D464*60%,"Try harder",""))</f>
        <v/>
      </c>
    </row>
    <row r="465" spans="1:7" ht="12.4" customHeight="1">
      <c r="A465" s="246"/>
      <c r="B465" s="242" t="s">
        <v>132</v>
      </c>
      <c r="C465" s="133" t="str" cm="1">
        <f t="array" ref="C465:C474">TRANSPOSE($L$5:$U$5)</f>
        <v>Up-Low C</v>
      </c>
      <c r="D465" s="134">
        <v>10</v>
      </c>
      <c r="E465" s="135" t="str">
        <v/>
      </c>
      <c r="F465" s="136" t="str">
        <f t="shared" ref="F465:F475" si="27">IF(E465="","",IF(E465&lt;D465*60%,"Try harder",""))</f>
        <v/>
      </c>
    </row>
    <row r="466" spans="1:7" ht="12.4" customHeight="1">
      <c r="A466" s="246"/>
      <c r="B466" s="243"/>
      <c r="C466" s="137" t="str">
        <v>Alphabet N</v>
      </c>
      <c r="D466" s="138">
        <v>10</v>
      </c>
      <c r="E466" s="139" t="str">
        <v/>
      </c>
      <c r="F466" s="140" t="str">
        <f t="shared" si="27"/>
        <v/>
      </c>
    </row>
    <row r="467" spans="1:7" ht="12.4" customHeight="1">
      <c r="A467" s="246"/>
      <c r="B467" s="243"/>
      <c r="C467" s="137" t="str">
        <v>Alphabet S</v>
      </c>
      <c r="D467" s="138">
        <v>10</v>
      </c>
      <c r="E467" s="139" t="str">
        <v/>
      </c>
      <c r="F467" s="140" t="str">
        <f t="shared" si="27"/>
        <v/>
      </c>
    </row>
    <row r="468" spans="1:7" ht="12.4" customHeight="1">
      <c r="A468" s="246"/>
      <c r="B468" s="243"/>
      <c r="C468" s="137" t="str">
        <v>Vocabulary</v>
      </c>
      <c r="D468" s="138">
        <v>10</v>
      </c>
      <c r="E468" s="139" t="str">
        <v/>
      </c>
      <c r="F468" s="140" t="str">
        <f t="shared" si="27"/>
        <v/>
      </c>
    </row>
    <row r="469" spans="1:7" ht="12.4" customHeight="1">
      <c r="A469" s="247" t="s">
        <v>131</v>
      </c>
      <c r="B469" s="243"/>
      <c r="C469" s="137" t="str">
        <v>Sprouts</v>
      </c>
      <c r="D469" s="138">
        <v>10</v>
      </c>
      <c r="E469" s="139" t="str">
        <v/>
      </c>
      <c r="F469" s="140" t="str">
        <f t="shared" si="27"/>
        <v/>
      </c>
    </row>
    <row r="470" spans="1:7" ht="12.4" customHeight="1">
      <c r="A470" s="247"/>
      <c r="B470" s="243"/>
      <c r="C470" s="137" t="str">
        <v>Phonics</v>
      </c>
      <c r="D470" s="138">
        <v>10</v>
      </c>
      <c r="E470" s="139" t="str">
        <v/>
      </c>
      <c r="F470" s="140" t="str">
        <f t="shared" si="27"/>
        <v/>
      </c>
    </row>
    <row r="471" spans="1:7" ht="12.4" customHeight="1">
      <c r="A471" s="247"/>
      <c r="B471" s="243"/>
      <c r="C471" s="137" t="str">
        <v>Math</v>
      </c>
      <c r="D471" s="138">
        <v>10</v>
      </c>
      <c r="E471" s="139" t="str">
        <v/>
      </c>
      <c r="F471" s="140" t="str">
        <f t="shared" si="27"/>
        <v/>
      </c>
    </row>
    <row r="472" spans="1:7" ht="12.4" customHeight="1">
      <c r="A472" s="247"/>
      <c r="B472" s="243"/>
      <c r="C472" s="137" t="str">
        <v>Shape</v>
      </c>
      <c r="D472" s="138">
        <v>10</v>
      </c>
      <c r="E472" s="139" t="str">
        <v/>
      </c>
      <c r="F472" s="140" t="str">
        <f t="shared" si="27"/>
        <v/>
      </c>
    </row>
    <row r="473" spans="1:7" ht="12.4" customHeight="1">
      <c r="A473" s="247"/>
      <c r="B473" s="243"/>
      <c r="C473" s="137" t="str">
        <v>Science</v>
      </c>
      <c r="D473" s="138">
        <v>10</v>
      </c>
      <c r="E473" s="139" t="str">
        <v/>
      </c>
      <c r="F473" s="140" t="str">
        <f t="shared" si="27"/>
        <v/>
      </c>
    </row>
    <row r="474" spans="1:7" ht="12.4" customHeight="1">
      <c r="A474" s="247"/>
      <c r="B474" s="244"/>
      <c r="C474" s="141" t="str">
        <v>Tracing</v>
      </c>
      <c r="D474" s="142">
        <v>10</v>
      </c>
      <c r="E474" s="143" t="str">
        <v/>
      </c>
      <c r="F474" s="144" t="str">
        <f t="shared" si="27"/>
        <v/>
      </c>
    </row>
    <row r="475" spans="1:7" ht="12.4" customHeight="1">
      <c r="A475" s="248"/>
      <c r="B475" s="240" t="s">
        <v>133</v>
      </c>
      <c r="C475" s="241"/>
      <c r="D475" s="103">
        <f>D464*20%+SUM(D465:D474)*80%</f>
        <v>100</v>
      </c>
      <c r="E475" s="110" t="str">
        <v/>
      </c>
      <c r="F475" s="104" t="str">
        <f t="shared" si="27"/>
        <v/>
      </c>
    </row>
    <row r="477" spans="1:7" ht="12.4" customHeight="1">
      <c r="A477" s="230" t="s">
        <v>121</v>
      </c>
      <c r="B477" s="231"/>
      <c r="C477" s="231"/>
      <c r="D477" s="107" t="s">
        <v>123</v>
      </c>
      <c r="E477" s="232" t="str">
        <f>I35</f>
        <v/>
      </c>
      <c r="F477" s="233"/>
      <c r="G477" s="101">
        <v>35</v>
      </c>
    </row>
    <row r="478" spans="1:7" ht="12.4" customHeight="1">
      <c r="A478" s="105" t="s">
        <v>122</v>
      </c>
      <c r="B478" s="234" t="str">
        <f>$K$2</f>
        <v>FEBRUARY - JULY 2026</v>
      </c>
      <c r="C478" s="234"/>
      <c r="D478" s="106" t="s">
        <v>124</v>
      </c>
      <c r="E478" s="235" t="str">
        <f>$I$2</f>
        <v>K1B</v>
      </c>
      <c r="F478" s="236"/>
    </row>
    <row r="479" spans="1:7" ht="12.4" customHeight="1">
      <c r="A479" s="237" t="s">
        <v>130</v>
      </c>
      <c r="B479" s="238"/>
      <c r="C479" s="238"/>
      <c r="D479" s="238"/>
      <c r="E479" s="238"/>
      <c r="F479" s="239"/>
    </row>
    <row r="480" spans="1:7" ht="12.4" customHeight="1">
      <c r="A480" s="245" t="s">
        <v>14</v>
      </c>
      <c r="B480" s="240" t="s">
        <v>125</v>
      </c>
      <c r="C480" s="241"/>
      <c r="D480" s="102" t="s">
        <v>126</v>
      </c>
      <c r="E480" s="109" t="s">
        <v>127</v>
      </c>
      <c r="F480" s="102" t="s">
        <v>128</v>
      </c>
    </row>
    <row r="481" spans="1:7" ht="12.4" customHeight="1">
      <c r="A481" s="246"/>
      <c r="B481" s="240" t="s">
        <v>129</v>
      </c>
      <c r="C481" s="241"/>
      <c r="D481" s="102">
        <v>100</v>
      </c>
      <c r="E481" s="110" t="str" cm="1">
        <f t="array" ref="E481:E492">TRANSPOSE(K35:V35)</f>
        <v/>
      </c>
      <c r="F481" s="104" t="str">
        <f>IF(E481="","",IF(E481&lt;D481*60%,"Try harder",""))</f>
        <v/>
      </c>
    </row>
    <row r="482" spans="1:7" ht="12.4" customHeight="1">
      <c r="A482" s="246"/>
      <c r="B482" s="242" t="s">
        <v>132</v>
      </c>
      <c r="C482" s="133" t="str" cm="1">
        <f t="array" ref="C482:C491">TRANSPOSE($L$5:$U$5)</f>
        <v>Up-Low C</v>
      </c>
      <c r="D482" s="134">
        <v>10</v>
      </c>
      <c r="E482" s="135" t="str">
        <v/>
      </c>
      <c r="F482" s="136" t="str">
        <f t="shared" ref="F482:F492" si="28">IF(E482="","",IF(E482&lt;D482*60%,"Try harder",""))</f>
        <v/>
      </c>
    </row>
    <row r="483" spans="1:7" ht="12.4" customHeight="1">
      <c r="A483" s="246"/>
      <c r="B483" s="243"/>
      <c r="C483" s="137" t="str">
        <v>Alphabet N</v>
      </c>
      <c r="D483" s="138">
        <v>10</v>
      </c>
      <c r="E483" s="139" t="str">
        <v/>
      </c>
      <c r="F483" s="140" t="str">
        <f t="shared" si="28"/>
        <v/>
      </c>
    </row>
    <row r="484" spans="1:7" ht="12.4" customHeight="1">
      <c r="A484" s="246"/>
      <c r="B484" s="243"/>
      <c r="C484" s="137" t="str">
        <v>Alphabet S</v>
      </c>
      <c r="D484" s="138">
        <v>10</v>
      </c>
      <c r="E484" s="139" t="str">
        <v/>
      </c>
      <c r="F484" s="140" t="str">
        <f t="shared" si="28"/>
        <v/>
      </c>
    </row>
    <row r="485" spans="1:7" ht="12.4" customHeight="1">
      <c r="A485" s="246"/>
      <c r="B485" s="243"/>
      <c r="C485" s="137" t="str">
        <v>Vocabulary</v>
      </c>
      <c r="D485" s="138">
        <v>10</v>
      </c>
      <c r="E485" s="139" t="str">
        <v/>
      </c>
      <c r="F485" s="140" t="str">
        <f t="shared" si="28"/>
        <v/>
      </c>
    </row>
    <row r="486" spans="1:7" ht="12.4" customHeight="1">
      <c r="A486" s="247" t="s">
        <v>131</v>
      </c>
      <c r="B486" s="243"/>
      <c r="C486" s="137" t="str">
        <v>Sprouts</v>
      </c>
      <c r="D486" s="138">
        <v>10</v>
      </c>
      <c r="E486" s="139" t="str">
        <v/>
      </c>
      <c r="F486" s="140" t="str">
        <f t="shared" si="28"/>
        <v/>
      </c>
    </row>
    <row r="487" spans="1:7" ht="12.4" customHeight="1">
      <c r="A487" s="247"/>
      <c r="B487" s="243"/>
      <c r="C487" s="137" t="str">
        <v>Phonics</v>
      </c>
      <c r="D487" s="138">
        <v>10</v>
      </c>
      <c r="E487" s="139" t="str">
        <v/>
      </c>
      <c r="F487" s="140" t="str">
        <f t="shared" si="28"/>
        <v/>
      </c>
    </row>
    <row r="488" spans="1:7" ht="12.4" customHeight="1">
      <c r="A488" s="247"/>
      <c r="B488" s="243"/>
      <c r="C488" s="137" t="str">
        <v>Math</v>
      </c>
      <c r="D488" s="138">
        <v>10</v>
      </c>
      <c r="E488" s="139" t="str">
        <v/>
      </c>
      <c r="F488" s="140" t="str">
        <f t="shared" si="28"/>
        <v/>
      </c>
    </row>
    <row r="489" spans="1:7" ht="12.4" customHeight="1">
      <c r="A489" s="247"/>
      <c r="B489" s="243"/>
      <c r="C489" s="137" t="str">
        <v>Shape</v>
      </c>
      <c r="D489" s="138">
        <v>10</v>
      </c>
      <c r="E489" s="139" t="str">
        <v/>
      </c>
      <c r="F489" s="140" t="str">
        <f t="shared" si="28"/>
        <v/>
      </c>
    </row>
    <row r="490" spans="1:7" ht="12.4" customHeight="1">
      <c r="A490" s="247"/>
      <c r="B490" s="243"/>
      <c r="C490" s="137" t="str">
        <v>Science</v>
      </c>
      <c r="D490" s="138">
        <v>10</v>
      </c>
      <c r="E490" s="139" t="str">
        <v/>
      </c>
      <c r="F490" s="140" t="str">
        <f t="shared" si="28"/>
        <v/>
      </c>
    </row>
    <row r="491" spans="1:7" ht="12.4" customHeight="1">
      <c r="A491" s="247"/>
      <c r="B491" s="244"/>
      <c r="C491" s="141" t="str">
        <v>Tracing</v>
      </c>
      <c r="D491" s="142">
        <v>10</v>
      </c>
      <c r="E491" s="143" t="str">
        <v/>
      </c>
      <c r="F491" s="144" t="str">
        <f t="shared" si="28"/>
        <v/>
      </c>
    </row>
    <row r="492" spans="1:7" ht="12.4" customHeight="1">
      <c r="A492" s="248"/>
      <c r="B492" s="240" t="s">
        <v>133</v>
      </c>
      <c r="C492" s="241"/>
      <c r="D492" s="103">
        <f>D481*20%+SUM(D482:D491)*80%</f>
        <v>100</v>
      </c>
      <c r="E492" s="110" t="str">
        <v/>
      </c>
      <c r="F492" s="104" t="str">
        <f t="shared" si="28"/>
        <v/>
      </c>
    </row>
    <row r="494" spans="1:7" ht="12.4" customHeight="1">
      <c r="A494" s="230" t="s">
        <v>121</v>
      </c>
      <c r="B494" s="231"/>
      <c r="C494" s="231"/>
      <c r="D494" s="107" t="s">
        <v>123</v>
      </c>
      <c r="E494" s="232" t="str">
        <f>I36</f>
        <v/>
      </c>
      <c r="F494" s="233"/>
      <c r="G494" s="101">
        <v>36</v>
      </c>
    </row>
    <row r="495" spans="1:7" ht="12.4" customHeight="1">
      <c r="A495" s="105" t="s">
        <v>122</v>
      </c>
      <c r="B495" s="234" t="str">
        <f>$K$2</f>
        <v>FEBRUARY - JULY 2026</v>
      </c>
      <c r="C495" s="234"/>
      <c r="D495" s="106" t="s">
        <v>124</v>
      </c>
      <c r="E495" s="235" t="str">
        <f>$I$2</f>
        <v>K1B</v>
      </c>
      <c r="F495" s="236"/>
    </row>
    <row r="496" spans="1:7" ht="12.4" customHeight="1">
      <c r="A496" s="237" t="s">
        <v>130</v>
      </c>
      <c r="B496" s="238"/>
      <c r="C496" s="238"/>
      <c r="D496" s="238"/>
      <c r="E496" s="238"/>
      <c r="F496" s="239"/>
    </row>
    <row r="497" spans="1:7" ht="12.4" customHeight="1">
      <c r="A497" s="245" t="s">
        <v>14</v>
      </c>
      <c r="B497" s="240" t="s">
        <v>125</v>
      </c>
      <c r="C497" s="241"/>
      <c r="D497" s="102" t="s">
        <v>126</v>
      </c>
      <c r="E497" s="109" t="s">
        <v>127</v>
      </c>
      <c r="F497" s="102" t="s">
        <v>128</v>
      </c>
    </row>
    <row r="498" spans="1:7" ht="12.4" customHeight="1">
      <c r="A498" s="246"/>
      <c r="B498" s="240" t="s">
        <v>129</v>
      </c>
      <c r="C498" s="241"/>
      <c r="D498" s="102">
        <v>100</v>
      </c>
      <c r="E498" s="110" t="str" cm="1">
        <f t="array" ref="E498:E509">TRANSPOSE(K36:V36)</f>
        <v/>
      </c>
      <c r="F498" s="104" t="str">
        <f>IF(E498="","",IF(E498&lt;D498*60%,"Try harder",""))</f>
        <v/>
      </c>
    </row>
    <row r="499" spans="1:7" ht="12.4" customHeight="1">
      <c r="A499" s="246"/>
      <c r="B499" s="242" t="s">
        <v>132</v>
      </c>
      <c r="C499" s="133" t="str" cm="1">
        <f t="array" ref="C499:C508">TRANSPOSE($L$5:$U$5)</f>
        <v>Up-Low C</v>
      </c>
      <c r="D499" s="134">
        <v>10</v>
      </c>
      <c r="E499" s="135" t="str">
        <v/>
      </c>
      <c r="F499" s="136" t="str">
        <f t="shared" ref="F499:F509" si="29">IF(E499="","",IF(E499&lt;D499*60%,"Try harder",""))</f>
        <v/>
      </c>
    </row>
    <row r="500" spans="1:7" ht="12.4" customHeight="1">
      <c r="A500" s="246"/>
      <c r="B500" s="243"/>
      <c r="C500" s="137" t="str">
        <v>Alphabet N</v>
      </c>
      <c r="D500" s="138">
        <v>10</v>
      </c>
      <c r="E500" s="139" t="str">
        <v/>
      </c>
      <c r="F500" s="140" t="str">
        <f t="shared" si="29"/>
        <v/>
      </c>
    </row>
    <row r="501" spans="1:7" ht="12.4" customHeight="1">
      <c r="A501" s="246"/>
      <c r="B501" s="243"/>
      <c r="C501" s="137" t="str">
        <v>Alphabet S</v>
      </c>
      <c r="D501" s="138">
        <v>10</v>
      </c>
      <c r="E501" s="139" t="str">
        <v/>
      </c>
      <c r="F501" s="140" t="str">
        <f t="shared" si="29"/>
        <v/>
      </c>
    </row>
    <row r="502" spans="1:7" ht="12.4" customHeight="1">
      <c r="A502" s="246"/>
      <c r="B502" s="243"/>
      <c r="C502" s="137" t="str">
        <v>Vocabulary</v>
      </c>
      <c r="D502" s="138">
        <v>10</v>
      </c>
      <c r="E502" s="139" t="str">
        <v/>
      </c>
      <c r="F502" s="140" t="str">
        <f t="shared" si="29"/>
        <v/>
      </c>
    </row>
    <row r="503" spans="1:7" ht="12.4" customHeight="1">
      <c r="A503" s="247" t="s">
        <v>131</v>
      </c>
      <c r="B503" s="243"/>
      <c r="C503" s="137" t="str">
        <v>Sprouts</v>
      </c>
      <c r="D503" s="138">
        <v>10</v>
      </c>
      <c r="E503" s="139" t="str">
        <v/>
      </c>
      <c r="F503" s="140" t="str">
        <f t="shared" si="29"/>
        <v/>
      </c>
    </row>
    <row r="504" spans="1:7" ht="12.4" customHeight="1">
      <c r="A504" s="247"/>
      <c r="B504" s="243"/>
      <c r="C504" s="137" t="str">
        <v>Phonics</v>
      </c>
      <c r="D504" s="138">
        <v>10</v>
      </c>
      <c r="E504" s="139" t="str">
        <v/>
      </c>
      <c r="F504" s="140" t="str">
        <f t="shared" si="29"/>
        <v/>
      </c>
    </row>
    <row r="505" spans="1:7" ht="12.4" customHeight="1">
      <c r="A505" s="247"/>
      <c r="B505" s="243"/>
      <c r="C505" s="137" t="str">
        <v>Math</v>
      </c>
      <c r="D505" s="138">
        <v>10</v>
      </c>
      <c r="E505" s="139" t="str">
        <v/>
      </c>
      <c r="F505" s="140" t="str">
        <f t="shared" si="29"/>
        <v/>
      </c>
    </row>
    <row r="506" spans="1:7" ht="12.4" customHeight="1">
      <c r="A506" s="247"/>
      <c r="B506" s="243"/>
      <c r="C506" s="137" t="str">
        <v>Shape</v>
      </c>
      <c r="D506" s="138">
        <v>10</v>
      </c>
      <c r="E506" s="139" t="str">
        <v/>
      </c>
      <c r="F506" s="140" t="str">
        <f t="shared" si="29"/>
        <v/>
      </c>
    </row>
    <row r="507" spans="1:7" ht="12.4" customHeight="1">
      <c r="A507" s="247"/>
      <c r="B507" s="243"/>
      <c r="C507" s="137" t="str">
        <v>Science</v>
      </c>
      <c r="D507" s="138">
        <v>10</v>
      </c>
      <c r="E507" s="139" t="str">
        <v/>
      </c>
      <c r="F507" s="140" t="str">
        <f t="shared" si="29"/>
        <v/>
      </c>
    </row>
    <row r="508" spans="1:7" ht="12.4" customHeight="1">
      <c r="A508" s="247"/>
      <c r="B508" s="244"/>
      <c r="C508" s="141" t="str">
        <v>Tracing</v>
      </c>
      <c r="D508" s="142">
        <v>10</v>
      </c>
      <c r="E508" s="143" t="str">
        <v/>
      </c>
      <c r="F508" s="144" t="str">
        <f t="shared" si="29"/>
        <v/>
      </c>
    </row>
    <row r="509" spans="1:7" ht="12.4" customHeight="1">
      <c r="A509" s="248"/>
      <c r="B509" s="240" t="s">
        <v>133</v>
      </c>
      <c r="C509" s="241"/>
      <c r="D509" s="103">
        <f>D498*20%+SUM(D499:D508)*80%</f>
        <v>100</v>
      </c>
      <c r="E509" s="110" t="str">
        <v/>
      </c>
      <c r="F509" s="104" t="str">
        <f t="shared" si="29"/>
        <v/>
      </c>
    </row>
    <row r="511" spans="1:7" ht="12.4" customHeight="1">
      <c r="A511" s="230" t="s">
        <v>121</v>
      </c>
      <c r="B511" s="231"/>
      <c r="C511" s="231"/>
      <c r="D511" s="107" t="s">
        <v>123</v>
      </c>
      <c r="E511" s="232" t="str">
        <f>I43</f>
        <v/>
      </c>
      <c r="F511" s="233"/>
      <c r="G511" s="101">
        <v>43</v>
      </c>
    </row>
    <row r="512" spans="1:7" ht="12.4" customHeight="1">
      <c r="A512" s="105" t="s">
        <v>122</v>
      </c>
      <c r="B512" s="234" t="str">
        <f>$K$38</f>
        <v>FEBRUARY - JULY 2026</v>
      </c>
      <c r="C512" s="234"/>
      <c r="D512" s="106" t="s">
        <v>124</v>
      </c>
      <c r="E512" s="235" t="str">
        <f>$I$38</f>
        <v/>
      </c>
      <c r="F512" s="236"/>
    </row>
    <row r="513" spans="1:7" ht="12.4" customHeight="1">
      <c r="A513" s="237" t="s">
        <v>130</v>
      </c>
      <c r="B513" s="238"/>
      <c r="C513" s="238"/>
      <c r="D513" s="238"/>
      <c r="E513" s="238"/>
      <c r="F513" s="239"/>
    </row>
    <row r="514" spans="1:7" ht="12.4" customHeight="1">
      <c r="A514" s="245" t="s">
        <v>14</v>
      </c>
      <c r="B514" s="240" t="s">
        <v>125</v>
      </c>
      <c r="C514" s="241"/>
      <c r="D514" s="102" t="s">
        <v>126</v>
      </c>
      <c r="E514" s="109" t="s">
        <v>127</v>
      </c>
      <c r="F514" s="102" t="s">
        <v>128</v>
      </c>
    </row>
    <row r="515" spans="1:7" ht="12.4" customHeight="1">
      <c r="A515" s="246"/>
      <c r="B515" s="240" t="s">
        <v>129</v>
      </c>
      <c r="C515" s="241"/>
      <c r="D515" s="102">
        <v>100</v>
      </c>
      <c r="E515" s="110" t="str" cm="1">
        <f t="array" ref="E515:E526">TRANSPOSE(K43:V43)</f>
        <v/>
      </c>
      <c r="F515" s="104" t="str">
        <f>IF(E515="","",IF(E515&lt;D515*60%,"Try harder",""))</f>
        <v/>
      </c>
    </row>
    <row r="516" spans="1:7" ht="12.4" customHeight="1">
      <c r="A516" s="246"/>
      <c r="B516" s="242" t="s">
        <v>132</v>
      </c>
      <c r="C516" s="133" t="str" cm="1">
        <f t="array" ref="C516:C525">TRANSPOSE($L$41:$U$41)</f>
        <v>Up-Low C</v>
      </c>
      <c r="D516" s="134">
        <v>10</v>
      </c>
      <c r="E516" s="135" t="str">
        <v/>
      </c>
      <c r="F516" s="136" t="str">
        <f t="shared" ref="F516:F526" si="30">IF(E516="","",IF(E516&lt;D516*60%,"Try harder",""))</f>
        <v/>
      </c>
    </row>
    <row r="517" spans="1:7" ht="12.4" customHeight="1">
      <c r="A517" s="246"/>
      <c r="B517" s="243"/>
      <c r="C517" s="137" t="str">
        <v>Alphabet N</v>
      </c>
      <c r="D517" s="138">
        <v>10</v>
      </c>
      <c r="E517" s="139" t="str">
        <v/>
      </c>
      <c r="F517" s="140" t="str">
        <f t="shared" si="30"/>
        <v/>
      </c>
    </row>
    <row r="518" spans="1:7" ht="12.4" customHeight="1">
      <c r="A518" s="246"/>
      <c r="B518" s="243"/>
      <c r="C518" s="137" t="str">
        <v>Alphabet S</v>
      </c>
      <c r="D518" s="138">
        <v>10</v>
      </c>
      <c r="E518" s="139" t="str">
        <v/>
      </c>
      <c r="F518" s="140" t="str">
        <f t="shared" si="30"/>
        <v/>
      </c>
    </row>
    <row r="519" spans="1:7" ht="12.4" customHeight="1">
      <c r="A519" s="246"/>
      <c r="B519" s="243"/>
      <c r="C519" s="137" t="str">
        <v>Vocabulary</v>
      </c>
      <c r="D519" s="138">
        <v>10</v>
      </c>
      <c r="E519" s="139" t="str">
        <v/>
      </c>
      <c r="F519" s="140" t="str">
        <f t="shared" si="30"/>
        <v/>
      </c>
    </row>
    <row r="520" spans="1:7" ht="12.4" customHeight="1">
      <c r="A520" s="247" t="s">
        <v>131</v>
      </c>
      <c r="B520" s="243"/>
      <c r="C520" s="137" t="str">
        <v>Sprouts</v>
      </c>
      <c r="D520" s="138">
        <v>10</v>
      </c>
      <c r="E520" s="139" t="str">
        <v/>
      </c>
      <c r="F520" s="140" t="str">
        <f t="shared" si="30"/>
        <v/>
      </c>
    </row>
    <row r="521" spans="1:7" ht="12.4" customHeight="1">
      <c r="A521" s="247"/>
      <c r="B521" s="243"/>
      <c r="C521" s="137" t="str">
        <v>Phonics</v>
      </c>
      <c r="D521" s="138">
        <v>10</v>
      </c>
      <c r="E521" s="139" t="str">
        <v/>
      </c>
      <c r="F521" s="140" t="str">
        <f t="shared" si="30"/>
        <v/>
      </c>
    </row>
    <row r="522" spans="1:7" ht="12.4" customHeight="1">
      <c r="A522" s="247"/>
      <c r="B522" s="243"/>
      <c r="C522" s="137" t="str">
        <v>Math</v>
      </c>
      <c r="D522" s="138">
        <v>10</v>
      </c>
      <c r="E522" s="139" t="str">
        <v/>
      </c>
      <c r="F522" s="140" t="str">
        <f t="shared" si="30"/>
        <v/>
      </c>
    </row>
    <row r="523" spans="1:7" ht="12.4" customHeight="1">
      <c r="A523" s="247"/>
      <c r="B523" s="243"/>
      <c r="C523" s="137" t="str">
        <v>Shape</v>
      </c>
      <c r="D523" s="138">
        <v>10</v>
      </c>
      <c r="E523" s="139" t="str">
        <v/>
      </c>
      <c r="F523" s="140" t="str">
        <f t="shared" si="30"/>
        <v/>
      </c>
    </row>
    <row r="524" spans="1:7" ht="12.4" customHeight="1">
      <c r="A524" s="247"/>
      <c r="B524" s="243"/>
      <c r="C524" s="137" t="str">
        <v>Science</v>
      </c>
      <c r="D524" s="138">
        <v>10</v>
      </c>
      <c r="E524" s="139" t="str">
        <v/>
      </c>
      <c r="F524" s="140" t="str">
        <f t="shared" si="30"/>
        <v/>
      </c>
    </row>
    <row r="525" spans="1:7" ht="12.4" customHeight="1">
      <c r="A525" s="247"/>
      <c r="B525" s="244"/>
      <c r="C525" s="141" t="str">
        <v>Tracing</v>
      </c>
      <c r="D525" s="142">
        <v>10</v>
      </c>
      <c r="E525" s="143" t="str">
        <v/>
      </c>
      <c r="F525" s="144" t="str">
        <f t="shared" si="30"/>
        <v/>
      </c>
    </row>
    <row r="526" spans="1:7" ht="12.4" customHeight="1">
      <c r="A526" s="248"/>
      <c r="B526" s="240" t="s">
        <v>133</v>
      </c>
      <c r="C526" s="241"/>
      <c r="D526" s="103">
        <f>D515*20%+SUM(D516:D525)*80%</f>
        <v>100</v>
      </c>
      <c r="E526" s="110" t="str">
        <v/>
      </c>
      <c r="F526" s="104" t="str">
        <f t="shared" si="30"/>
        <v/>
      </c>
    </row>
    <row r="528" spans="1:7" ht="12.4" customHeight="1">
      <c r="A528" s="230" t="s">
        <v>121</v>
      </c>
      <c r="B528" s="231"/>
      <c r="C528" s="231"/>
      <c r="D528" s="107" t="s">
        <v>123</v>
      </c>
      <c r="E528" s="232" t="str">
        <f>I44</f>
        <v/>
      </c>
      <c r="F528" s="233"/>
      <c r="G528" s="101">
        <v>44</v>
      </c>
    </row>
    <row r="529" spans="1:6" ht="12.4" customHeight="1">
      <c r="A529" s="105" t="s">
        <v>122</v>
      </c>
      <c r="B529" s="234" t="str">
        <f>$K$38</f>
        <v>FEBRUARY - JULY 2026</v>
      </c>
      <c r="C529" s="234"/>
      <c r="D529" s="106" t="s">
        <v>124</v>
      </c>
      <c r="E529" s="235" t="str">
        <f>$I$38</f>
        <v/>
      </c>
      <c r="F529" s="236"/>
    </row>
    <row r="530" spans="1:6" ht="12.4" customHeight="1">
      <c r="A530" s="237" t="s">
        <v>130</v>
      </c>
      <c r="B530" s="238"/>
      <c r="C530" s="238"/>
      <c r="D530" s="238"/>
      <c r="E530" s="238"/>
      <c r="F530" s="239"/>
    </row>
    <row r="531" spans="1:6" ht="12.4" customHeight="1">
      <c r="A531" s="245" t="s">
        <v>14</v>
      </c>
      <c r="B531" s="240" t="s">
        <v>125</v>
      </c>
      <c r="C531" s="241"/>
      <c r="D531" s="102" t="s">
        <v>126</v>
      </c>
      <c r="E531" s="109" t="s">
        <v>127</v>
      </c>
      <c r="F531" s="102" t="s">
        <v>128</v>
      </c>
    </row>
    <row r="532" spans="1:6" ht="12.4" customHeight="1">
      <c r="A532" s="246"/>
      <c r="B532" s="240" t="s">
        <v>129</v>
      </c>
      <c r="C532" s="241"/>
      <c r="D532" s="102">
        <v>100</v>
      </c>
      <c r="E532" s="110" t="str" cm="1">
        <f t="array" ref="E532:E543">TRANSPOSE(K44:V44)</f>
        <v/>
      </c>
      <c r="F532" s="104" t="str">
        <f>IF(E532="","",IF(E532&lt;D532*60%,"Try harder",""))</f>
        <v/>
      </c>
    </row>
    <row r="533" spans="1:6" ht="12.4" customHeight="1">
      <c r="A533" s="246"/>
      <c r="B533" s="242" t="s">
        <v>132</v>
      </c>
      <c r="C533" s="133" t="str" cm="1">
        <f t="array" ref="C533:C542">TRANSPOSE($L$41:$U$41)</f>
        <v>Up-Low C</v>
      </c>
      <c r="D533" s="134">
        <v>10</v>
      </c>
      <c r="E533" s="135" t="str">
        <v/>
      </c>
      <c r="F533" s="136" t="str">
        <f t="shared" ref="F533:F543" si="31">IF(E533="","",IF(E533&lt;D533*60%,"Try harder",""))</f>
        <v/>
      </c>
    </row>
    <row r="534" spans="1:6" ht="12.4" customHeight="1">
      <c r="A534" s="246"/>
      <c r="B534" s="243"/>
      <c r="C534" s="137" t="str">
        <v>Alphabet N</v>
      </c>
      <c r="D534" s="138">
        <v>10</v>
      </c>
      <c r="E534" s="139" t="str">
        <v/>
      </c>
      <c r="F534" s="140" t="str">
        <f t="shared" si="31"/>
        <v/>
      </c>
    </row>
    <row r="535" spans="1:6" ht="12.4" customHeight="1">
      <c r="A535" s="246"/>
      <c r="B535" s="243"/>
      <c r="C535" s="137" t="str">
        <v>Alphabet S</v>
      </c>
      <c r="D535" s="138">
        <v>10</v>
      </c>
      <c r="E535" s="139" t="str">
        <v/>
      </c>
      <c r="F535" s="140" t="str">
        <f t="shared" si="31"/>
        <v/>
      </c>
    </row>
    <row r="536" spans="1:6" ht="12.4" customHeight="1">
      <c r="A536" s="246"/>
      <c r="B536" s="243"/>
      <c r="C536" s="137" t="str">
        <v>Vocabulary</v>
      </c>
      <c r="D536" s="138">
        <v>10</v>
      </c>
      <c r="E536" s="139" t="str">
        <v/>
      </c>
      <c r="F536" s="140" t="str">
        <f t="shared" si="31"/>
        <v/>
      </c>
    </row>
    <row r="537" spans="1:6" ht="12.4" customHeight="1">
      <c r="A537" s="247" t="s">
        <v>131</v>
      </c>
      <c r="B537" s="243"/>
      <c r="C537" s="137" t="str">
        <v>Sprouts</v>
      </c>
      <c r="D537" s="138">
        <v>10</v>
      </c>
      <c r="E537" s="139" t="str">
        <v/>
      </c>
      <c r="F537" s="140" t="str">
        <f t="shared" si="31"/>
        <v/>
      </c>
    </row>
    <row r="538" spans="1:6" ht="12.4" customHeight="1">
      <c r="A538" s="247"/>
      <c r="B538" s="243"/>
      <c r="C538" s="137" t="str">
        <v>Phonics</v>
      </c>
      <c r="D538" s="138">
        <v>10</v>
      </c>
      <c r="E538" s="139" t="str">
        <v/>
      </c>
      <c r="F538" s="140" t="str">
        <f t="shared" si="31"/>
        <v/>
      </c>
    </row>
    <row r="539" spans="1:6" ht="12.4" customHeight="1">
      <c r="A539" s="247"/>
      <c r="B539" s="243"/>
      <c r="C539" s="137" t="str">
        <v>Math</v>
      </c>
      <c r="D539" s="138">
        <v>10</v>
      </c>
      <c r="E539" s="139" t="str">
        <v/>
      </c>
      <c r="F539" s="140" t="str">
        <f t="shared" si="31"/>
        <v/>
      </c>
    </row>
    <row r="540" spans="1:6" ht="12.4" customHeight="1">
      <c r="A540" s="247"/>
      <c r="B540" s="243"/>
      <c r="C540" s="137" t="str">
        <v>Shape</v>
      </c>
      <c r="D540" s="138">
        <v>10</v>
      </c>
      <c r="E540" s="139" t="str">
        <v/>
      </c>
      <c r="F540" s="140" t="str">
        <f t="shared" si="31"/>
        <v/>
      </c>
    </row>
    <row r="541" spans="1:6" ht="12.4" customHeight="1">
      <c r="A541" s="247"/>
      <c r="B541" s="243"/>
      <c r="C541" s="137" t="str">
        <v>Science</v>
      </c>
      <c r="D541" s="138">
        <v>10</v>
      </c>
      <c r="E541" s="139" t="str">
        <v/>
      </c>
      <c r="F541" s="140" t="str">
        <f t="shared" si="31"/>
        <v/>
      </c>
    </row>
    <row r="542" spans="1:6" ht="12.4" customHeight="1">
      <c r="A542" s="247"/>
      <c r="B542" s="244"/>
      <c r="C542" s="141" t="str">
        <v>Tracing</v>
      </c>
      <c r="D542" s="142">
        <v>10</v>
      </c>
      <c r="E542" s="143" t="str">
        <v/>
      </c>
      <c r="F542" s="144" t="str">
        <f t="shared" si="31"/>
        <v/>
      </c>
    </row>
    <row r="543" spans="1:6" ht="12.4" customHeight="1">
      <c r="A543" s="248"/>
      <c r="B543" s="240" t="s">
        <v>133</v>
      </c>
      <c r="C543" s="241"/>
      <c r="D543" s="103">
        <f>D532*20%+SUM(D533:D542)*80%</f>
        <v>100</v>
      </c>
      <c r="E543" s="110" t="str">
        <v/>
      </c>
      <c r="F543" s="104" t="str">
        <f t="shared" si="31"/>
        <v/>
      </c>
    </row>
    <row r="545" spans="1:7" ht="12.4" customHeight="1">
      <c r="A545" s="230" t="s">
        <v>121</v>
      </c>
      <c r="B545" s="231"/>
      <c r="C545" s="231"/>
      <c r="D545" s="107" t="s">
        <v>123</v>
      </c>
      <c r="E545" s="232" t="str">
        <f>I45</f>
        <v/>
      </c>
      <c r="F545" s="233"/>
      <c r="G545" s="101">
        <v>45</v>
      </c>
    </row>
    <row r="546" spans="1:7" ht="12.4" customHeight="1">
      <c r="A546" s="105" t="s">
        <v>122</v>
      </c>
      <c r="B546" s="234" t="str">
        <f>$K$38</f>
        <v>FEBRUARY - JULY 2026</v>
      </c>
      <c r="C546" s="234"/>
      <c r="D546" s="106" t="s">
        <v>124</v>
      </c>
      <c r="E546" s="235" t="str">
        <f>$I$38</f>
        <v/>
      </c>
      <c r="F546" s="236"/>
    </row>
    <row r="547" spans="1:7" ht="12.4" customHeight="1">
      <c r="A547" s="237" t="s">
        <v>130</v>
      </c>
      <c r="B547" s="238"/>
      <c r="C547" s="238"/>
      <c r="D547" s="238"/>
      <c r="E547" s="238"/>
      <c r="F547" s="239"/>
    </row>
    <row r="548" spans="1:7" ht="12.4" customHeight="1">
      <c r="A548" s="245" t="s">
        <v>14</v>
      </c>
      <c r="B548" s="240" t="s">
        <v>125</v>
      </c>
      <c r="C548" s="241"/>
      <c r="D548" s="102" t="s">
        <v>126</v>
      </c>
      <c r="E548" s="109" t="s">
        <v>127</v>
      </c>
      <c r="F548" s="102" t="s">
        <v>128</v>
      </c>
    </row>
    <row r="549" spans="1:7" ht="12.4" customHeight="1">
      <c r="A549" s="246"/>
      <c r="B549" s="240" t="s">
        <v>129</v>
      </c>
      <c r="C549" s="241"/>
      <c r="D549" s="102">
        <v>100</v>
      </c>
      <c r="E549" s="110" t="str" cm="1">
        <f t="array" ref="E549:E560">TRANSPOSE(K45:V45)</f>
        <v/>
      </c>
      <c r="F549" s="104" t="str">
        <f>IF(E549="","",IF(E549&lt;D549*60%,"Try harder",""))</f>
        <v/>
      </c>
    </row>
    <row r="550" spans="1:7" ht="12.4" customHeight="1">
      <c r="A550" s="246"/>
      <c r="B550" s="242" t="s">
        <v>132</v>
      </c>
      <c r="C550" s="133" t="str" cm="1">
        <f t="array" ref="C550:C559">TRANSPOSE($L$41:$U$41)</f>
        <v>Up-Low C</v>
      </c>
      <c r="D550" s="134">
        <v>10</v>
      </c>
      <c r="E550" s="135" t="str">
        <v/>
      </c>
      <c r="F550" s="136" t="str">
        <f t="shared" ref="F550:F560" si="32">IF(E550="","",IF(E550&lt;D550*60%,"Try harder",""))</f>
        <v/>
      </c>
    </row>
    <row r="551" spans="1:7" ht="12.4" customHeight="1">
      <c r="A551" s="246"/>
      <c r="B551" s="243"/>
      <c r="C551" s="137" t="str">
        <v>Alphabet N</v>
      </c>
      <c r="D551" s="138">
        <v>10</v>
      </c>
      <c r="E551" s="139" t="str">
        <v/>
      </c>
      <c r="F551" s="140" t="str">
        <f t="shared" si="32"/>
        <v/>
      </c>
    </row>
    <row r="552" spans="1:7" ht="12.4" customHeight="1">
      <c r="A552" s="246"/>
      <c r="B552" s="243"/>
      <c r="C552" s="137" t="str">
        <v>Alphabet S</v>
      </c>
      <c r="D552" s="138">
        <v>10</v>
      </c>
      <c r="E552" s="139" t="str">
        <v/>
      </c>
      <c r="F552" s="140" t="str">
        <f t="shared" si="32"/>
        <v/>
      </c>
    </row>
    <row r="553" spans="1:7" ht="12.4" customHeight="1">
      <c r="A553" s="246"/>
      <c r="B553" s="243"/>
      <c r="C553" s="137" t="str">
        <v>Vocabulary</v>
      </c>
      <c r="D553" s="138">
        <v>10</v>
      </c>
      <c r="E553" s="139" t="str">
        <v/>
      </c>
      <c r="F553" s="140" t="str">
        <f t="shared" si="32"/>
        <v/>
      </c>
    </row>
    <row r="554" spans="1:7" ht="12.4" customHeight="1">
      <c r="A554" s="247" t="s">
        <v>131</v>
      </c>
      <c r="B554" s="243"/>
      <c r="C554" s="137" t="str">
        <v>Sprouts</v>
      </c>
      <c r="D554" s="138">
        <v>10</v>
      </c>
      <c r="E554" s="139" t="str">
        <v/>
      </c>
      <c r="F554" s="140" t="str">
        <f t="shared" si="32"/>
        <v/>
      </c>
    </row>
    <row r="555" spans="1:7" ht="12.4" customHeight="1">
      <c r="A555" s="247"/>
      <c r="B555" s="243"/>
      <c r="C555" s="137" t="str">
        <v>Phonics</v>
      </c>
      <c r="D555" s="138">
        <v>10</v>
      </c>
      <c r="E555" s="139" t="str">
        <v/>
      </c>
      <c r="F555" s="140" t="str">
        <f t="shared" si="32"/>
        <v/>
      </c>
    </row>
    <row r="556" spans="1:7" ht="12.4" customHeight="1">
      <c r="A556" s="247"/>
      <c r="B556" s="243"/>
      <c r="C556" s="137" t="str">
        <v>Math</v>
      </c>
      <c r="D556" s="138">
        <v>10</v>
      </c>
      <c r="E556" s="139" t="str">
        <v/>
      </c>
      <c r="F556" s="140" t="str">
        <f t="shared" si="32"/>
        <v/>
      </c>
    </row>
    <row r="557" spans="1:7" ht="12.4" customHeight="1">
      <c r="A557" s="247"/>
      <c r="B557" s="243"/>
      <c r="C557" s="137" t="str">
        <v>Shape</v>
      </c>
      <c r="D557" s="138">
        <v>10</v>
      </c>
      <c r="E557" s="139" t="str">
        <v/>
      </c>
      <c r="F557" s="140" t="str">
        <f t="shared" si="32"/>
        <v/>
      </c>
    </row>
    <row r="558" spans="1:7" ht="12.4" customHeight="1">
      <c r="A558" s="247"/>
      <c r="B558" s="243"/>
      <c r="C558" s="137" t="str">
        <v>Science</v>
      </c>
      <c r="D558" s="138">
        <v>10</v>
      </c>
      <c r="E558" s="139" t="str">
        <v/>
      </c>
      <c r="F558" s="140" t="str">
        <f t="shared" si="32"/>
        <v/>
      </c>
    </row>
    <row r="559" spans="1:7" ht="12.4" customHeight="1">
      <c r="A559" s="247"/>
      <c r="B559" s="244"/>
      <c r="C559" s="141" t="str">
        <v>Tracing</v>
      </c>
      <c r="D559" s="142">
        <v>10</v>
      </c>
      <c r="E559" s="143" t="str">
        <v/>
      </c>
      <c r="F559" s="144" t="str">
        <f t="shared" si="32"/>
        <v/>
      </c>
    </row>
    <row r="560" spans="1:7" ht="12.4" customHeight="1">
      <c r="A560" s="248"/>
      <c r="B560" s="240" t="s">
        <v>133</v>
      </c>
      <c r="C560" s="241"/>
      <c r="D560" s="103">
        <f>D549*20%+SUM(D550:D559)*80%</f>
        <v>100</v>
      </c>
      <c r="E560" s="110" t="str">
        <v/>
      </c>
      <c r="F560" s="104" t="str">
        <f t="shared" si="32"/>
        <v/>
      </c>
    </row>
    <row r="562" spans="1:7" ht="12.4" customHeight="1">
      <c r="A562" s="230" t="s">
        <v>121</v>
      </c>
      <c r="B562" s="231"/>
      <c r="C562" s="231"/>
      <c r="D562" s="107" t="s">
        <v>123</v>
      </c>
      <c r="E562" s="232" t="str">
        <f>I46</f>
        <v/>
      </c>
      <c r="F562" s="233"/>
      <c r="G562" s="101">
        <v>46</v>
      </c>
    </row>
    <row r="563" spans="1:7" ht="12.4" customHeight="1">
      <c r="A563" s="105" t="s">
        <v>122</v>
      </c>
      <c r="B563" s="234" t="str">
        <f>$K$38</f>
        <v>FEBRUARY - JULY 2026</v>
      </c>
      <c r="C563" s="234"/>
      <c r="D563" s="106" t="s">
        <v>124</v>
      </c>
      <c r="E563" s="235" t="str">
        <f>$I$38</f>
        <v/>
      </c>
      <c r="F563" s="236"/>
    </row>
    <row r="564" spans="1:7" ht="12.4" customHeight="1">
      <c r="A564" s="237" t="s">
        <v>130</v>
      </c>
      <c r="B564" s="238"/>
      <c r="C564" s="238"/>
      <c r="D564" s="238"/>
      <c r="E564" s="238"/>
      <c r="F564" s="239"/>
    </row>
    <row r="565" spans="1:7" ht="12.4" customHeight="1">
      <c r="A565" s="245" t="s">
        <v>14</v>
      </c>
      <c r="B565" s="240" t="s">
        <v>125</v>
      </c>
      <c r="C565" s="241"/>
      <c r="D565" s="102" t="s">
        <v>126</v>
      </c>
      <c r="E565" s="109" t="s">
        <v>127</v>
      </c>
      <c r="F565" s="102" t="s">
        <v>128</v>
      </c>
    </row>
    <row r="566" spans="1:7" ht="12.4" customHeight="1">
      <c r="A566" s="246"/>
      <c r="B566" s="240" t="s">
        <v>129</v>
      </c>
      <c r="C566" s="241"/>
      <c r="D566" s="102">
        <v>100</v>
      </c>
      <c r="E566" s="110" t="str" cm="1">
        <f t="array" ref="E566:E577">TRANSPOSE(K46:V46)</f>
        <v/>
      </c>
      <c r="F566" s="104" t="str">
        <f>IF(E566="","",IF(E566&lt;D566*60%,"Try harder",""))</f>
        <v/>
      </c>
    </row>
    <row r="567" spans="1:7" ht="12.4" customHeight="1">
      <c r="A567" s="246"/>
      <c r="B567" s="242" t="s">
        <v>132</v>
      </c>
      <c r="C567" s="133" t="str" cm="1">
        <f t="array" ref="C567:C576">TRANSPOSE($L$41:$U$41)</f>
        <v>Up-Low C</v>
      </c>
      <c r="D567" s="134">
        <v>10</v>
      </c>
      <c r="E567" s="135" t="str">
        <v/>
      </c>
      <c r="F567" s="136" t="str">
        <f t="shared" ref="F567:F577" si="33">IF(E567="","",IF(E567&lt;D567*60%,"Try harder",""))</f>
        <v/>
      </c>
    </row>
    <row r="568" spans="1:7" ht="12.4" customHeight="1">
      <c r="A568" s="246"/>
      <c r="B568" s="243"/>
      <c r="C568" s="137" t="str">
        <v>Alphabet N</v>
      </c>
      <c r="D568" s="138">
        <v>10</v>
      </c>
      <c r="E568" s="139" t="str">
        <v/>
      </c>
      <c r="F568" s="140" t="str">
        <f t="shared" si="33"/>
        <v/>
      </c>
    </row>
    <row r="569" spans="1:7" ht="12.4" customHeight="1">
      <c r="A569" s="246"/>
      <c r="B569" s="243"/>
      <c r="C569" s="137" t="str">
        <v>Alphabet S</v>
      </c>
      <c r="D569" s="138">
        <v>10</v>
      </c>
      <c r="E569" s="139" t="str">
        <v/>
      </c>
      <c r="F569" s="140" t="str">
        <f t="shared" si="33"/>
        <v/>
      </c>
    </row>
    <row r="570" spans="1:7" ht="12.4" customHeight="1">
      <c r="A570" s="246"/>
      <c r="B570" s="243"/>
      <c r="C570" s="137" t="str">
        <v>Vocabulary</v>
      </c>
      <c r="D570" s="138">
        <v>10</v>
      </c>
      <c r="E570" s="139" t="str">
        <v/>
      </c>
      <c r="F570" s="140" t="str">
        <f t="shared" si="33"/>
        <v/>
      </c>
    </row>
    <row r="571" spans="1:7" ht="12.4" customHeight="1">
      <c r="A571" s="247" t="s">
        <v>131</v>
      </c>
      <c r="B571" s="243"/>
      <c r="C571" s="137" t="str">
        <v>Sprouts</v>
      </c>
      <c r="D571" s="138">
        <v>10</v>
      </c>
      <c r="E571" s="139" t="str">
        <v/>
      </c>
      <c r="F571" s="140" t="str">
        <f t="shared" si="33"/>
        <v/>
      </c>
    </row>
    <row r="572" spans="1:7" ht="12.4" customHeight="1">
      <c r="A572" s="247"/>
      <c r="B572" s="243"/>
      <c r="C572" s="137" t="str">
        <v>Phonics</v>
      </c>
      <c r="D572" s="138">
        <v>10</v>
      </c>
      <c r="E572" s="139" t="str">
        <v/>
      </c>
      <c r="F572" s="140" t="str">
        <f t="shared" si="33"/>
        <v/>
      </c>
    </row>
    <row r="573" spans="1:7" ht="12.4" customHeight="1">
      <c r="A573" s="247"/>
      <c r="B573" s="243"/>
      <c r="C573" s="137" t="str">
        <v>Math</v>
      </c>
      <c r="D573" s="138">
        <v>10</v>
      </c>
      <c r="E573" s="139" t="str">
        <v/>
      </c>
      <c r="F573" s="140" t="str">
        <f t="shared" si="33"/>
        <v/>
      </c>
    </row>
    <row r="574" spans="1:7" ht="12.4" customHeight="1">
      <c r="A574" s="247"/>
      <c r="B574" s="243"/>
      <c r="C574" s="137" t="str">
        <v>Shape</v>
      </c>
      <c r="D574" s="138">
        <v>10</v>
      </c>
      <c r="E574" s="139" t="str">
        <v/>
      </c>
      <c r="F574" s="140" t="str">
        <f t="shared" si="33"/>
        <v/>
      </c>
    </row>
    <row r="575" spans="1:7" ht="12.4" customHeight="1">
      <c r="A575" s="247"/>
      <c r="B575" s="243"/>
      <c r="C575" s="137" t="str">
        <v>Science</v>
      </c>
      <c r="D575" s="138">
        <v>10</v>
      </c>
      <c r="E575" s="139" t="str">
        <v/>
      </c>
      <c r="F575" s="140" t="str">
        <f t="shared" si="33"/>
        <v/>
      </c>
    </row>
    <row r="576" spans="1:7" ht="12.4" customHeight="1">
      <c r="A576" s="247"/>
      <c r="B576" s="244"/>
      <c r="C576" s="141" t="str">
        <v>Tracing</v>
      </c>
      <c r="D576" s="142">
        <v>10</v>
      </c>
      <c r="E576" s="143" t="str">
        <v/>
      </c>
      <c r="F576" s="144" t="str">
        <f t="shared" si="33"/>
        <v/>
      </c>
    </row>
    <row r="577" spans="1:7" ht="12.4" customHeight="1">
      <c r="A577" s="248"/>
      <c r="B577" s="240" t="s">
        <v>133</v>
      </c>
      <c r="C577" s="241"/>
      <c r="D577" s="103">
        <f>D566*20%+SUM(D567:D576)*80%</f>
        <v>100</v>
      </c>
      <c r="E577" s="110" t="str">
        <v/>
      </c>
      <c r="F577" s="104" t="str">
        <f t="shared" si="33"/>
        <v/>
      </c>
    </row>
    <row r="579" spans="1:7" ht="12.4" customHeight="1">
      <c r="A579" s="230" t="s">
        <v>121</v>
      </c>
      <c r="B579" s="231"/>
      <c r="C579" s="231"/>
      <c r="D579" s="107" t="s">
        <v>123</v>
      </c>
      <c r="E579" s="232" t="str">
        <f>I47</f>
        <v/>
      </c>
      <c r="F579" s="233"/>
      <c r="G579" s="101">
        <v>47</v>
      </c>
    </row>
    <row r="580" spans="1:7" ht="12.4" customHeight="1">
      <c r="A580" s="105" t="s">
        <v>122</v>
      </c>
      <c r="B580" s="234" t="str">
        <f>$K$38</f>
        <v>FEBRUARY - JULY 2026</v>
      </c>
      <c r="C580" s="234"/>
      <c r="D580" s="106" t="s">
        <v>124</v>
      </c>
      <c r="E580" s="235" t="str">
        <f>$I$38</f>
        <v/>
      </c>
      <c r="F580" s="236"/>
    </row>
    <row r="581" spans="1:7" ht="12.4" customHeight="1">
      <c r="A581" s="237" t="s">
        <v>130</v>
      </c>
      <c r="B581" s="238"/>
      <c r="C581" s="238"/>
      <c r="D581" s="238"/>
      <c r="E581" s="238"/>
      <c r="F581" s="239"/>
    </row>
    <row r="582" spans="1:7" ht="12.4" customHeight="1">
      <c r="A582" s="245" t="s">
        <v>14</v>
      </c>
      <c r="B582" s="240" t="s">
        <v>125</v>
      </c>
      <c r="C582" s="241"/>
      <c r="D582" s="102" t="s">
        <v>126</v>
      </c>
      <c r="E582" s="109" t="s">
        <v>127</v>
      </c>
      <c r="F582" s="102" t="s">
        <v>128</v>
      </c>
    </row>
    <row r="583" spans="1:7" ht="12.4" customHeight="1">
      <c r="A583" s="246"/>
      <c r="B583" s="240" t="s">
        <v>129</v>
      </c>
      <c r="C583" s="241"/>
      <c r="D583" s="102">
        <v>100</v>
      </c>
      <c r="E583" s="110" t="str" cm="1">
        <f t="array" ref="E583:E594">TRANSPOSE(K47:V47)</f>
        <v/>
      </c>
      <c r="F583" s="104" t="str">
        <f>IF(E583="","",IF(E583&lt;D583*60%,"Try harder",""))</f>
        <v/>
      </c>
    </row>
    <row r="584" spans="1:7" ht="12.4" customHeight="1">
      <c r="A584" s="246"/>
      <c r="B584" s="242" t="s">
        <v>132</v>
      </c>
      <c r="C584" s="133" t="str" cm="1">
        <f t="array" ref="C584:C593">TRANSPOSE($L$41:$U$41)</f>
        <v>Up-Low C</v>
      </c>
      <c r="D584" s="134">
        <v>10</v>
      </c>
      <c r="E584" s="135" t="str">
        <v/>
      </c>
      <c r="F584" s="136" t="str">
        <f t="shared" ref="F584:F594" si="34">IF(E584="","",IF(E584&lt;D584*60%,"Try harder",""))</f>
        <v/>
      </c>
    </row>
    <row r="585" spans="1:7" ht="12.4" customHeight="1">
      <c r="A585" s="246"/>
      <c r="B585" s="243"/>
      <c r="C585" s="137" t="str">
        <v>Alphabet N</v>
      </c>
      <c r="D585" s="138">
        <v>10</v>
      </c>
      <c r="E585" s="139" t="str">
        <v/>
      </c>
      <c r="F585" s="140" t="str">
        <f t="shared" si="34"/>
        <v/>
      </c>
    </row>
    <row r="586" spans="1:7" ht="12.4" customHeight="1">
      <c r="A586" s="246"/>
      <c r="B586" s="243"/>
      <c r="C586" s="137" t="str">
        <v>Alphabet S</v>
      </c>
      <c r="D586" s="138">
        <v>10</v>
      </c>
      <c r="E586" s="139" t="str">
        <v/>
      </c>
      <c r="F586" s="140" t="str">
        <f t="shared" si="34"/>
        <v/>
      </c>
    </row>
    <row r="587" spans="1:7" ht="12.4" customHeight="1">
      <c r="A587" s="246"/>
      <c r="B587" s="243"/>
      <c r="C587" s="137" t="str">
        <v>Vocabulary</v>
      </c>
      <c r="D587" s="138">
        <v>10</v>
      </c>
      <c r="E587" s="139" t="str">
        <v/>
      </c>
      <c r="F587" s="140" t="str">
        <f t="shared" si="34"/>
        <v/>
      </c>
    </row>
    <row r="588" spans="1:7" ht="12.4" customHeight="1">
      <c r="A588" s="247" t="s">
        <v>131</v>
      </c>
      <c r="B588" s="243"/>
      <c r="C588" s="137" t="str">
        <v>Sprouts</v>
      </c>
      <c r="D588" s="138">
        <v>10</v>
      </c>
      <c r="E588" s="139" t="str">
        <v/>
      </c>
      <c r="F588" s="140" t="str">
        <f t="shared" si="34"/>
        <v/>
      </c>
    </row>
    <row r="589" spans="1:7" ht="12.4" customHeight="1">
      <c r="A589" s="247"/>
      <c r="B589" s="243"/>
      <c r="C589" s="137" t="str">
        <v>Phonics</v>
      </c>
      <c r="D589" s="138">
        <v>10</v>
      </c>
      <c r="E589" s="139" t="str">
        <v/>
      </c>
      <c r="F589" s="140" t="str">
        <f t="shared" si="34"/>
        <v/>
      </c>
    </row>
    <row r="590" spans="1:7" ht="12.4" customHeight="1">
      <c r="A590" s="247"/>
      <c r="B590" s="243"/>
      <c r="C590" s="137" t="str">
        <v>Math</v>
      </c>
      <c r="D590" s="138">
        <v>10</v>
      </c>
      <c r="E590" s="139" t="str">
        <v/>
      </c>
      <c r="F590" s="140" t="str">
        <f t="shared" si="34"/>
        <v/>
      </c>
    </row>
    <row r="591" spans="1:7" ht="12.4" customHeight="1">
      <c r="A591" s="247"/>
      <c r="B591" s="243"/>
      <c r="C591" s="137" t="str">
        <v>Shape</v>
      </c>
      <c r="D591" s="138">
        <v>10</v>
      </c>
      <c r="E591" s="139" t="str">
        <v/>
      </c>
      <c r="F591" s="140" t="str">
        <f t="shared" si="34"/>
        <v/>
      </c>
    </row>
    <row r="592" spans="1:7" ht="12.4" customHeight="1">
      <c r="A592" s="247"/>
      <c r="B592" s="243"/>
      <c r="C592" s="137" t="str">
        <v>Science</v>
      </c>
      <c r="D592" s="138">
        <v>10</v>
      </c>
      <c r="E592" s="139" t="str">
        <v/>
      </c>
      <c r="F592" s="140" t="str">
        <f t="shared" si="34"/>
        <v/>
      </c>
    </row>
    <row r="593" spans="1:7" ht="12.4" customHeight="1">
      <c r="A593" s="247"/>
      <c r="B593" s="244"/>
      <c r="C593" s="141" t="str">
        <v>Tracing</v>
      </c>
      <c r="D593" s="142">
        <v>10</v>
      </c>
      <c r="E593" s="143" t="str">
        <v/>
      </c>
      <c r="F593" s="144" t="str">
        <f t="shared" si="34"/>
        <v/>
      </c>
    </row>
    <row r="594" spans="1:7" ht="12.4" customHeight="1">
      <c r="A594" s="248"/>
      <c r="B594" s="240" t="s">
        <v>133</v>
      </c>
      <c r="C594" s="241"/>
      <c r="D594" s="103">
        <f>D583*20%+SUM(D584:D593)*80%</f>
        <v>100</v>
      </c>
      <c r="E594" s="110" t="str">
        <v/>
      </c>
      <c r="F594" s="104" t="str">
        <f t="shared" si="34"/>
        <v/>
      </c>
    </row>
    <row r="596" spans="1:7" ht="12.4" customHeight="1">
      <c r="A596" s="230" t="s">
        <v>121</v>
      </c>
      <c r="B596" s="231"/>
      <c r="C596" s="231"/>
      <c r="D596" s="107" t="s">
        <v>123</v>
      </c>
      <c r="E596" s="232" t="str">
        <f>I48</f>
        <v/>
      </c>
      <c r="F596" s="233"/>
      <c r="G596" s="101">
        <v>48</v>
      </c>
    </row>
    <row r="597" spans="1:7" ht="12.4" customHeight="1">
      <c r="A597" s="105" t="s">
        <v>122</v>
      </c>
      <c r="B597" s="234" t="str">
        <f>$K$38</f>
        <v>FEBRUARY - JULY 2026</v>
      </c>
      <c r="C597" s="234"/>
      <c r="D597" s="106" t="s">
        <v>124</v>
      </c>
      <c r="E597" s="235" t="str">
        <f>$I$38</f>
        <v/>
      </c>
      <c r="F597" s="236"/>
    </row>
    <row r="598" spans="1:7" ht="12.4" customHeight="1">
      <c r="A598" s="237" t="s">
        <v>130</v>
      </c>
      <c r="B598" s="238"/>
      <c r="C598" s="238"/>
      <c r="D598" s="238"/>
      <c r="E598" s="238"/>
      <c r="F598" s="239"/>
    </row>
    <row r="599" spans="1:7" ht="12.4" customHeight="1">
      <c r="A599" s="245" t="s">
        <v>14</v>
      </c>
      <c r="B599" s="240" t="s">
        <v>125</v>
      </c>
      <c r="C599" s="241"/>
      <c r="D599" s="102" t="s">
        <v>126</v>
      </c>
      <c r="E599" s="109" t="s">
        <v>127</v>
      </c>
      <c r="F599" s="102" t="s">
        <v>128</v>
      </c>
    </row>
    <row r="600" spans="1:7" ht="12.4" customHeight="1">
      <c r="A600" s="246"/>
      <c r="B600" s="240" t="s">
        <v>129</v>
      </c>
      <c r="C600" s="241"/>
      <c r="D600" s="102">
        <v>100</v>
      </c>
      <c r="E600" s="110" t="str" cm="1">
        <f t="array" ref="E600:E611">TRANSPOSE(K48:V48)</f>
        <v/>
      </c>
      <c r="F600" s="104" t="str">
        <f>IF(E600="","",IF(E600&lt;D600*60%,"Try harder",""))</f>
        <v/>
      </c>
    </row>
    <row r="601" spans="1:7" ht="12.4" customHeight="1">
      <c r="A601" s="246"/>
      <c r="B601" s="242" t="s">
        <v>132</v>
      </c>
      <c r="C601" s="133" t="str" cm="1">
        <f t="array" ref="C601:C610">TRANSPOSE($L$41:$U$41)</f>
        <v>Up-Low C</v>
      </c>
      <c r="D601" s="134">
        <v>10</v>
      </c>
      <c r="E601" s="135" t="str">
        <v/>
      </c>
      <c r="F601" s="136" t="str">
        <f t="shared" ref="F601:F611" si="35">IF(E601="","",IF(E601&lt;D601*60%,"Try harder",""))</f>
        <v/>
      </c>
    </row>
    <row r="602" spans="1:7" ht="12.4" customHeight="1">
      <c r="A602" s="246"/>
      <c r="B602" s="243"/>
      <c r="C602" s="137" t="str">
        <v>Alphabet N</v>
      </c>
      <c r="D602" s="138">
        <v>10</v>
      </c>
      <c r="E602" s="139" t="str">
        <v/>
      </c>
      <c r="F602" s="140" t="str">
        <f t="shared" si="35"/>
        <v/>
      </c>
    </row>
    <row r="603" spans="1:7" ht="12.4" customHeight="1">
      <c r="A603" s="246"/>
      <c r="B603" s="243"/>
      <c r="C603" s="137" t="str">
        <v>Alphabet S</v>
      </c>
      <c r="D603" s="138">
        <v>10</v>
      </c>
      <c r="E603" s="139" t="str">
        <v/>
      </c>
      <c r="F603" s="140" t="str">
        <f t="shared" si="35"/>
        <v/>
      </c>
    </row>
    <row r="604" spans="1:7" ht="12.4" customHeight="1">
      <c r="A604" s="246"/>
      <c r="B604" s="243"/>
      <c r="C604" s="137" t="str">
        <v>Vocabulary</v>
      </c>
      <c r="D604" s="138">
        <v>10</v>
      </c>
      <c r="E604" s="139" t="str">
        <v/>
      </c>
      <c r="F604" s="140" t="str">
        <f t="shared" si="35"/>
        <v/>
      </c>
    </row>
    <row r="605" spans="1:7" ht="12.4" customHeight="1">
      <c r="A605" s="247" t="s">
        <v>131</v>
      </c>
      <c r="B605" s="243"/>
      <c r="C605" s="137" t="str">
        <v>Sprouts</v>
      </c>
      <c r="D605" s="138">
        <v>10</v>
      </c>
      <c r="E605" s="139" t="str">
        <v/>
      </c>
      <c r="F605" s="140" t="str">
        <f t="shared" si="35"/>
        <v/>
      </c>
    </row>
    <row r="606" spans="1:7" ht="12.4" customHeight="1">
      <c r="A606" s="247"/>
      <c r="B606" s="243"/>
      <c r="C606" s="137" t="str">
        <v>Phonics</v>
      </c>
      <c r="D606" s="138">
        <v>10</v>
      </c>
      <c r="E606" s="139" t="str">
        <v/>
      </c>
      <c r="F606" s="140" t="str">
        <f t="shared" si="35"/>
        <v/>
      </c>
    </row>
    <row r="607" spans="1:7" ht="12.4" customHeight="1">
      <c r="A607" s="247"/>
      <c r="B607" s="243"/>
      <c r="C607" s="137" t="str">
        <v>Math</v>
      </c>
      <c r="D607" s="138">
        <v>10</v>
      </c>
      <c r="E607" s="139" t="str">
        <v/>
      </c>
      <c r="F607" s="140" t="str">
        <f t="shared" si="35"/>
        <v/>
      </c>
    </row>
    <row r="608" spans="1:7" ht="12.4" customHeight="1">
      <c r="A608" s="247"/>
      <c r="B608" s="243"/>
      <c r="C608" s="137" t="str">
        <v>Shape</v>
      </c>
      <c r="D608" s="138">
        <v>10</v>
      </c>
      <c r="E608" s="139" t="str">
        <v/>
      </c>
      <c r="F608" s="140" t="str">
        <f t="shared" si="35"/>
        <v/>
      </c>
    </row>
    <row r="609" spans="1:7" ht="12.4" customHeight="1">
      <c r="A609" s="247"/>
      <c r="B609" s="243"/>
      <c r="C609" s="137" t="str">
        <v>Science</v>
      </c>
      <c r="D609" s="138">
        <v>10</v>
      </c>
      <c r="E609" s="139" t="str">
        <v/>
      </c>
      <c r="F609" s="140" t="str">
        <f t="shared" si="35"/>
        <v/>
      </c>
    </row>
    <row r="610" spans="1:7" ht="12.4" customHeight="1">
      <c r="A610" s="247"/>
      <c r="B610" s="244"/>
      <c r="C610" s="141" t="str">
        <v>Tracing</v>
      </c>
      <c r="D610" s="142">
        <v>10</v>
      </c>
      <c r="E610" s="143" t="str">
        <v/>
      </c>
      <c r="F610" s="144" t="str">
        <f t="shared" si="35"/>
        <v/>
      </c>
    </row>
    <row r="611" spans="1:7" ht="12.4" customHeight="1">
      <c r="A611" s="248"/>
      <c r="B611" s="240" t="s">
        <v>133</v>
      </c>
      <c r="C611" s="241"/>
      <c r="D611" s="103">
        <f>D600*20%+SUM(D601:D610)*80%</f>
        <v>100</v>
      </c>
      <c r="E611" s="110" t="str">
        <v/>
      </c>
      <c r="F611" s="104" t="str">
        <f t="shared" si="35"/>
        <v/>
      </c>
    </row>
    <row r="613" spans="1:7" ht="12.4" customHeight="1">
      <c r="A613" s="230" t="s">
        <v>121</v>
      </c>
      <c r="B613" s="231"/>
      <c r="C613" s="231"/>
      <c r="D613" s="107" t="s">
        <v>123</v>
      </c>
      <c r="E613" s="232" t="str">
        <f>I49</f>
        <v/>
      </c>
      <c r="F613" s="233"/>
      <c r="G613" s="101">
        <v>49</v>
      </c>
    </row>
    <row r="614" spans="1:7" ht="12.4" customHeight="1">
      <c r="A614" s="105" t="s">
        <v>122</v>
      </c>
      <c r="B614" s="234" t="str">
        <f>$K$38</f>
        <v>FEBRUARY - JULY 2026</v>
      </c>
      <c r="C614" s="234"/>
      <c r="D614" s="106" t="s">
        <v>124</v>
      </c>
      <c r="E614" s="235" t="str">
        <f>$I$38</f>
        <v/>
      </c>
      <c r="F614" s="236"/>
    </row>
    <row r="615" spans="1:7" ht="12.4" customHeight="1">
      <c r="A615" s="237" t="s">
        <v>130</v>
      </c>
      <c r="B615" s="238"/>
      <c r="C615" s="238"/>
      <c r="D615" s="238"/>
      <c r="E615" s="238"/>
      <c r="F615" s="239"/>
    </row>
    <row r="616" spans="1:7" ht="12.4" customHeight="1">
      <c r="A616" s="245" t="s">
        <v>14</v>
      </c>
      <c r="B616" s="240" t="s">
        <v>125</v>
      </c>
      <c r="C616" s="241"/>
      <c r="D616" s="102" t="s">
        <v>126</v>
      </c>
      <c r="E616" s="109" t="s">
        <v>127</v>
      </c>
      <c r="F616" s="102" t="s">
        <v>128</v>
      </c>
    </row>
    <row r="617" spans="1:7" ht="12.4" customHeight="1">
      <c r="A617" s="246"/>
      <c r="B617" s="240" t="s">
        <v>129</v>
      </c>
      <c r="C617" s="241"/>
      <c r="D617" s="102">
        <v>100</v>
      </c>
      <c r="E617" s="110" t="str" cm="1">
        <f t="array" ref="E617:E628">TRANSPOSE(K49:V49)</f>
        <v/>
      </c>
      <c r="F617" s="104" t="str">
        <f>IF(E617="","",IF(E617&lt;D617*60%,"Try harder",""))</f>
        <v/>
      </c>
    </row>
    <row r="618" spans="1:7" ht="12.4" customHeight="1">
      <c r="A618" s="246"/>
      <c r="B618" s="242" t="s">
        <v>132</v>
      </c>
      <c r="C618" s="133" t="str" cm="1">
        <f t="array" ref="C618:C627">TRANSPOSE($L$41:$U$41)</f>
        <v>Up-Low C</v>
      </c>
      <c r="D618" s="134">
        <v>10</v>
      </c>
      <c r="E618" s="135" t="str">
        <v/>
      </c>
      <c r="F618" s="136" t="str">
        <f t="shared" ref="F618:F628" si="36">IF(E618="","",IF(E618&lt;D618*60%,"Try harder",""))</f>
        <v/>
      </c>
    </row>
    <row r="619" spans="1:7" ht="12.4" customHeight="1">
      <c r="A619" s="246"/>
      <c r="B619" s="243"/>
      <c r="C619" s="137" t="str">
        <v>Alphabet N</v>
      </c>
      <c r="D619" s="138">
        <v>10</v>
      </c>
      <c r="E619" s="139" t="str">
        <v/>
      </c>
      <c r="F619" s="140" t="str">
        <f t="shared" si="36"/>
        <v/>
      </c>
    </row>
    <row r="620" spans="1:7" ht="12.4" customHeight="1">
      <c r="A620" s="246"/>
      <c r="B620" s="243"/>
      <c r="C620" s="137" t="str">
        <v>Alphabet S</v>
      </c>
      <c r="D620" s="138">
        <v>10</v>
      </c>
      <c r="E620" s="139" t="str">
        <v/>
      </c>
      <c r="F620" s="140" t="str">
        <f t="shared" si="36"/>
        <v/>
      </c>
    </row>
    <row r="621" spans="1:7" ht="12.4" customHeight="1">
      <c r="A621" s="246"/>
      <c r="B621" s="243"/>
      <c r="C621" s="137" t="str">
        <v>Vocabulary</v>
      </c>
      <c r="D621" s="138">
        <v>10</v>
      </c>
      <c r="E621" s="139" t="str">
        <v/>
      </c>
      <c r="F621" s="140" t="str">
        <f t="shared" si="36"/>
        <v/>
      </c>
    </row>
    <row r="622" spans="1:7" ht="12.4" customHeight="1">
      <c r="A622" s="247" t="s">
        <v>131</v>
      </c>
      <c r="B622" s="243"/>
      <c r="C622" s="137" t="str">
        <v>Sprouts</v>
      </c>
      <c r="D622" s="138">
        <v>10</v>
      </c>
      <c r="E622" s="139" t="str">
        <v/>
      </c>
      <c r="F622" s="140" t="str">
        <f t="shared" si="36"/>
        <v/>
      </c>
    </row>
    <row r="623" spans="1:7" ht="12.4" customHeight="1">
      <c r="A623" s="247"/>
      <c r="B623" s="243"/>
      <c r="C623" s="137" t="str">
        <v>Phonics</v>
      </c>
      <c r="D623" s="138">
        <v>10</v>
      </c>
      <c r="E623" s="139" t="str">
        <v/>
      </c>
      <c r="F623" s="140" t="str">
        <f t="shared" si="36"/>
        <v/>
      </c>
    </row>
    <row r="624" spans="1:7" ht="12.4" customHeight="1">
      <c r="A624" s="247"/>
      <c r="B624" s="243"/>
      <c r="C624" s="137" t="str">
        <v>Math</v>
      </c>
      <c r="D624" s="138">
        <v>10</v>
      </c>
      <c r="E624" s="139" t="str">
        <v/>
      </c>
      <c r="F624" s="140" t="str">
        <f t="shared" si="36"/>
        <v/>
      </c>
    </row>
    <row r="625" spans="1:7" ht="12.4" customHeight="1">
      <c r="A625" s="247"/>
      <c r="B625" s="243"/>
      <c r="C625" s="137" t="str">
        <v>Shape</v>
      </c>
      <c r="D625" s="138">
        <v>10</v>
      </c>
      <c r="E625" s="139" t="str">
        <v/>
      </c>
      <c r="F625" s="140" t="str">
        <f t="shared" si="36"/>
        <v/>
      </c>
    </row>
    <row r="626" spans="1:7" ht="12.4" customHeight="1">
      <c r="A626" s="247"/>
      <c r="B626" s="243"/>
      <c r="C626" s="137" t="str">
        <v>Science</v>
      </c>
      <c r="D626" s="138">
        <v>10</v>
      </c>
      <c r="E626" s="139" t="str">
        <v/>
      </c>
      <c r="F626" s="140" t="str">
        <f t="shared" si="36"/>
        <v/>
      </c>
    </row>
    <row r="627" spans="1:7" ht="12.4" customHeight="1">
      <c r="A627" s="247"/>
      <c r="B627" s="244"/>
      <c r="C627" s="141" t="str">
        <v>Tracing</v>
      </c>
      <c r="D627" s="142">
        <v>10</v>
      </c>
      <c r="E627" s="143" t="str">
        <v/>
      </c>
      <c r="F627" s="144" t="str">
        <f t="shared" si="36"/>
        <v/>
      </c>
    </row>
    <row r="628" spans="1:7" ht="12.4" customHeight="1">
      <c r="A628" s="248"/>
      <c r="B628" s="240" t="s">
        <v>133</v>
      </c>
      <c r="C628" s="241"/>
      <c r="D628" s="103">
        <f>D617*20%+SUM(D618:D627)*80%</f>
        <v>100</v>
      </c>
      <c r="E628" s="110" t="str">
        <v/>
      </c>
      <c r="F628" s="104" t="str">
        <f t="shared" si="36"/>
        <v/>
      </c>
    </row>
    <row r="630" spans="1:7" ht="12.4" customHeight="1">
      <c r="A630" s="230" t="s">
        <v>121</v>
      </c>
      <c r="B630" s="231"/>
      <c r="C630" s="231"/>
      <c r="D630" s="107" t="s">
        <v>123</v>
      </c>
      <c r="E630" s="232" t="str">
        <f>I50</f>
        <v/>
      </c>
      <c r="F630" s="233"/>
      <c r="G630" s="101">
        <v>50</v>
      </c>
    </row>
    <row r="631" spans="1:7" ht="12.4" customHeight="1">
      <c r="A631" s="105" t="s">
        <v>122</v>
      </c>
      <c r="B631" s="234" t="str">
        <f>$K$38</f>
        <v>FEBRUARY - JULY 2026</v>
      </c>
      <c r="C631" s="234"/>
      <c r="D631" s="106" t="s">
        <v>124</v>
      </c>
      <c r="E631" s="235" t="str">
        <f>$I$38</f>
        <v/>
      </c>
      <c r="F631" s="236"/>
    </row>
    <row r="632" spans="1:7" ht="12.4" customHeight="1">
      <c r="A632" s="237" t="s">
        <v>130</v>
      </c>
      <c r="B632" s="238"/>
      <c r="C632" s="238"/>
      <c r="D632" s="238"/>
      <c r="E632" s="238"/>
      <c r="F632" s="239"/>
    </row>
    <row r="633" spans="1:7" ht="12.4" customHeight="1">
      <c r="A633" s="245" t="s">
        <v>14</v>
      </c>
      <c r="B633" s="240" t="s">
        <v>125</v>
      </c>
      <c r="C633" s="241"/>
      <c r="D633" s="102" t="s">
        <v>126</v>
      </c>
      <c r="E633" s="109" t="s">
        <v>127</v>
      </c>
      <c r="F633" s="102" t="s">
        <v>128</v>
      </c>
    </row>
    <row r="634" spans="1:7" ht="12.4" customHeight="1">
      <c r="A634" s="246"/>
      <c r="B634" s="240" t="s">
        <v>129</v>
      </c>
      <c r="C634" s="241"/>
      <c r="D634" s="102">
        <v>100</v>
      </c>
      <c r="E634" s="110" t="str" cm="1">
        <f t="array" ref="E634:E645">TRANSPOSE(K50:V50)</f>
        <v/>
      </c>
      <c r="F634" s="104" t="str">
        <f>IF(E634="","",IF(E634&lt;D634*60%,"Try harder",""))</f>
        <v/>
      </c>
    </row>
    <row r="635" spans="1:7" ht="12.4" customHeight="1">
      <c r="A635" s="246"/>
      <c r="B635" s="242" t="s">
        <v>132</v>
      </c>
      <c r="C635" s="133" t="str" cm="1">
        <f t="array" ref="C635:C644">TRANSPOSE($L$41:$U$41)</f>
        <v>Up-Low C</v>
      </c>
      <c r="D635" s="134">
        <v>10</v>
      </c>
      <c r="E635" s="135" t="str">
        <v/>
      </c>
      <c r="F635" s="136" t="str">
        <f t="shared" ref="F635:F645" si="37">IF(E635="","",IF(E635&lt;D635*60%,"Try harder",""))</f>
        <v/>
      </c>
    </row>
    <row r="636" spans="1:7" ht="12.4" customHeight="1">
      <c r="A636" s="246"/>
      <c r="B636" s="243"/>
      <c r="C636" s="137" t="str">
        <v>Alphabet N</v>
      </c>
      <c r="D636" s="138">
        <v>10</v>
      </c>
      <c r="E636" s="139" t="str">
        <v/>
      </c>
      <c r="F636" s="140" t="str">
        <f t="shared" si="37"/>
        <v/>
      </c>
    </row>
    <row r="637" spans="1:7" ht="12.4" customHeight="1">
      <c r="A637" s="246"/>
      <c r="B637" s="243"/>
      <c r="C637" s="137" t="str">
        <v>Alphabet S</v>
      </c>
      <c r="D637" s="138">
        <v>10</v>
      </c>
      <c r="E637" s="139" t="str">
        <v/>
      </c>
      <c r="F637" s="140" t="str">
        <f t="shared" si="37"/>
        <v/>
      </c>
    </row>
    <row r="638" spans="1:7" ht="12.4" customHeight="1">
      <c r="A638" s="246"/>
      <c r="B638" s="243"/>
      <c r="C638" s="137" t="str">
        <v>Vocabulary</v>
      </c>
      <c r="D638" s="138">
        <v>10</v>
      </c>
      <c r="E638" s="139" t="str">
        <v/>
      </c>
      <c r="F638" s="140" t="str">
        <f t="shared" si="37"/>
        <v/>
      </c>
    </row>
    <row r="639" spans="1:7" ht="12.4" customHeight="1">
      <c r="A639" s="247" t="s">
        <v>131</v>
      </c>
      <c r="B639" s="243"/>
      <c r="C639" s="137" t="str">
        <v>Sprouts</v>
      </c>
      <c r="D639" s="138">
        <v>10</v>
      </c>
      <c r="E639" s="139" t="str">
        <v/>
      </c>
      <c r="F639" s="140" t="str">
        <f t="shared" si="37"/>
        <v/>
      </c>
    </row>
    <row r="640" spans="1:7" ht="12.4" customHeight="1">
      <c r="A640" s="247"/>
      <c r="B640" s="243"/>
      <c r="C640" s="137" t="str">
        <v>Phonics</v>
      </c>
      <c r="D640" s="138">
        <v>10</v>
      </c>
      <c r="E640" s="139" t="str">
        <v/>
      </c>
      <c r="F640" s="140" t="str">
        <f t="shared" si="37"/>
        <v/>
      </c>
    </row>
    <row r="641" spans="1:7" ht="12.4" customHeight="1">
      <c r="A641" s="247"/>
      <c r="B641" s="243"/>
      <c r="C641" s="137" t="str">
        <v>Math</v>
      </c>
      <c r="D641" s="138">
        <v>10</v>
      </c>
      <c r="E641" s="139" t="str">
        <v/>
      </c>
      <c r="F641" s="140" t="str">
        <f t="shared" si="37"/>
        <v/>
      </c>
    </row>
    <row r="642" spans="1:7" ht="12.4" customHeight="1">
      <c r="A642" s="247"/>
      <c r="B642" s="243"/>
      <c r="C642" s="137" t="str">
        <v>Shape</v>
      </c>
      <c r="D642" s="138">
        <v>10</v>
      </c>
      <c r="E642" s="139" t="str">
        <v/>
      </c>
      <c r="F642" s="140" t="str">
        <f t="shared" si="37"/>
        <v/>
      </c>
    </row>
    <row r="643" spans="1:7" ht="12.4" customHeight="1">
      <c r="A643" s="247"/>
      <c r="B643" s="243"/>
      <c r="C643" s="137" t="str">
        <v>Science</v>
      </c>
      <c r="D643" s="138">
        <v>10</v>
      </c>
      <c r="E643" s="139" t="str">
        <v/>
      </c>
      <c r="F643" s="140" t="str">
        <f t="shared" si="37"/>
        <v/>
      </c>
    </row>
    <row r="644" spans="1:7" ht="12.4" customHeight="1">
      <c r="A644" s="247"/>
      <c r="B644" s="244"/>
      <c r="C644" s="141" t="str">
        <v>Tracing</v>
      </c>
      <c r="D644" s="142">
        <v>10</v>
      </c>
      <c r="E644" s="143" t="str">
        <v/>
      </c>
      <c r="F644" s="144" t="str">
        <f t="shared" si="37"/>
        <v/>
      </c>
    </row>
    <row r="645" spans="1:7" ht="12.4" customHeight="1">
      <c r="A645" s="248"/>
      <c r="B645" s="240" t="s">
        <v>133</v>
      </c>
      <c r="C645" s="241"/>
      <c r="D645" s="103">
        <f>D634*20%+SUM(D635:D644)*80%</f>
        <v>100</v>
      </c>
      <c r="E645" s="110" t="str">
        <v/>
      </c>
      <c r="F645" s="104" t="str">
        <f t="shared" si="37"/>
        <v/>
      </c>
    </row>
    <row r="647" spans="1:7" ht="12.4" customHeight="1">
      <c r="A647" s="230" t="s">
        <v>121</v>
      </c>
      <c r="B647" s="231"/>
      <c r="C647" s="231"/>
      <c r="D647" s="107" t="s">
        <v>123</v>
      </c>
      <c r="E647" s="232" t="str">
        <f>I51</f>
        <v/>
      </c>
      <c r="F647" s="233"/>
      <c r="G647" s="101">
        <v>51</v>
      </c>
    </row>
    <row r="648" spans="1:7" ht="12.4" customHeight="1">
      <c r="A648" s="105" t="s">
        <v>122</v>
      </c>
      <c r="B648" s="234" t="str">
        <f>$K$38</f>
        <v>FEBRUARY - JULY 2026</v>
      </c>
      <c r="C648" s="234"/>
      <c r="D648" s="106" t="s">
        <v>124</v>
      </c>
      <c r="E648" s="235" t="str">
        <f>$I$38</f>
        <v/>
      </c>
      <c r="F648" s="236"/>
    </row>
    <row r="649" spans="1:7" ht="12.4" customHeight="1">
      <c r="A649" s="237" t="s">
        <v>130</v>
      </c>
      <c r="B649" s="238"/>
      <c r="C649" s="238"/>
      <c r="D649" s="238"/>
      <c r="E649" s="238"/>
      <c r="F649" s="239"/>
    </row>
    <row r="650" spans="1:7" ht="12.4" customHeight="1">
      <c r="A650" s="245" t="s">
        <v>14</v>
      </c>
      <c r="B650" s="240" t="s">
        <v>125</v>
      </c>
      <c r="C650" s="241"/>
      <c r="D650" s="102" t="s">
        <v>126</v>
      </c>
      <c r="E650" s="109" t="s">
        <v>127</v>
      </c>
      <c r="F650" s="102" t="s">
        <v>128</v>
      </c>
    </row>
    <row r="651" spans="1:7" ht="12.4" customHeight="1">
      <c r="A651" s="246"/>
      <c r="B651" s="240" t="s">
        <v>129</v>
      </c>
      <c r="C651" s="241"/>
      <c r="D651" s="102">
        <v>100</v>
      </c>
      <c r="E651" s="110" t="str" cm="1">
        <f t="array" ref="E651:E662">TRANSPOSE(K51:V51)</f>
        <v/>
      </c>
      <c r="F651" s="104" t="str">
        <f>IF(E651="","",IF(E651&lt;D651*60%,"Try harder",""))</f>
        <v/>
      </c>
    </row>
    <row r="652" spans="1:7" ht="12.4" customHeight="1">
      <c r="A652" s="246"/>
      <c r="B652" s="242" t="s">
        <v>132</v>
      </c>
      <c r="C652" s="133" t="str" cm="1">
        <f t="array" ref="C652:C661">TRANSPOSE($L$41:$U$41)</f>
        <v>Up-Low C</v>
      </c>
      <c r="D652" s="134">
        <v>10</v>
      </c>
      <c r="E652" s="135" t="str">
        <v/>
      </c>
      <c r="F652" s="136" t="str">
        <f t="shared" ref="F652:F662" si="38">IF(E652="","",IF(E652&lt;D652*60%,"Try harder",""))</f>
        <v/>
      </c>
    </row>
    <row r="653" spans="1:7" ht="12.4" customHeight="1">
      <c r="A653" s="246"/>
      <c r="B653" s="243"/>
      <c r="C653" s="137" t="str">
        <v>Alphabet N</v>
      </c>
      <c r="D653" s="138">
        <v>10</v>
      </c>
      <c r="E653" s="139" t="str">
        <v/>
      </c>
      <c r="F653" s="140" t="str">
        <f t="shared" si="38"/>
        <v/>
      </c>
    </row>
    <row r="654" spans="1:7" ht="12.4" customHeight="1">
      <c r="A654" s="246"/>
      <c r="B654" s="243"/>
      <c r="C654" s="137" t="str">
        <v>Alphabet S</v>
      </c>
      <c r="D654" s="138">
        <v>10</v>
      </c>
      <c r="E654" s="139" t="str">
        <v/>
      </c>
      <c r="F654" s="140" t="str">
        <f t="shared" si="38"/>
        <v/>
      </c>
    </row>
    <row r="655" spans="1:7" ht="12.4" customHeight="1">
      <c r="A655" s="246"/>
      <c r="B655" s="243"/>
      <c r="C655" s="137" t="str">
        <v>Vocabulary</v>
      </c>
      <c r="D655" s="138">
        <v>10</v>
      </c>
      <c r="E655" s="139" t="str">
        <v/>
      </c>
      <c r="F655" s="140" t="str">
        <f t="shared" si="38"/>
        <v/>
      </c>
    </row>
    <row r="656" spans="1:7" ht="12.4" customHeight="1">
      <c r="A656" s="247" t="s">
        <v>131</v>
      </c>
      <c r="B656" s="243"/>
      <c r="C656" s="137" t="str">
        <v>Sprouts</v>
      </c>
      <c r="D656" s="138">
        <v>10</v>
      </c>
      <c r="E656" s="139" t="str">
        <v/>
      </c>
      <c r="F656" s="140" t="str">
        <f t="shared" si="38"/>
        <v/>
      </c>
    </row>
    <row r="657" spans="1:7" ht="12.4" customHeight="1">
      <c r="A657" s="247"/>
      <c r="B657" s="243"/>
      <c r="C657" s="137" t="str">
        <v>Phonics</v>
      </c>
      <c r="D657" s="138">
        <v>10</v>
      </c>
      <c r="E657" s="139" t="str">
        <v/>
      </c>
      <c r="F657" s="140" t="str">
        <f t="shared" si="38"/>
        <v/>
      </c>
    </row>
    <row r="658" spans="1:7" ht="12.4" customHeight="1">
      <c r="A658" s="247"/>
      <c r="B658" s="243"/>
      <c r="C658" s="137" t="str">
        <v>Math</v>
      </c>
      <c r="D658" s="138">
        <v>10</v>
      </c>
      <c r="E658" s="139" t="str">
        <v/>
      </c>
      <c r="F658" s="140" t="str">
        <f t="shared" si="38"/>
        <v/>
      </c>
    </row>
    <row r="659" spans="1:7" ht="12.4" customHeight="1">
      <c r="A659" s="247"/>
      <c r="B659" s="243"/>
      <c r="C659" s="137" t="str">
        <v>Shape</v>
      </c>
      <c r="D659" s="138">
        <v>10</v>
      </c>
      <c r="E659" s="139" t="str">
        <v/>
      </c>
      <c r="F659" s="140" t="str">
        <f t="shared" si="38"/>
        <v/>
      </c>
    </row>
    <row r="660" spans="1:7" ht="12.4" customHeight="1">
      <c r="A660" s="247"/>
      <c r="B660" s="243"/>
      <c r="C660" s="137" t="str">
        <v>Science</v>
      </c>
      <c r="D660" s="138">
        <v>10</v>
      </c>
      <c r="E660" s="139" t="str">
        <v/>
      </c>
      <c r="F660" s="140" t="str">
        <f t="shared" si="38"/>
        <v/>
      </c>
    </row>
    <row r="661" spans="1:7" ht="12.4" customHeight="1">
      <c r="A661" s="247"/>
      <c r="B661" s="244"/>
      <c r="C661" s="141" t="str">
        <v>Tracing</v>
      </c>
      <c r="D661" s="142">
        <v>10</v>
      </c>
      <c r="E661" s="143" t="str">
        <v/>
      </c>
      <c r="F661" s="144" t="str">
        <f t="shared" si="38"/>
        <v/>
      </c>
    </row>
    <row r="662" spans="1:7" ht="12.4" customHeight="1">
      <c r="A662" s="248"/>
      <c r="B662" s="240" t="s">
        <v>133</v>
      </c>
      <c r="C662" s="241"/>
      <c r="D662" s="103">
        <f>D651*20%+SUM(D652:D661)*80%</f>
        <v>100</v>
      </c>
      <c r="E662" s="110" t="str">
        <v/>
      </c>
      <c r="F662" s="104" t="str">
        <f t="shared" si="38"/>
        <v/>
      </c>
    </row>
    <row r="664" spans="1:7" ht="12.4" customHeight="1">
      <c r="A664" s="230" t="s">
        <v>121</v>
      </c>
      <c r="B664" s="231"/>
      <c r="C664" s="231"/>
      <c r="D664" s="107" t="s">
        <v>123</v>
      </c>
      <c r="E664" s="232" t="str">
        <f>I52</f>
        <v/>
      </c>
      <c r="F664" s="233"/>
      <c r="G664" s="101">
        <v>52</v>
      </c>
    </row>
    <row r="665" spans="1:7" ht="12.4" customHeight="1">
      <c r="A665" s="105" t="s">
        <v>122</v>
      </c>
      <c r="B665" s="234" t="str">
        <f>$K$38</f>
        <v>FEBRUARY - JULY 2026</v>
      </c>
      <c r="C665" s="234"/>
      <c r="D665" s="106" t="s">
        <v>124</v>
      </c>
      <c r="E665" s="235" t="str">
        <f>$I$38</f>
        <v/>
      </c>
      <c r="F665" s="236"/>
    </row>
    <row r="666" spans="1:7" ht="12.4" customHeight="1">
      <c r="A666" s="237" t="s">
        <v>130</v>
      </c>
      <c r="B666" s="238"/>
      <c r="C666" s="238"/>
      <c r="D666" s="238"/>
      <c r="E666" s="238"/>
      <c r="F666" s="239"/>
    </row>
    <row r="667" spans="1:7" ht="12.4" customHeight="1">
      <c r="A667" s="245" t="s">
        <v>14</v>
      </c>
      <c r="B667" s="240" t="s">
        <v>125</v>
      </c>
      <c r="C667" s="241"/>
      <c r="D667" s="102" t="s">
        <v>126</v>
      </c>
      <c r="E667" s="109" t="s">
        <v>127</v>
      </c>
      <c r="F667" s="102" t="s">
        <v>128</v>
      </c>
    </row>
    <row r="668" spans="1:7" ht="12.4" customHeight="1">
      <c r="A668" s="246"/>
      <c r="B668" s="240" t="s">
        <v>129</v>
      </c>
      <c r="C668" s="241"/>
      <c r="D668" s="102">
        <v>100</v>
      </c>
      <c r="E668" s="110" t="str" cm="1">
        <f t="array" ref="E668:E679">TRANSPOSE(K52:V52)</f>
        <v/>
      </c>
      <c r="F668" s="104" t="str">
        <f>IF(E668="","",IF(E668&lt;D668*60%,"Try harder",""))</f>
        <v/>
      </c>
    </row>
    <row r="669" spans="1:7" ht="12.4" customHeight="1">
      <c r="A669" s="246"/>
      <c r="B669" s="242" t="s">
        <v>132</v>
      </c>
      <c r="C669" s="133" t="str" cm="1">
        <f t="array" ref="C669:C678">TRANSPOSE($L$41:$U$41)</f>
        <v>Up-Low C</v>
      </c>
      <c r="D669" s="134">
        <v>10</v>
      </c>
      <c r="E669" s="135" t="str">
        <v/>
      </c>
      <c r="F669" s="136" t="str">
        <f t="shared" ref="F669:F679" si="39">IF(E669="","",IF(E669&lt;D669*60%,"Try harder",""))</f>
        <v/>
      </c>
    </row>
    <row r="670" spans="1:7" ht="12.4" customHeight="1">
      <c r="A670" s="246"/>
      <c r="B670" s="243"/>
      <c r="C670" s="137" t="str">
        <v>Alphabet N</v>
      </c>
      <c r="D670" s="138">
        <v>10</v>
      </c>
      <c r="E670" s="139" t="str">
        <v/>
      </c>
      <c r="F670" s="140" t="str">
        <f t="shared" si="39"/>
        <v/>
      </c>
    </row>
    <row r="671" spans="1:7" ht="12.4" customHeight="1">
      <c r="A671" s="246"/>
      <c r="B671" s="243"/>
      <c r="C671" s="137" t="str">
        <v>Alphabet S</v>
      </c>
      <c r="D671" s="138">
        <v>10</v>
      </c>
      <c r="E671" s="139" t="str">
        <v/>
      </c>
      <c r="F671" s="140" t="str">
        <f t="shared" si="39"/>
        <v/>
      </c>
    </row>
    <row r="672" spans="1:7" ht="12.4" customHeight="1">
      <c r="A672" s="246"/>
      <c r="B672" s="243"/>
      <c r="C672" s="137" t="str">
        <v>Vocabulary</v>
      </c>
      <c r="D672" s="138">
        <v>10</v>
      </c>
      <c r="E672" s="139" t="str">
        <v/>
      </c>
      <c r="F672" s="140" t="str">
        <f t="shared" si="39"/>
        <v/>
      </c>
    </row>
    <row r="673" spans="1:7" ht="12.4" customHeight="1">
      <c r="A673" s="247" t="s">
        <v>131</v>
      </c>
      <c r="B673" s="243"/>
      <c r="C673" s="137" t="str">
        <v>Sprouts</v>
      </c>
      <c r="D673" s="138">
        <v>10</v>
      </c>
      <c r="E673" s="139" t="str">
        <v/>
      </c>
      <c r="F673" s="140" t="str">
        <f t="shared" si="39"/>
        <v/>
      </c>
    </row>
    <row r="674" spans="1:7" ht="12.4" customHeight="1">
      <c r="A674" s="247"/>
      <c r="B674" s="243"/>
      <c r="C674" s="137" t="str">
        <v>Phonics</v>
      </c>
      <c r="D674" s="138">
        <v>10</v>
      </c>
      <c r="E674" s="139" t="str">
        <v/>
      </c>
      <c r="F674" s="140" t="str">
        <f t="shared" si="39"/>
        <v/>
      </c>
    </row>
    <row r="675" spans="1:7" ht="12.4" customHeight="1">
      <c r="A675" s="247"/>
      <c r="B675" s="243"/>
      <c r="C675" s="137" t="str">
        <v>Math</v>
      </c>
      <c r="D675" s="138">
        <v>10</v>
      </c>
      <c r="E675" s="139" t="str">
        <v/>
      </c>
      <c r="F675" s="140" t="str">
        <f t="shared" si="39"/>
        <v/>
      </c>
    </row>
    <row r="676" spans="1:7" ht="12.4" customHeight="1">
      <c r="A676" s="247"/>
      <c r="B676" s="243"/>
      <c r="C676" s="137" t="str">
        <v>Shape</v>
      </c>
      <c r="D676" s="138">
        <v>10</v>
      </c>
      <c r="E676" s="139" t="str">
        <v/>
      </c>
      <c r="F676" s="140" t="str">
        <f t="shared" si="39"/>
        <v/>
      </c>
    </row>
    <row r="677" spans="1:7" ht="12.4" customHeight="1">
      <c r="A677" s="247"/>
      <c r="B677" s="243"/>
      <c r="C677" s="137" t="str">
        <v>Science</v>
      </c>
      <c r="D677" s="138">
        <v>10</v>
      </c>
      <c r="E677" s="139" t="str">
        <v/>
      </c>
      <c r="F677" s="140" t="str">
        <f t="shared" si="39"/>
        <v/>
      </c>
    </row>
    <row r="678" spans="1:7" ht="12.4" customHeight="1">
      <c r="A678" s="247"/>
      <c r="B678" s="244"/>
      <c r="C678" s="141" t="str">
        <v>Tracing</v>
      </c>
      <c r="D678" s="142">
        <v>10</v>
      </c>
      <c r="E678" s="143" t="str">
        <v/>
      </c>
      <c r="F678" s="144" t="str">
        <f t="shared" si="39"/>
        <v/>
      </c>
    </row>
    <row r="679" spans="1:7" ht="12.4" customHeight="1">
      <c r="A679" s="248"/>
      <c r="B679" s="240" t="s">
        <v>133</v>
      </c>
      <c r="C679" s="241"/>
      <c r="D679" s="103">
        <f>D668*20%+SUM(D669:D678)*80%</f>
        <v>100</v>
      </c>
      <c r="E679" s="110" t="str">
        <v/>
      </c>
      <c r="F679" s="104" t="str">
        <f t="shared" si="39"/>
        <v/>
      </c>
    </row>
    <row r="681" spans="1:7" ht="12.4" customHeight="1">
      <c r="A681" s="230" t="s">
        <v>121</v>
      </c>
      <c r="B681" s="231"/>
      <c r="C681" s="231"/>
      <c r="D681" s="107" t="s">
        <v>123</v>
      </c>
      <c r="E681" s="232" t="str">
        <f>I53</f>
        <v/>
      </c>
      <c r="F681" s="233"/>
      <c r="G681" s="101">
        <v>53</v>
      </c>
    </row>
    <row r="682" spans="1:7" ht="12.4" customHeight="1">
      <c r="A682" s="105" t="s">
        <v>122</v>
      </c>
      <c r="B682" s="234" t="str">
        <f>$K$38</f>
        <v>FEBRUARY - JULY 2026</v>
      </c>
      <c r="C682" s="234"/>
      <c r="D682" s="106" t="s">
        <v>124</v>
      </c>
      <c r="E682" s="235" t="str">
        <f>$I$38</f>
        <v/>
      </c>
      <c r="F682" s="236"/>
    </row>
    <row r="683" spans="1:7" ht="12.4" customHeight="1">
      <c r="A683" s="237" t="s">
        <v>130</v>
      </c>
      <c r="B683" s="238"/>
      <c r="C683" s="238"/>
      <c r="D683" s="238"/>
      <c r="E683" s="238"/>
      <c r="F683" s="239"/>
    </row>
    <row r="684" spans="1:7" ht="12.4" customHeight="1">
      <c r="A684" s="245" t="s">
        <v>14</v>
      </c>
      <c r="B684" s="240" t="s">
        <v>125</v>
      </c>
      <c r="C684" s="241"/>
      <c r="D684" s="102" t="s">
        <v>126</v>
      </c>
      <c r="E684" s="109" t="s">
        <v>127</v>
      </c>
      <c r="F684" s="102" t="s">
        <v>128</v>
      </c>
    </row>
    <row r="685" spans="1:7" ht="12.4" customHeight="1">
      <c r="A685" s="246"/>
      <c r="B685" s="240" t="s">
        <v>129</v>
      </c>
      <c r="C685" s="241"/>
      <c r="D685" s="102">
        <v>100</v>
      </c>
      <c r="E685" s="110" t="str" cm="1">
        <f t="array" ref="E685:E696">TRANSPOSE(K53:V53)</f>
        <v/>
      </c>
      <c r="F685" s="104" t="str">
        <f>IF(E685="","",IF(E685&lt;D685*60%,"Try harder",""))</f>
        <v/>
      </c>
    </row>
    <row r="686" spans="1:7" ht="12.4" customHeight="1">
      <c r="A686" s="246"/>
      <c r="B686" s="242" t="s">
        <v>132</v>
      </c>
      <c r="C686" s="133" t="str" cm="1">
        <f t="array" ref="C686:C695">TRANSPOSE($L$41:$U$41)</f>
        <v>Up-Low C</v>
      </c>
      <c r="D686" s="134">
        <v>10</v>
      </c>
      <c r="E686" s="135" t="str">
        <v/>
      </c>
      <c r="F686" s="136" t="str">
        <f t="shared" ref="F686:F696" si="40">IF(E686="","",IF(E686&lt;D686*60%,"Try harder",""))</f>
        <v/>
      </c>
    </row>
    <row r="687" spans="1:7" ht="12.4" customHeight="1">
      <c r="A687" s="246"/>
      <c r="B687" s="243"/>
      <c r="C687" s="137" t="str">
        <v>Alphabet N</v>
      </c>
      <c r="D687" s="138">
        <v>10</v>
      </c>
      <c r="E687" s="139" t="str">
        <v/>
      </c>
      <c r="F687" s="140" t="str">
        <f t="shared" si="40"/>
        <v/>
      </c>
    </row>
    <row r="688" spans="1:7" ht="12.4" customHeight="1">
      <c r="A688" s="246"/>
      <c r="B688" s="243"/>
      <c r="C688" s="137" t="str">
        <v>Alphabet S</v>
      </c>
      <c r="D688" s="138">
        <v>10</v>
      </c>
      <c r="E688" s="139" t="str">
        <v/>
      </c>
      <c r="F688" s="140" t="str">
        <f t="shared" si="40"/>
        <v/>
      </c>
    </row>
    <row r="689" spans="1:7" ht="12.4" customHeight="1">
      <c r="A689" s="246"/>
      <c r="B689" s="243"/>
      <c r="C689" s="137" t="str">
        <v>Vocabulary</v>
      </c>
      <c r="D689" s="138">
        <v>10</v>
      </c>
      <c r="E689" s="139" t="str">
        <v/>
      </c>
      <c r="F689" s="140" t="str">
        <f t="shared" si="40"/>
        <v/>
      </c>
    </row>
    <row r="690" spans="1:7" ht="12.4" customHeight="1">
      <c r="A690" s="247" t="s">
        <v>131</v>
      </c>
      <c r="B690" s="243"/>
      <c r="C690" s="137" t="str">
        <v>Sprouts</v>
      </c>
      <c r="D690" s="138">
        <v>10</v>
      </c>
      <c r="E690" s="139" t="str">
        <v/>
      </c>
      <c r="F690" s="140" t="str">
        <f t="shared" si="40"/>
        <v/>
      </c>
    </row>
    <row r="691" spans="1:7" ht="12.4" customHeight="1">
      <c r="A691" s="247"/>
      <c r="B691" s="243"/>
      <c r="C691" s="137" t="str">
        <v>Phonics</v>
      </c>
      <c r="D691" s="138">
        <v>10</v>
      </c>
      <c r="E691" s="139" t="str">
        <v/>
      </c>
      <c r="F691" s="140" t="str">
        <f t="shared" si="40"/>
        <v/>
      </c>
    </row>
    <row r="692" spans="1:7" ht="12.4" customHeight="1">
      <c r="A692" s="247"/>
      <c r="B692" s="243"/>
      <c r="C692" s="137" t="str">
        <v>Math</v>
      </c>
      <c r="D692" s="138">
        <v>10</v>
      </c>
      <c r="E692" s="139" t="str">
        <v/>
      </c>
      <c r="F692" s="140" t="str">
        <f t="shared" si="40"/>
        <v/>
      </c>
    </row>
    <row r="693" spans="1:7" ht="12.4" customHeight="1">
      <c r="A693" s="247"/>
      <c r="B693" s="243"/>
      <c r="C693" s="137" t="str">
        <v>Shape</v>
      </c>
      <c r="D693" s="138">
        <v>10</v>
      </c>
      <c r="E693" s="139" t="str">
        <v/>
      </c>
      <c r="F693" s="140" t="str">
        <f t="shared" si="40"/>
        <v/>
      </c>
    </row>
    <row r="694" spans="1:7" ht="12.4" customHeight="1">
      <c r="A694" s="247"/>
      <c r="B694" s="243"/>
      <c r="C694" s="137" t="str">
        <v>Science</v>
      </c>
      <c r="D694" s="138">
        <v>10</v>
      </c>
      <c r="E694" s="139" t="str">
        <v/>
      </c>
      <c r="F694" s="140" t="str">
        <f t="shared" si="40"/>
        <v/>
      </c>
    </row>
    <row r="695" spans="1:7" ht="12.4" customHeight="1">
      <c r="A695" s="247"/>
      <c r="B695" s="244"/>
      <c r="C695" s="141" t="str">
        <v>Tracing</v>
      </c>
      <c r="D695" s="142">
        <v>10</v>
      </c>
      <c r="E695" s="143" t="str">
        <v/>
      </c>
      <c r="F695" s="144" t="str">
        <f t="shared" si="40"/>
        <v/>
      </c>
    </row>
    <row r="696" spans="1:7" ht="12.4" customHeight="1">
      <c r="A696" s="248"/>
      <c r="B696" s="240" t="s">
        <v>133</v>
      </c>
      <c r="C696" s="241"/>
      <c r="D696" s="103">
        <f>D685*20%+SUM(D686:D695)*80%</f>
        <v>100</v>
      </c>
      <c r="E696" s="110" t="str">
        <v/>
      </c>
      <c r="F696" s="104" t="str">
        <f t="shared" si="40"/>
        <v/>
      </c>
    </row>
    <row r="698" spans="1:7" ht="12.4" customHeight="1">
      <c r="A698" s="230" t="s">
        <v>121</v>
      </c>
      <c r="B698" s="231"/>
      <c r="C698" s="231"/>
      <c r="D698" s="107" t="s">
        <v>123</v>
      </c>
      <c r="E698" s="232" t="str">
        <f>I54</f>
        <v/>
      </c>
      <c r="F698" s="233"/>
      <c r="G698" s="101">
        <v>54</v>
      </c>
    </row>
    <row r="699" spans="1:7" ht="12.4" customHeight="1">
      <c r="A699" s="105" t="s">
        <v>122</v>
      </c>
      <c r="B699" s="234" t="str">
        <f>$K$38</f>
        <v>FEBRUARY - JULY 2026</v>
      </c>
      <c r="C699" s="234"/>
      <c r="D699" s="106" t="s">
        <v>124</v>
      </c>
      <c r="E699" s="235" t="str">
        <f>$I$38</f>
        <v/>
      </c>
      <c r="F699" s="236"/>
    </row>
    <row r="700" spans="1:7" ht="12.4" customHeight="1">
      <c r="A700" s="237" t="s">
        <v>130</v>
      </c>
      <c r="B700" s="238"/>
      <c r="C700" s="238"/>
      <c r="D700" s="238"/>
      <c r="E700" s="238"/>
      <c r="F700" s="239"/>
    </row>
    <row r="701" spans="1:7" ht="12.4" customHeight="1">
      <c r="A701" s="245" t="s">
        <v>14</v>
      </c>
      <c r="B701" s="240" t="s">
        <v>125</v>
      </c>
      <c r="C701" s="241"/>
      <c r="D701" s="102" t="s">
        <v>126</v>
      </c>
      <c r="E701" s="109" t="s">
        <v>127</v>
      </c>
      <c r="F701" s="102" t="s">
        <v>128</v>
      </c>
    </row>
    <row r="702" spans="1:7" ht="12.4" customHeight="1">
      <c r="A702" s="246"/>
      <c r="B702" s="240" t="s">
        <v>129</v>
      </c>
      <c r="C702" s="241"/>
      <c r="D702" s="102">
        <v>100</v>
      </c>
      <c r="E702" s="110" t="str" cm="1">
        <f t="array" ref="E702:E713">TRANSPOSE(K54:V54)</f>
        <v/>
      </c>
      <c r="F702" s="104" t="str">
        <f>IF(E702="","",IF(E702&lt;D702*60%,"Try harder",""))</f>
        <v/>
      </c>
    </row>
    <row r="703" spans="1:7" ht="12.4" customHeight="1">
      <c r="A703" s="246"/>
      <c r="B703" s="242" t="s">
        <v>132</v>
      </c>
      <c r="C703" s="133" t="str" cm="1">
        <f t="array" ref="C703:C712">TRANSPOSE($L$41:$U$41)</f>
        <v>Up-Low C</v>
      </c>
      <c r="D703" s="134">
        <v>10</v>
      </c>
      <c r="E703" s="135" t="str">
        <v/>
      </c>
      <c r="F703" s="136" t="str">
        <f t="shared" ref="F703:F713" si="41">IF(E703="","",IF(E703&lt;D703*60%,"Try harder",""))</f>
        <v/>
      </c>
    </row>
    <row r="704" spans="1:7" ht="12.4" customHeight="1">
      <c r="A704" s="246"/>
      <c r="B704" s="243"/>
      <c r="C704" s="137" t="str">
        <v>Alphabet N</v>
      </c>
      <c r="D704" s="138">
        <v>10</v>
      </c>
      <c r="E704" s="139" t="str">
        <v/>
      </c>
      <c r="F704" s="140" t="str">
        <f t="shared" si="41"/>
        <v/>
      </c>
    </row>
    <row r="705" spans="1:7" ht="12.4" customHeight="1">
      <c r="A705" s="246"/>
      <c r="B705" s="243"/>
      <c r="C705" s="137" t="str">
        <v>Alphabet S</v>
      </c>
      <c r="D705" s="138">
        <v>10</v>
      </c>
      <c r="E705" s="139" t="str">
        <v/>
      </c>
      <c r="F705" s="140" t="str">
        <f t="shared" si="41"/>
        <v/>
      </c>
    </row>
    <row r="706" spans="1:7" ht="12.4" customHeight="1">
      <c r="A706" s="246"/>
      <c r="B706" s="243"/>
      <c r="C706" s="137" t="str">
        <v>Vocabulary</v>
      </c>
      <c r="D706" s="138">
        <v>10</v>
      </c>
      <c r="E706" s="139" t="str">
        <v/>
      </c>
      <c r="F706" s="140" t="str">
        <f t="shared" si="41"/>
        <v/>
      </c>
    </row>
    <row r="707" spans="1:7" ht="12.4" customHeight="1">
      <c r="A707" s="247" t="s">
        <v>131</v>
      </c>
      <c r="B707" s="243"/>
      <c r="C707" s="137" t="str">
        <v>Sprouts</v>
      </c>
      <c r="D707" s="138">
        <v>10</v>
      </c>
      <c r="E707" s="139" t="str">
        <v/>
      </c>
      <c r="F707" s="140" t="str">
        <f t="shared" si="41"/>
        <v/>
      </c>
    </row>
    <row r="708" spans="1:7" ht="12.4" customHeight="1">
      <c r="A708" s="247"/>
      <c r="B708" s="243"/>
      <c r="C708" s="137" t="str">
        <v>Phonics</v>
      </c>
      <c r="D708" s="138">
        <v>10</v>
      </c>
      <c r="E708" s="139" t="str">
        <v/>
      </c>
      <c r="F708" s="140" t="str">
        <f t="shared" si="41"/>
        <v/>
      </c>
    </row>
    <row r="709" spans="1:7" ht="12.4" customHeight="1">
      <c r="A709" s="247"/>
      <c r="B709" s="243"/>
      <c r="C709" s="137" t="str">
        <v>Math</v>
      </c>
      <c r="D709" s="138">
        <v>10</v>
      </c>
      <c r="E709" s="139" t="str">
        <v/>
      </c>
      <c r="F709" s="140" t="str">
        <f t="shared" si="41"/>
        <v/>
      </c>
    </row>
    <row r="710" spans="1:7" ht="12.4" customHeight="1">
      <c r="A710" s="247"/>
      <c r="B710" s="243"/>
      <c r="C710" s="137" t="str">
        <v>Shape</v>
      </c>
      <c r="D710" s="138">
        <v>10</v>
      </c>
      <c r="E710" s="139" t="str">
        <v/>
      </c>
      <c r="F710" s="140" t="str">
        <f t="shared" si="41"/>
        <v/>
      </c>
    </row>
    <row r="711" spans="1:7" ht="12.4" customHeight="1">
      <c r="A711" s="247"/>
      <c r="B711" s="243"/>
      <c r="C711" s="137" t="str">
        <v>Science</v>
      </c>
      <c r="D711" s="138">
        <v>10</v>
      </c>
      <c r="E711" s="139" t="str">
        <v/>
      </c>
      <c r="F711" s="140" t="str">
        <f t="shared" si="41"/>
        <v/>
      </c>
    </row>
    <row r="712" spans="1:7" ht="12.4" customHeight="1">
      <c r="A712" s="247"/>
      <c r="B712" s="244"/>
      <c r="C712" s="141" t="str">
        <v>Tracing</v>
      </c>
      <c r="D712" s="142">
        <v>10</v>
      </c>
      <c r="E712" s="143" t="str">
        <v/>
      </c>
      <c r="F712" s="144" t="str">
        <f t="shared" si="41"/>
        <v/>
      </c>
    </row>
    <row r="713" spans="1:7" ht="12.4" customHeight="1">
      <c r="A713" s="248"/>
      <c r="B713" s="240" t="s">
        <v>133</v>
      </c>
      <c r="C713" s="241"/>
      <c r="D713" s="103">
        <f>D702*20%+SUM(D703:D712)*80%</f>
        <v>100</v>
      </c>
      <c r="E713" s="110" t="str">
        <v/>
      </c>
      <c r="F713" s="104" t="str">
        <f t="shared" si="41"/>
        <v/>
      </c>
    </row>
    <row r="715" spans="1:7" ht="12.4" customHeight="1">
      <c r="A715" s="230" t="s">
        <v>121</v>
      </c>
      <c r="B715" s="231"/>
      <c r="C715" s="231"/>
      <c r="D715" s="107" t="s">
        <v>123</v>
      </c>
      <c r="E715" s="232" t="str">
        <f>I55</f>
        <v/>
      </c>
      <c r="F715" s="233"/>
      <c r="G715" s="101">
        <v>55</v>
      </c>
    </row>
    <row r="716" spans="1:7" ht="12.4" customHeight="1">
      <c r="A716" s="105" t="s">
        <v>122</v>
      </c>
      <c r="B716" s="234" t="str">
        <f>$K$38</f>
        <v>FEBRUARY - JULY 2026</v>
      </c>
      <c r="C716" s="234"/>
      <c r="D716" s="106" t="s">
        <v>124</v>
      </c>
      <c r="E716" s="235" t="str">
        <f>$I$38</f>
        <v/>
      </c>
      <c r="F716" s="236"/>
    </row>
    <row r="717" spans="1:7" ht="12.4" customHeight="1">
      <c r="A717" s="237" t="s">
        <v>130</v>
      </c>
      <c r="B717" s="238"/>
      <c r="C717" s="238"/>
      <c r="D717" s="238"/>
      <c r="E717" s="238"/>
      <c r="F717" s="239"/>
    </row>
    <row r="718" spans="1:7" ht="12.4" customHeight="1">
      <c r="A718" s="245" t="s">
        <v>14</v>
      </c>
      <c r="B718" s="240" t="s">
        <v>125</v>
      </c>
      <c r="C718" s="241"/>
      <c r="D718" s="102" t="s">
        <v>126</v>
      </c>
      <c r="E718" s="109" t="s">
        <v>127</v>
      </c>
      <c r="F718" s="102" t="s">
        <v>128</v>
      </c>
    </row>
    <row r="719" spans="1:7" ht="12.4" customHeight="1">
      <c r="A719" s="246"/>
      <c r="B719" s="240" t="s">
        <v>129</v>
      </c>
      <c r="C719" s="241"/>
      <c r="D719" s="102">
        <v>100</v>
      </c>
      <c r="E719" s="110" t="str" cm="1">
        <f t="array" ref="E719:E730">TRANSPOSE(K55:V55)</f>
        <v/>
      </c>
      <c r="F719" s="104" t="str">
        <f>IF(E719="","",IF(E719&lt;D719*60%,"Try harder",""))</f>
        <v/>
      </c>
    </row>
    <row r="720" spans="1:7" ht="12.4" customHeight="1">
      <c r="A720" s="246"/>
      <c r="B720" s="242" t="s">
        <v>132</v>
      </c>
      <c r="C720" s="133" t="str" cm="1">
        <f t="array" ref="C720:C729">TRANSPOSE($L$41:$U$41)</f>
        <v>Up-Low C</v>
      </c>
      <c r="D720" s="134">
        <v>10</v>
      </c>
      <c r="E720" s="135" t="str">
        <v/>
      </c>
      <c r="F720" s="136" t="str">
        <f t="shared" ref="F720:F730" si="42">IF(E720="","",IF(E720&lt;D720*60%,"Try harder",""))</f>
        <v/>
      </c>
    </row>
    <row r="721" spans="1:7" ht="12.4" customHeight="1">
      <c r="A721" s="246"/>
      <c r="B721" s="243"/>
      <c r="C721" s="137" t="str">
        <v>Alphabet N</v>
      </c>
      <c r="D721" s="138">
        <v>10</v>
      </c>
      <c r="E721" s="139" t="str">
        <v/>
      </c>
      <c r="F721" s="140" t="str">
        <f t="shared" si="42"/>
        <v/>
      </c>
    </row>
    <row r="722" spans="1:7" ht="12.4" customHeight="1">
      <c r="A722" s="246"/>
      <c r="B722" s="243"/>
      <c r="C722" s="137" t="str">
        <v>Alphabet S</v>
      </c>
      <c r="D722" s="138">
        <v>10</v>
      </c>
      <c r="E722" s="139" t="str">
        <v/>
      </c>
      <c r="F722" s="140" t="str">
        <f t="shared" si="42"/>
        <v/>
      </c>
    </row>
    <row r="723" spans="1:7" ht="12.4" customHeight="1">
      <c r="A723" s="246"/>
      <c r="B723" s="243"/>
      <c r="C723" s="137" t="str">
        <v>Vocabulary</v>
      </c>
      <c r="D723" s="138">
        <v>10</v>
      </c>
      <c r="E723" s="139" t="str">
        <v/>
      </c>
      <c r="F723" s="140" t="str">
        <f t="shared" si="42"/>
        <v/>
      </c>
    </row>
    <row r="724" spans="1:7" ht="12.4" customHeight="1">
      <c r="A724" s="247" t="s">
        <v>131</v>
      </c>
      <c r="B724" s="243"/>
      <c r="C724" s="137" t="str">
        <v>Sprouts</v>
      </c>
      <c r="D724" s="138">
        <v>10</v>
      </c>
      <c r="E724" s="139" t="str">
        <v/>
      </c>
      <c r="F724" s="140" t="str">
        <f t="shared" si="42"/>
        <v/>
      </c>
    </row>
    <row r="725" spans="1:7" ht="12.4" customHeight="1">
      <c r="A725" s="247"/>
      <c r="B725" s="243"/>
      <c r="C725" s="137" t="str">
        <v>Phonics</v>
      </c>
      <c r="D725" s="138">
        <v>10</v>
      </c>
      <c r="E725" s="139" t="str">
        <v/>
      </c>
      <c r="F725" s="140" t="str">
        <f t="shared" si="42"/>
        <v/>
      </c>
    </row>
    <row r="726" spans="1:7" ht="12.4" customHeight="1">
      <c r="A726" s="247"/>
      <c r="B726" s="243"/>
      <c r="C726" s="137" t="str">
        <v>Math</v>
      </c>
      <c r="D726" s="138">
        <v>10</v>
      </c>
      <c r="E726" s="139" t="str">
        <v/>
      </c>
      <c r="F726" s="140" t="str">
        <f t="shared" si="42"/>
        <v/>
      </c>
    </row>
    <row r="727" spans="1:7" ht="12.4" customHeight="1">
      <c r="A727" s="247"/>
      <c r="B727" s="243"/>
      <c r="C727" s="137" t="str">
        <v>Shape</v>
      </c>
      <c r="D727" s="138">
        <v>10</v>
      </c>
      <c r="E727" s="139" t="str">
        <v/>
      </c>
      <c r="F727" s="140" t="str">
        <f t="shared" si="42"/>
        <v/>
      </c>
    </row>
    <row r="728" spans="1:7" ht="12.4" customHeight="1">
      <c r="A728" s="247"/>
      <c r="B728" s="243"/>
      <c r="C728" s="137" t="str">
        <v>Science</v>
      </c>
      <c r="D728" s="138">
        <v>10</v>
      </c>
      <c r="E728" s="139" t="str">
        <v/>
      </c>
      <c r="F728" s="140" t="str">
        <f t="shared" si="42"/>
        <v/>
      </c>
    </row>
    <row r="729" spans="1:7" ht="12.4" customHeight="1">
      <c r="A729" s="247"/>
      <c r="B729" s="244"/>
      <c r="C729" s="141" t="str">
        <v>Tracing</v>
      </c>
      <c r="D729" s="142">
        <v>10</v>
      </c>
      <c r="E729" s="143" t="str">
        <v/>
      </c>
      <c r="F729" s="144" t="str">
        <f t="shared" si="42"/>
        <v/>
      </c>
    </row>
    <row r="730" spans="1:7" ht="12.4" customHeight="1">
      <c r="A730" s="248"/>
      <c r="B730" s="240" t="s">
        <v>133</v>
      </c>
      <c r="C730" s="241"/>
      <c r="D730" s="103">
        <f>D719*20%+SUM(D720:D729)*80%</f>
        <v>100</v>
      </c>
      <c r="E730" s="110" t="str">
        <v/>
      </c>
      <c r="F730" s="104" t="str">
        <f t="shared" si="42"/>
        <v/>
      </c>
    </row>
    <row r="732" spans="1:7" ht="12.4" customHeight="1">
      <c r="A732" s="230" t="s">
        <v>121</v>
      </c>
      <c r="B732" s="231"/>
      <c r="C732" s="231"/>
      <c r="D732" s="107" t="s">
        <v>123</v>
      </c>
      <c r="E732" s="232" t="str">
        <f>I56</f>
        <v/>
      </c>
      <c r="F732" s="233"/>
      <c r="G732" s="101">
        <v>56</v>
      </c>
    </row>
    <row r="733" spans="1:7" ht="12.4" customHeight="1">
      <c r="A733" s="105" t="s">
        <v>122</v>
      </c>
      <c r="B733" s="234" t="str">
        <f>$K$38</f>
        <v>FEBRUARY - JULY 2026</v>
      </c>
      <c r="C733" s="234"/>
      <c r="D733" s="106" t="s">
        <v>124</v>
      </c>
      <c r="E733" s="235" t="str">
        <f>$I$38</f>
        <v/>
      </c>
      <c r="F733" s="236"/>
    </row>
    <row r="734" spans="1:7" ht="12.4" customHeight="1">
      <c r="A734" s="237" t="s">
        <v>130</v>
      </c>
      <c r="B734" s="238"/>
      <c r="C734" s="238"/>
      <c r="D734" s="238"/>
      <c r="E734" s="238"/>
      <c r="F734" s="239"/>
    </row>
    <row r="735" spans="1:7" ht="12.4" customHeight="1">
      <c r="A735" s="245" t="s">
        <v>14</v>
      </c>
      <c r="B735" s="240" t="s">
        <v>125</v>
      </c>
      <c r="C735" s="241"/>
      <c r="D735" s="102" t="s">
        <v>126</v>
      </c>
      <c r="E735" s="109" t="s">
        <v>127</v>
      </c>
      <c r="F735" s="102" t="s">
        <v>128</v>
      </c>
    </row>
    <row r="736" spans="1:7" ht="12.4" customHeight="1">
      <c r="A736" s="246"/>
      <c r="B736" s="240" t="s">
        <v>129</v>
      </c>
      <c r="C736" s="241"/>
      <c r="D736" s="102">
        <v>100</v>
      </c>
      <c r="E736" s="110" t="str" cm="1">
        <f t="array" ref="E736:E747">TRANSPOSE(K56:V56)</f>
        <v/>
      </c>
      <c r="F736" s="104" t="str">
        <f>IF(E736="","",IF(E736&lt;D736*60%,"Try harder",""))</f>
        <v/>
      </c>
    </row>
    <row r="737" spans="1:7" ht="12.4" customHeight="1">
      <c r="A737" s="246"/>
      <c r="B737" s="242" t="s">
        <v>132</v>
      </c>
      <c r="C737" s="133" t="str" cm="1">
        <f t="array" ref="C737:C746">TRANSPOSE($L$41:$U$41)</f>
        <v>Up-Low C</v>
      </c>
      <c r="D737" s="134">
        <v>10</v>
      </c>
      <c r="E737" s="135" t="str">
        <v/>
      </c>
      <c r="F737" s="136" t="str">
        <f t="shared" ref="F737:F747" si="43">IF(E737="","",IF(E737&lt;D737*60%,"Try harder",""))</f>
        <v/>
      </c>
    </row>
    <row r="738" spans="1:7" ht="12.4" customHeight="1">
      <c r="A738" s="246"/>
      <c r="B738" s="243"/>
      <c r="C738" s="137" t="str">
        <v>Alphabet N</v>
      </c>
      <c r="D738" s="138">
        <v>10</v>
      </c>
      <c r="E738" s="139" t="str">
        <v/>
      </c>
      <c r="F738" s="140" t="str">
        <f t="shared" si="43"/>
        <v/>
      </c>
    </row>
    <row r="739" spans="1:7" ht="12.4" customHeight="1">
      <c r="A739" s="246"/>
      <c r="B739" s="243"/>
      <c r="C739" s="137" t="str">
        <v>Alphabet S</v>
      </c>
      <c r="D739" s="138">
        <v>10</v>
      </c>
      <c r="E739" s="139" t="str">
        <v/>
      </c>
      <c r="F739" s="140" t="str">
        <f t="shared" si="43"/>
        <v/>
      </c>
    </row>
    <row r="740" spans="1:7" ht="12.4" customHeight="1">
      <c r="A740" s="246"/>
      <c r="B740" s="243"/>
      <c r="C740" s="137" t="str">
        <v>Vocabulary</v>
      </c>
      <c r="D740" s="138">
        <v>10</v>
      </c>
      <c r="E740" s="139" t="str">
        <v/>
      </c>
      <c r="F740" s="140" t="str">
        <f t="shared" si="43"/>
        <v/>
      </c>
    </row>
    <row r="741" spans="1:7" ht="12.4" customHeight="1">
      <c r="A741" s="247" t="s">
        <v>131</v>
      </c>
      <c r="B741" s="243"/>
      <c r="C741" s="137" t="str">
        <v>Sprouts</v>
      </c>
      <c r="D741" s="138">
        <v>10</v>
      </c>
      <c r="E741" s="139" t="str">
        <v/>
      </c>
      <c r="F741" s="140" t="str">
        <f t="shared" si="43"/>
        <v/>
      </c>
    </row>
    <row r="742" spans="1:7" ht="12.4" customHeight="1">
      <c r="A742" s="247"/>
      <c r="B742" s="243"/>
      <c r="C742" s="137" t="str">
        <v>Phonics</v>
      </c>
      <c r="D742" s="138">
        <v>10</v>
      </c>
      <c r="E742" s="139" t="str">
        <v/>
      </c>
      <c r="F742" s="140" t="str">
        <f t="shared" si="43"/>
        <v/>
      </c>
    </row>
    <row r="743" spans="1:7" ht="12.4" customHeight="1">
      <c r="A743" s="247"/>
      <c r="B743" s="243"/>
      <c r="C743" s="137" t="str">
        <v>Math</v>
      </c>
      <c r="D743" s="138">
        <v>10</v>
      </c>
      <c r="E743" s="139" t="str">
        <v/>
      </c>
      <c r="F743" s="140" t="str">
        <f t="shared" si="43"/>
        <v/>
      </c>
    </row>
    <row r="744" spans="1:7" ht="12.4" customHeight="1">
      <c r="A744" s="247"/>
      <c r="B744" s="243"/>
      <c r="C744" s="137" t="str">
        <v>Shape</v>
      </c>
      <c r="D744" s="138">
        <v>10</v>
      </c>
      <c r="E744" s="139" t="str">
        <v/>
      </c>
      <c r="F744" s="140" t="str">
        <f t="shared" si="43"/>
        <v/>
      </c>
    </row>
    <row r="745" spans="1:7" ht="12.4" customHeight="1">
      <c r="A745" s="247"/>
      <c r="B745" s="243"/>
      <c r="C745" s="137" t="str">
        <v>Science</v>
      </c>
      <c r="D745" s="138">
        <v>10</v>
      </c>
      <c r="E745" s="139" t="str">
        <v/>
      </c>
      <c r="F745" s="140" t="str">
        <f t="shared" si="43"/>
        <v/>
      </c>
    </row>
    <row r="746" spans="1:7" ht="12.4" customHeight="1">
      <c r="A746" s="247"/>
      <c r="B746" s="244"/>
      <c r="C746" s="141" t="str">
        <v>Tracing</v>
      </c>
      <c r="D746" s="142">
        <v>10</v>
      </c>
      <c r="E746" s="143" t="str">
        <v/>
      </c>
      <c r="F746" s="144" t="str">
        <f t="shared" si="43"/>
        <v/>
      </c>
    </row>
    <row r="747" spans="1:7" ht="12.4" customHeight="1">
      <c r="A747" s="248"/>
      <c r="B747" s="240" t="s">
        <v>133</v>
      </c>
      <c r="C747" s="241"/>
      <c r="D747" s="103">
        <f>D736*20%+SUM(D737:D746)*80%</f>
        <v>100</v>
      </c>
      <c r="E747" s="110" t="str">
        <v/>
      </c>
      <c r="F747" s="104" t="str">
        <f t="shared" si="43"/>
        <v/>
      </c>
    </row>
    <row r="749" spans="1:7" ht="12.4" customHeight="1">
      <c r="A749" s="230" t="s">
        <v>121</v>
      </c>
      <c r="B749" s="231"/>
      <c r="C749" s="231"/>
      <c r="D749" s="107" t="s">
        <v>123</v>
      </c>
      <c r="E749" s="232" t="str">
        <f>I57</f>
        <v/>
      </c>
      <c r="F749" s="233"/>
      <c r="G749" s="101">
        <v>57</v>
      </c>
    </row>
    <row r="750" spans="1:7" ht="12.4" customHeight="1">
      <c r="A750" s="105" t="s">
        <v>122</v>
      </c>
      <c r="B750" s="234" t="str">
        <f>$K$38</f>
        <v>FEBRUARY - JULY 2026</v>
      </c>
      <c r="C750" s="234"/>
      <c r="D750" s="106" t="s">
        <v>124</v>
      </c>
      <c r="E750" s="235" t="str">
        <f>$I$38</f>
        <v/>
      </c>
      <c r="F750" s="236"/>
    </row>
    <row r="751" spans="1:7" ht="12.4" customHeight="1">
      <c r="A751" s="237" t="s">
        <v>130</v>
      </c>
      <c r="B751" s="238"/>
      <c r="C751" s="238"/>
      <c r="D751" s="238"/>
      <c r="E751" s="238"/>
      <c r="F751" s="239"/>
    </row>
    <row r="752" spans="1:7" ht="12.4" customHeight="1">
      <c r="A752" s="245" t="s">
        <v>14</v>
      </c>
      <c r="B752" s="240" t="s">
        <v>125</v>
      </c>
      <c r="C752" s="241"/>
      <c r="D752" s="102" t="s">
        <v>126</v>
      </c>
      <c r="E752" s="109" t="s">
        <v>127</v>
      </c>
      <c r="F752" s="102" t="s">
        <v>128</v>
      </c>
    </row>
    <row r="753" spans="1:7" ht="12.4" customHeight="1">
      <c r="A753" s="246"/>
      <c r="B753" s="240" t="s">
        <v>129</v>
      </c>
      <c r="C753" s="241"/>
      <c r="D753" s="102">
        <v>100</v>
      </c>
      <c r="E753" s="110" t="str" cm="1">
        <f t="array" ref="E753:E764">TRANSPOSE(K57:V57)</f>
        <v/>
      </c>
      <c r="F753" s="104" t="str">
        <f>IF(E753="","",IF(E753&lt;D753*60%,"Try harder",""))</f>
        <v/>
      </c>
    </row>
    <row r="754" spans="1:7" ht="12.4" customHeight="1">
      <c r="A754" s="246"/>
      <c r="B754" s="242" t="s">
        <v>132</v>
      </c>
      <c r="C754" s="133" t="str" cm="1">
        <f t="array" ref="C754:C763">TRANSPOSE($L$41:$U$41)</f>
        <v>Up-Low C</v>
      </c>
      <c r="D754" s="134">
        <v>10</v>
      </c>
      <c r="E754" s="135" t="str">
        <v/>
      </c>
      <c r="F754" s="136" t="str">
        <f t="shared" ref="F754:F764" si="44">IF(E754="","",IF(E754&lt;D754*60%,"Try harder",""))</f>
        <v/>
      </c>
    </row>
    <row r="755" spans="1:7" ht="12.4" customHeight="1">
      <c r="A755" s="246"/>
      <c r="B755" s="243"/>
      <c r="C755" s="137" t="str">
        <v>Alphabet N</v>
      </c>
      <c r="D755" s="138">
        <v>10</v>
      </c>
      <c r="E755" s="139" t="str">
        <v/>
      </c>
      <c r="F755" s="140" t="str">
        <f t="shared" si="44"/>
        <v/>
      </c>
    </row>
    <row r="756" spans="1:7" ht="12.4" customHeight="1">
      <c r="A756" s="246"/>
      <c r="B756" s="243"/>
      <c r="C756" s="137" t="str">
        <v>Alphabet S</v>
      </c>
      <c r="D756" s="138">
        <v>10</v>
      </c>
      <c r="E756" s="139" t="str">
        <v/>
      </c>
      <c r="F756" s="140" t="str">
        <f t="shared" si="44"/>
        <v/>
      </c>
    </row>
    <row r="757" spans="1:7" ht="12.4" customHeight="1">
      <c r="A757" s="246"/>
      <c r="B757" s="243"/>
      <c r="C757" s="137" t="str">
        <v>Vocabulary</v>
      </c>
      <c r="D757" s="138">
        <v>10</v>
      </c>
      <c r="E757" s="139" t="str">
        <v/>
      </c>
      <c r="F757" s="140" t="str">
        <f t="shared" si="44"/>
        <v/>
      </c>
    </row>
    <row r="758" spans="1:7" ht="12.4" customHeight="1">
      <c r="A758" s="247" t="s">
        <v>131</v>
      </c>
      <c r="B758" s="243"/>
      <c r="C758" s="137" t="str">
        <v>Sprouts</v>
      </c>
      <c r="D758" s="138">
        <v>10</v>
      </c>
      <c r="E758" s="139" t="str">
        <v/>
      </c>
      <c r="F758" s="140" t="str">
        <f t="shared" si="44"/>
        <v/>
      </c>
    </row>
    <row r="759" spans="1:7" ht="12.4" customHeight="1">
      <c r="A759" s="247"/>
      <c r="B759" s="243"/>
      <c r="C759" s="137" t="str">
        <v>Phonics</v>
      </c>
      <c r="D759" s="138">
        <v>10</v>
      </c>
      <c r="E759" s="139" t="str">
        <v/>
      </c>
      <c r="F759" s="140" t="str">
        <f t="shared" si="44"/>
        <v/>
      </c>
    </row>
    <row r="760" spans="1:7" ht="12.4" customHeight="1">
      <c r="A760" s="247"/>
      <c r="B760" s="243"/>
      <c r="C760" s="137" t="str">
        <v>Math</v>
      </c>
      <c r="D760" s="138">
        <v>10</v>
      </c>
      <c r="E760" s="139" t="str">
        <v/>
      </c>
      <c r="F760" s="140" t="str">
        <f t="shared" si="44"/>
        <v/>
      </c>
    </row>
    <row r="761" spans="1:7" ht="12.4" customHeight="1">
      <c r="A761" s="247"/>
      <c r="B761" s="243"/>
      <c r="C761" s="137" t="str">
        <v>Shape</v>
      </c>
      <c r="D761" s="138">
        <v>10</v>
      </c>
      <c r="E761" s="139" t="str">
        <v/>
      </c>
      <c r="F761" s="140" t="str">
        <f t="shared" si="44"/>
        <v/>
      </c>
    </row>
    <row r="762" spans="1:7" ht="12.4" customHeight="1">
      <c r="A762" s="247"/>
      <c r="B762" s="243"/>
      <c r="C762" s="137" t="str">
        <v>Science</v>
      </c>
      <c r="D762" s="138">
        <v>10</v>
      </c>
      <c r="E762" s="139" t="str">
        <v/>
      </c>
      <c r="F762" s="140" t="str">
        <f t="shared" si="44"/>
        <v/>
      </c>
    </row>
    <row r="763" spans="1:7" ht="12.4" customHeight="1">
      <c r="A763" s="247"/>
      <c r="B763" s="244"/>
      <c r="C763" s="141" t="str">
        <v>Tracing</v>
      </c>
      <c r="D763" s="142">
        <v>10</v>
      </c>
      <c r="E763" s="143" t="str">
        <v/>
      </c>
      <c r="F763" s="144" t="str">
        <f t="shared" si="44"/>
        <v/>
      </c>
    </row>
    <row r="764" spans="1:7" ht="12.4" customHeight="1">
      <c r="A764" s="248"/>
      <c r="B764" s="240" t="s">
        <v>133</v>
      </c>
      <c r="C764" s="241"/>
      <c r="D764" s="103">
        <f>D753*20%+SUM(D754:D763)*80%</f>
        <v>100</v>
      </c>
      <c r="E764" s="110" t="str">
        <v/>
      </c>
      <c r="F764" s="104" t="str">
        <f t="shared" si="44"/>
        <v/>
      </c>
    </row>
    <row r="766" spans="1:7" ht="12.4" customHeight="1">
      <c r="A766" s="230" t="s">
        <v>121</v>
      </c>
      <c r="B766" s="231"/>
      <c r="C766" s="231"/>
      <c r="D766" s="107" t="s">
        <v>123</v>
      </c>
      <c r="E766" s="232" t="str">
        <f>I58</f>
        <v/>
      </c>
      <c r="F766" s="233"/>
      <c r="G766" s="101">
        <v>58</v>
      </c>
    </row>
    <row r="767" spans="1:7" ht="12.4" customHeight="1">
      <c r="A767" s="105" t="s">
        <v>122</v>
      </c>
      <c r="B767" s="234" t="str">
        <f>$K$38</f>
        <v>FEBRUARY - JULY 2026</v>
      </c>
      <c r="C767" s="234"/>
      <c r="D767" s="106" t="s">
        <v>124</v>
      </c>
      <c r="E767" s="235" t="str">
        <f>$I$38</f>
        <v/>
      </c>
      <c r="F767" s="236"/>
    </row>
    <row r="768" spans="1:7" ht="12.4" customHeight="1">
      <c r="A768" s="237" t="s">
        <v>130</v>
      </c>
      <c r="B768" s="238"/>
      <c r="C768" s="238"/>
      <c r="D768" s="238"/>
      <c r="E768" s="238"/>
      <c r="F768" s="239"/>
    </row>
    <row r="769" spans="1:7" ht="12.4" customHeight="1">
      <c r="A769" s="245" t="s">
        <v>14</v>
      </c>
      <c r="B769" s="240" t="s">
        <v>125</v>
      </c>
      <c r="C769" s="241"/>
      <c r="D769" s="102" t="s">
        <v>126</v>
      </c>
      <c r="E769" s="109" t="s">
        <v>127</v>
      </c>
      <c r="F769" s="102" t="s">
        <v>128</v>
      </c>
    </row>
    <row r="770" spans="1:7" ht="12.4" customHeight="1">
      <c r="A770" s="246"/>
      <c r="B770" s="240" t="s">
        <v>129</v>
      </c>
      <c r="C770" s="241"/>
      <c r="D770" s="102">
        <v>100</v>
      </c>
      <c r="E770" s="110" t="str" cm="1">
        <f t="array" ref="E770:E781">TRANSPOSE(K58:V58)</f>
        <v/>
      </c>
      <c r="F770" s="104" t="str">
        <f>IF(E770="","",IF(E770&lt;D770*60%,"Try harder",""))</f>
        <v/>
      </c>
    </row>
    <row r="771" spans="1:7" ht="12.4" customHeight="1">
      <c r="A771" s="246"/>
      <c r="B771" s="242" t="s">
        <v>132</v>
      </c>
      <c r="C771" s="133" t="str" cm="1">
        <f t="array" ref="C771:C780">TRANSPOSE($L$41:$U$41)</f>
        <v>Up-Low C</v>
      </c>
      <c r="D771" s="134">
        <v>10</v>
      </c>
      <c r="E771" s="135" t="str">
        <v/>
      </c>
      <c r="F771" s="136" t="str">
        <f t="shared" ref="F771:F781" si="45">IF(E771="","",IF(E771&lt;D771*60%,"Try harder",""))</f>
        <v/>
      </c>
    </row>
    <row r="772" spans="1:7" ht="12.4" customHeight="1">
      <c r="A772" s="246"/>
      <c r="B772" s="243"/>
      <c r="C772" s="137" t="str">
        <v>Alphabet N</v>
      </c>
      <c r="D772" s="138">
        <v>10</v>
      </c>
      <c r="E772" s="139" t="str">
        <v/>
      </c>
      <c r="F772" s="140" t="str">
        <f t="shared" si="45"/>
        <v/>
      </c>
    </row>
    <row r="773" spans="1:7" ht="12.4" customHeight="1">
      <c r="A773" s="246"/>
      <c r="B773" s="243"/>
      <c r="C773" s="137" t="str">
        <v>Alphabet S</v>
      </c>
      <c r="D773" s="138">
        <v>10</v>
      </c>
      <c r="E773" s="139" t="str">
        <v/>
      </c>
      <c r="F773" s="140" t="str">
        <f t="shared" si="45"/>
        <v/>
      </c>
    </row>
    <row r="774" spans="1:7" ht="12.4" customHeight="1">
      <c r="A774" s="246"/>
      <c r="B774" s="243"/>
      <c r="C774" s="137" t="str">
        <v>Vocabulary</v>
      </c>
      <c r="D774" s="138">
        <v>10</v>
      </c>
      <c r="E774" s="139" t="str">
        <v/>
      </c>
      <c r="F774" s="140" t="str">
        <f t="shared" si="45"/>
        <v/>
      </c>
    </row>
    <row r="775" spans="1:7" ht="12.4" customHeight="1">
      <c r="A775" s="247" t="s">
        <v>131</v>
      </c>
      <c r="B775" s="243"/>
      <c r="C775" s="137" t="str">
        <v>Sprouts</v>
      </c>
      <c r="D775" s="138">
        <v>10</v>
      </c>
      <c r="E775" s="139" t="str">
        <v/>
      </c>
      <c r="F775" s="140" t="str">
        <f t="shared" si="45"/>
        <v/>
      </c>
    </row>
    <row r="776" spans="1:7" ht="12.4" customHeight="1">
      <c r="A776" s="247"/>
      <c r="B776" s="243"/>
      <c r="C776" s="137" t="str">
        <v>Phonics</v>
      </c>
      <c r="D776" s="138">
        <v>10</v>
      </c>
      <c r="E776" s="139" t="str">
        <v/>
      </c>
      <c r="F776" s="140" t="str">
        <f t="shared" si="45"/>
        <v/>
      </c>
    </row>
    <row r="777" spans="1:7" ht="12.4" customHeight="1">
      <c r="A777" s="247"/>
      <c r="B777" s="243"/>
      <c r="C777" s="137" t="str">
        <v>Math</v>
      </c>
      <c r="D777" s="138">
        <v>10</v>
      </c>
      <c r="E777" s="139" t="str">
        <v/>
      </c>
      <c r="F777" s="140" t="str">
        <f t="shared" si="45"/>
        <v/>
      </c>
    </row>
    <row r="778" spans="1:7" ht="12.4" customHeight="1">
      <c r="A778" s="247"/>
      <c r="B778" s="243"/>
      <c r="C778" s="137" t="str">
        <v>Shape</v>
      </c>
      <c r="D778" s="138">
        <v>10</v>
      </c>
      <c r="E778" s="139" t="str">
        <v/>
      </c>
      <c r="F778" s="140" t="str">
        <f t="shared" si="45"/>
        <v/>
      </c>
    </row>
    <row r="779" spans="1:7" ht="12.4" customHeight="1">
      <c r="A779" s="247"/>
      <c r="B779" s="243"/>
      <c r="C779" s="137" t="str">
        <v>Science</v>
      </c>
      <c r="D779" s="138">
        <v>10</v>
      </c>
      <c r="E779" s="139" t="str">
        <v/>
      </c>
      <c r="F779" s="140" t="str">
        <f t="shared" si="45"/>
        <v/>
      </c>
    </row>
    <row r="780" spans="1:7" ht="12.4" customHeight="1">
      <c r="A780" s="247"/>
      <c r="B780" s="244"/>
      <c r="C780" s="141" t="str">
        <v>Tracing</v>
      </c>
      <c r="D780" s="142">
        <v>10</v>
      </c>
      <c r="E780" s="143" t="str">
        <v/>
      </c>
      <c r="F780" s="144" t="str">
        <f t="shared" si="45"/>
        <v/>
      </c>
    </row>
    <row r="781" spans="1:7" ht="12.4" customHeight="1">
      <c r="A781" s="248"/>
      <c r="B781" s="240" t="s">
        <v>133</v>
      </c>
      <c r="C781" s="241"/>
      <c r="D781" s="103">
        <f>D770*20%+SUM(D771:D780)*80%</f>
        <v>100</v>
      </c>
      <c r="E781" s="110" t="str">
        <v/>
      </c>
      <c r="F781" s="104" t="str">
        <f t="shared" si="45"/>
        <v/>
      </c>
    </row>
    <row r="783" spans="1:7" ht="12.4" customHeight="1">
      <c r="A783" s="230" t="s">
        <v>121</v>
      </c>
      <c r="B783" s="231"/>
      <c r="C783" s="231"/>
      <c r="D783" s="107" t="s">
        <v>123</v>
      </c>
      <c r="E783" s="232" t="str">
        <f>I59</f>
        <v/>
      </c>
      <c r="F783" s="233"/>
      <c r="G783" s="101">
        <v>59</v>
      </c>
    </row>
    <row r="784" spans="1:7" ht="12.4" customHeight="1">
      <c r="A784" s="105" t="s">
        <v>122</v>
      </c>
      <c r="B784" s="234" t="str">
        <f>$K$38</f>
        <v>FEBRUARY - JULY 2026</v>
      </c>
      <c r="C784" s="234"/>
      <c r="D784" s="106" t="s">
        <v>124</v>
      </c>
      <c r="E784" s="235" t="str">
        <f>$I$38</f>
        <v/>
      </c>
      <c r="F784" s="236"/>
    </row>
    <row r="785" spans="1:7" ht="12.4" customHeight="1">
      <c r="A785" s="237" t="s">
        <v>130</v>
      </c>
      <c r="B785" s="238"/>
      <c r="C785" s="238"/>
      <c r="D785" s="238"/>
      <c r="E785" s="238"/>
      <c r="F785" s="239"/>
    </row>
    <row r="786" spans="1:7" ht="12.4" customHeight="1">
      <c r="A786" s="245" t="s">
        <v>14</v>
      </c>
      <c r="B786" s="240" t="s">
        <v>125</v>
      </c>
      <c r="C786" s="241"/>
      <c r="D786" s="102" t="s">
        <v>126</v>
      </c>
      <c r="E786" s="109" t="s">
        <v>127</v>
      </c>
      <c r="F786" s="102" t="s">
        <v>128</v>
      </c>
    </row>
    <row r="787" spans="1:7" ht="12.4" customHeight="1">
      <c r="A787" s="246"/>
      <c r="B787" s="240" t="s">
        <v>129</v>
      </c>
      <c r="C787" s="241"/>
      <c r="D787" s="102">
        <v>100</v>
      </c>
      <c r="E787" s="110" t="str" cm="1">
        <f t="array" ref="E787:E798">TRANSPOSE(K59:V59)</f>
        <v/>
      </c>
      <c r="F787" s="104" t="str">
        <f>IF(E787="","",IF(E787&lt;D787*60%,"Try harder",""))</f>
        <v/>
      </c>
    </row>
    <row r="788" spans="1:7" ht="12.4" customHeight="1">
      <c r="A788" s="246"/>
      <c r="B788" s="242" t="s">
        <v>132</v>
      </c>
      <c r="C788" s="133" t="str" cm="1">
        <f t="array" ref="C788:C797">TRANSPOSE($L$41:$U$41)</f>
        <v>Up-Low C</v>
      </c>
      <c r="D788" s="134">
        <v>10</v>
      </c>
      <c r="E788" s="135" t="str">
        <v/>
      </c>
      <c r="F788" s="136" t="str">
        <f t="shared" ref="F788:F798" si="46">IF(E788="","",IF(E788&lt;D788*60%,"Try harder",""))</f>
        <v/>
      </c>
    </row>
    <row r="789" spans="1:7" ht="12.4" customHeight="1">
      <c r="A789" s="246"/>
      <c r="B789" s="243"/>
      <c r="C789" s="137" t="str">
        <v>Alphabet N</v>
      </c>
      <c r="D789" s="138">
        <v>10</v>
      </c>
      <c r="E789" s="139" t="str">
        <v/>
      </c>
      <c r="F789" s="140" t="str">
        <f t="shared" si="46"/>
        <v/>
      </c>
    </row>
    <row r="790" spans="1:7" ht="12.4" customHeight="1">
      <c r="A790" s="246"/>
      <c r="B790" s="243"/>
      <c r="C790" s="137" t="str">
        <v>Alphabet S</v>
      </c>
      <c r="D790" s="138">
        <v>10</v>
      </c>
      <c r="E790" s="139" t="str">
        <v/>
      </c>
      <c r="F790" s="140" t="str">
        <f t="shared" si="46"/>
        <v/>
      </c>
    </row>
    <row r="791" spans="1:7" ht="12.4" customHeight="1">
      <c r="A791" s="246"/>
      <c r="B791" s="243"/>
      <c r="C791" s="137" t="str">
        <v>Vocabulary</v>
      </c>
      <c r="D791" s="138">
        <v>10</v>
      </c>
      <c r="E791" s="139" t="str">
        <v/>
      </c>
      <c r="F791" s="140" t="str">
        <f t="shared" si="46"/>
        <v/>
      </c>
    </row>
    <row r="792" spans="1:7" ht="12.4" customHeight="1">
      <c r="A792" s="247" t="s">
        <v>131</v>
      </c>
      <c r="B792" s="243"/>
      <c r="C792" s="137" t="str">
        <v>Sprouts</v>
      </c>
      <c r="D792" s="138">
        <v>10</v>
      </c>
      <c r="E792" s="139" t="str">
        <v/>
      </c>
      <c r="F792" s="140" t="str">
        <f t="shared" si="46"/>
        <v/>
      </c>
    </row>
    <row r="793" spans="1:7" ht="12.4" customHeight="1">
      <c r="A793" s="247"/>
      <c r="B793" s="243"/>
      <c r="C793" s="137" t="str">
        <v>Phonics</v>
      </c>
      <c r="D793" s="138">
        <v>10</v>
      </c>
      <c r="E793" s="139" t="str">
        <v/>
      </c>
      <c r="F793" s="140" t="str">
        <f t="shared" si="46"/>
        <v/>
      </c>
    </row>
    <row r="794" spans="1:7" ht="12.4" customHeight="1">
      <c r="A794" s="247"/>
      <c r="B794" s="243"/>
      <c r="C794" s="137" t="str">
        <v>Math</v>
      </c>
      <c r="D794" s="138">
        <v>10</v>
      </c>
      <c r="E794" s="139" t="str">
        <v/>
      </c>
      <c r="F794" s="140" t="str">
        <f t="shared" si="46"/>
        <v/>
      </c>
    </row>
    <row r="795" spans="1:7" ht="12.4" customHeight="1">
      <c r="A795" s="247"/>
      <c r="B795" s="243"/>
      <c r="C795" s="137" t="str">
        <v>Shape</v>
      </c>
      <c r="D795" s="138">
        <v>10</v>
      </c>
      <c r="E795" s="139" t="str">
        <v/>
      </c>
      <c r="F795" s="140" t="str">
        <f t="shared" si="46"/>
        <v/>
      </c>
    </row>
    <row r="796" spans="1:7" ht="12.4" customHeight="1">
      <c r="A796" s="247"/>
      <c r="B796" s="243"/>
      <c r="C796" s="137" t="str">
        <v>Science</v>
      </c>
      <c r="D796" s="138">
        <v>10</v>
      </c>
      <c r="E796" s="139" t="str">
        <v/>
      </c>
      <c r="F796" s="140" t="str">
        <f t="shared" si="46"/>
        <v/>
      </c>
    </row>
    <row r="797" spans="1:7" ht="12.4" customHeight="1">
      <c r="A797" s="247"/>
      <c r="B797" s="244"/>
      <c r="C797" s="141" t="str">
        <v>Tracing</v>
      </c>
      <c r="D797" s="142">
        <v>10</v>
      </c>
      <c r="E797" s="143" t="str">
        <v/>
      </c>
      <c r="F797" s="144" t="str">
        <f t="shared" si="46"/>
        <v/>
      </c>
    </row>
    <row r="798" spans="1:7" ht="12.4" customHeight="1">
      <c r="A798" s="248"/>
      <c r="B798" s="240" t="s">
        <v>133</v>
      </c>
      <c r="C798" s="241"/>
      <c r="D798" s="103">
        <f>D787*20%+SUM(D788:D797)*80%</f>
        <v>100</v>
      </c>
      <c r="E798" s="110" t="str">
        <v/>
      </c>
      <c r="F798" s="104" t="str">
        <f t="shared" si="46"/>
        <v/>
      </c>
    </row>
    <row r="800" spans="1:7" ht="12.4" customHeight="1">
      <c r="A800" s="230" t="s">
        <v>121</v>
      </c>
      <c r="B800" s="231"/>
      <c r="C800" s="231"/>
      <c r="D800" s="107" t="s">
        <v>123</v>
      </c>
      <c r="E800" s="232" t="str">
        <f>I60</f>
        <v/>
      </c>
      <c r="F800" s="233"/>
      <c r="G800" s="101">
        <v>60</v>
      </c>
    </row>
    <row r="801" spans="1:6" ht="12.4" customHeight="1">
      <c r="A801" s="105" t="s">
        <v>122</v>
      </c>
      <c r="B801" s="234" t="str">
        <f>$K$38</f>
        <v>FEBRUARY - JULY 2026</v>
      </c>
      <c r="C801" s="234"/>
      <c r="D801" s="106" t="s">
        <v>124</v>
      </c>
      <c r="E801" s="235" t="str">
        <f>$I$38</f>
        <v/>
      </c>
      <c r="F801" s="236"/>
    </row>
    <row r="802" spans="1:6" ht="12.4" customHeight="1">
      <c r="A802" s="237" t="s">
        <v>130</v>
      </c>
      <c r="B802" s="238"/>
      <c r="C802" s="238"/>
      <c r="D802" s="238"/>
      <c r="E802" s="238"/>
      <c r="F802" s="239"/>
    </row>
    <row r="803" spans="1:6" ht="12.4" customHeight="1">
      <c r="A803" s="245" t="s">
        <v>14</v>
      </c>
      <c r="B803" s="240" t="s">
        <v>125</v>
      </c>
      <c r="C803" s="241"/>
      <c r="D803" s="102" t="s">
        <v>126</v>
      </c>
      <c r="E803" s="109" t="s">
        <v>127</v>
      </c>
      <c r="F803" s="102" t="s">
        <v>128</v>
      </c>
    </row>
    <row r="804" spans="1:6" ht="12.4" customHeight="1">
      <c r="A804" s="246"/>
      <c r="B804" s="240" t="s">
        <v>129</v>
      </c>
      <c r="C804" s="241"/>
      <c r="D804" s="102">
        <v>100</v>
      </c>
      <c r="E804" s="110" t="str" cm="1">
        <f t="array" ref="E804:E815">TRANSPOSE(K60:V60)</f>
        <v/>
      </c>
      <c r="F804" s="104" t="str">
        <f>IF(E804="","",IF(E804&lt;D804*60%,"Try harder",""))</f>
        <v/>
      </c>
    </row>
    <row r="805" spans="1:6" ht="12.4" customHeight="1">
      <c r="A805" s="246"/>
      <c r="B805" s="242" t="s">
        <v>132</v>
      </c>
      <c r="C805" s="133" t="str" cm="1">
        <f t="array" ref="C805:C814">TRANSPOSE($L$41:$U$41)</f>
        <v>Up-Low C</v>
      </c>
      <c r="D805" s="134">
        <v>10</v>
      </c>
      <c r="E805" s="135" t="str">
        <v/>
      </c>
      <c r="F805" s="136" t="str">
        <f t="shared" ref="F805:F815" si="47">IF(E805="","",IF(E805&lt;D805*60%,"Try harder",""))</f>
        <v/>
      </c>
    </row>
    <row r="806" spans="1:6" ht="12.4" customHeight="1">
      <c r="A806" s="246"/>
      <c r="B806" s="243"/>
      <c r="C806" s="137" t="str">
        <v>Alphabet N</v>
      </c>
      <c r="D806" s="138">
        <v>10</v>
      </c>
      <c r="E806" s="139" t="str">
        <v/>
      </c>
      <c r="F806" s="140" t="str">
        <f t="shared" si="47"/>
        <v/>
      </c>
    </row>
    <row r="807" spans="1:6" ht="12.4" customHeight="1">
      <c r="A807" s="246"/>
      <c r="B807" s="243"/>
      <c r="C807" s="137" t="str">
        <v>Alphabet S</v>
      </c>
      <c r="D807" s="138">
        <v>10</v>
      </c>
      <c r="E807" s="139" t="str">
        <v/>
      </c>
      <c r="F807" s="140" t="str">
        <f t="shared" si="47"/>
        <v/>
      </c>
    </row>
    <row r="808" spans="1:6" ht="12.4" customHeight="1">
      <c r="A808" s="246"/>
      <c r="B808" s="243"/>
      <c r="C808" s="137" t="str">
        <v>Vocabulary</v>
      </c>
      <c r="D808" s="138">
        <v>10</v>
      </c>
      <c r="E808" s="139" t="str">
        <v/>
      </c>
      <c r="F808" s="140" t="str">
        <f t="shared" si="47"/>
        <v/>
      </c>
    </row>
    <row r="809" spans="1:6" ht="12.4" customHeight="1">
      <c r="A809" s="247" t="s">
        <v>131</v>
      </c>
      <c r="B809" s="243"/>
      <c r="C809" s="137" t="str">
        <v>Sprouts</v>
      </c>
      <c r="D809" s="138">
        <v>10</v>
      </c>
      <c r="E809" s="139" t="str">
        <v/>
      </c>
      <c r="F809" s="140" t="str">
        <f t="shared" si="47"/>
        <v/>
      </c>
    </row>
    <row r="810" spans="1:6" ht="12.4" customHeight="1">
      <c r="A810" s="247"/>
      <c r="B810" s="243"/>
      <c r="C810" s="137" t="str">
        <v>Phonics</v>
      </c>
      <c r="D810" s="138">
        <v>10</v>
      </c>
      <c r="E810" s="139" t="str">
        <v/>
      </c>
      <c r="F810" s="140" t="str">
        <f t="shared" si="47"/>
        <v/>
      </c>
    </row>
    <row r="811" spans="1:6" ht="12.4" customHeight="1">
      <c r="A811" s="247"/>
      <c r="B811" s="243"/>
      <c r="C811" s="137" t="str">
        <v>Math</v>
      </c>
      <c r="D811" s="138">
        <v>10</v>
      </c>
      <c r="E811" s="139" t="str">
        <v/>
      </c>
      <c r="F811" s="140" t="str">
        <f t="shared" si="47"/>
        <v/>
      </c>
    </row>
    <row r="812" spans="1:6" ht="12.4" customHeight="1">
      <c r="A812" s="247"/>
      <c r="B812" s="243"/>
      <c r="C812" s="137" t="str">
        <v>Shape</v>
      </c>
      <c r="D812" s="138">
        <v>10</v>
      </c>
      <c r="E812" s="139" t="str">
        <v/>
      </c>
      <c r="F812" s="140" t="str">
        <f t="shared" si="47"/>
        <v/>
      </c>
    </row>
    <row r="813" spans="1:6" ht="12.4" customHeight="1">
      <c r="A813" s="247"/>
      <c r="B813" s="243"/>
      <c r="C813" s="137" t="str">
        <v>Science</v>
      </c>
      <c r="D813" s="138">
        <v>10</v>
      </c>
      <c r="E813" s="139" t="str">
        <v/>
      </c>
      <c r="F813" s="140" t="str">
        <f t="shared" si="47"/>
        <v/>
      </c>
    </row>
    <row r="814" spans="1:6" ht="12.4" customHeight="1">
      <c r="A814" s="247"/>
      <c r="B814" s="244"/>
      <c r="C814" s="141" t="str">
        <v>Tracing</v>
      </c>
      <c r="D814" s="142">
        <v>10</v>
      </c>
      <c r="E814" s="143" t="str">
        <v/>
      </c>
      <c r="F814" s="144" t="str">
        <f t="shared" si="47"/>
        <v/>
      </c>
    </row>
    <row r="815" spans="1:6" ht="12.4" customHeight="1">
      <c r="A815" s="248"/>
      <c r="B815" s="240" t="s">
        <v>133</v>
      </c>
      <c r="C815" s="241"/>
      <c r="D815" s="103">
        <f>D804*20%+SUM(D805:D814)*80%</f>
        <v>100</v>
      </c>
      <c r="E815" s="110" t="str">
        <v/>
      </c>
      <c r="F815" s="104" t="str">
        <f t="shared" si="47"/>
        <v/>
      </c>
    </row>
    <row r="817" spans="1:7" ht="12.4" customHeight="1">
      <c r="A817" s="230" t="s">
        <v>121</v>
      </c>
      <c r="B817" s="231"/>
      <c r="C817" s="231"/>
      <c r="D817" s="107" t="s">
        <v>123</v>
      </c>
      <c r="E817" s="232" t="str">
        <f>I61</f>
        <v/>
      </c>
      <c r="F817" s="233"/>
      <c r="G817" s="101">
        <v>61</v>
      </c>
    </row>
    <row r="818" spans="1:7" ht="12.4" customHeight="1">
      <c r="A818" s="105" t="s">
        <v>122</v>
      </c>
      <c r="B818" s="234" t="str">
        <f>$K$38</f>
        <v>FEBRUARY - JULY 2026</v>
      </c>
      <c r="C818" s="234"/>
      <c r="D818" s="106" t="s">
        <v>124</v>
      </c>
      <c r="E818" s="235" t="str">
        <f>$I$38</f>
        <v/>
      </c>
      <c r="F818" s="236"/>
    </row>
    <row r="819" spans="1:7" ht="12.4" customHeight="1">
      <c r="A819" s="237" t="s">
        <v>130</v>
      </c>
      <c r="B819" s="238"/>
      <c r="C819" s="238"/>
      <c r="D819" s="238"/>
      <c r="E819" s="238"/>
      <c r="F819" s="239"/>
    </row>
    <row r="820" spans="1:7" ht="12.4" customHeight="1">
      <c r="A820" s="245" t="s">
        <v>14</v>
      </c>
      <c r="B820" s="240" t="s">
        <v>125</v>
      </c>
      <c r="C820" s="241"/>
      <c r="D820" s="102" t="s">
        <v>126</v>
      </c>
      <c r="E820" s="109" t="s">
        <v>127</v>
      </c>
      <c r="F820" s="102" t="s">
        <v>128</v>
      </c>
    </row>
    <row r="821" spans="1:7" ht="12.4" customHeight="1">
      <c r="A821" s="246"/>
      <c r="B821" s="240" t="s">
        <v>129</v>
      </c>
      <c r="C821" s="241"/>
      <c r="D821" s="102">
        <v>100</v>
      </c>
      <c r="E821" s="110" t="str" cm="1">
        <f t="array" ref="E821:E832">TRANSPOSE(K61:V61)</f>
        <v/>
      </c>
      <c r="F821" s="104" t="str">
        <f>IF(E821="","",IF(E821&lt;D821*60%,"Try harder",""))</f>
        <v/>
      </c>
    </row>
    <row r="822" spans="1:7" ht="12.4" customHeight="1">
      <c r="A822" s="246"/>
      <c r="B822" s="242" t="s">
        <v>132</v>
      </c>
      <c r="C822" s="133" t="str" cm="1">
        <f t="array" ref="C822:C831">TRANSPOSE($L$41:$U$41)</f>
        <v>Up-Low C</v>
      </c>
      <c r="D822" s="134">
        <v>10</v>
      </c>
      <c r="E822" s="135" t="str">
        <v/>
      </c>
      <c r="F822" s="136" t="str">
        <f t="shared" ref="F822:F832" si="48">IF(E822="","",IF(E822&lt;D822*60%,"Try harder",""))</f>
        <v/>
      </c>
    </row>
    <row r="823" spans="1:7" ht="12.4" customHeight="1">
      <c r="A823" s="246"/>
      <c r="B823" s="243"/>
      <c r="C823" s="137" t="str">
        <v>Alphabet N</v>
      </c>
      <c r="D823" s="138">
        <v>10</v>
      </c>
      <c r="E823" s="139" t="str">
        <v/>
      </c>
      <c r="F823" s="140" t="str">
        <f t="shared" si="48"/>
        <v/>
      </c>
    </row>
    <row r="824" spans="1:7" ht="12.4" customHeight="1">
      <c r="A824" s="246"/>
      <c r="B824" s="243"/>
      <c r="C824" s="137" t="str">
        <v>Alphabet S</v>
      </c>
      <c r="D824" s="138">
        <v>10</v>
      </c>
      <c r="E824" s="139" t="str">
        <v/>
      </c>
      <c r="F824" s="140" t="str">
        <f t="shared" si="48"/>
        <v/>
      </c>
    </row>
    <row r="825" spans="1:7" ht="12.4" customHeight="1">
      <c r="A825" s="246"/>
      <c r="B825" s="243"/>
      <c r="C825" s="137" t="str">
        <v>Vocabulary</v>
      </c>
      <c r="D825" s="138">
        <v>10</v>
      </c>
      <c r="E825" s="139" t="str">
        <v/>
      </c>
      <c r="F825" s="140" t="str">
        <f t="shared" si="48"/>
        <v/>
      </c>
    </row>
    <row r="826" spans="1:7" ht="12.4" customHeight="1">
      <c r="A826" s="247" t="s">
        <v>131</v>
      </c>
      <c r="B826" s="243"/>
      <c r="C826" s="137" t="str">
        <v>Sprouts</v>
      </c>
      <c r="D826" s="138">
        <v>10</v>
      </c>
      <c r="E826" s="139" t="str">
        <v/>
      </c>
      <c r="F826" s="140" t="str">
        <f t="shared" si="48"/>
        <v/>
      </c>
    </row>
    <row r="827" spans="1:7" ht="12.4" customHeight="1">
      <c r="A827" s="247"/>
      <c r="B827" s="243"/>
      <c r="C827" s="137" t="str">
        <v>Phonics</v>
      </c>
      <c r="D827" s="138">
        <v>10</v>
      </c>
      <c r="E827" s="139" t="str">
        <v/>
      </c>
      <c r="F827" s="140" t="str">
        <f t="shared" si="48"/>
        <v/>
      </c>
    </row>
    <row r="828" spans="1:7" ht="12.4" customHeight="1">
      <c r="A828" s="247"/>
      <c r="B828" s="243"/>
      <c r="C828" s="137" t="str">
        <v>Math</v>
      </c>
      <c r="D828" s="138">
        <v>10</v>
      </c>
      <c r="E828" s="139" t="str">
        <v/>
      </c>
      <c r="F828" s="140" t="str">
        <f t="shared" si="48"/>
        <v/>
      </c>
    </row>
    <row r="829" spans="1:7" ht="12.4" customHeight="1">
      <c r="A829" s="247"/>
      <c r="B829" s="243"/>
      <c r="C829" s="137" t="str">
        <v>Shape</v>
      </c>
      <c r="D829" s="138">
        <v>10</v>
      </c>
      <c r="E829" s="139" t="str">
        <v/>
      </c>
      <c r="F829" s="140" t="str">
        <f t="shared" si="48"/>
        <v/>
      </c>
    </row>
    <row r="830" spans="1:7" ht="12.4" customHeight="1">
      <c r="A830" s="247"/>
      <c r="B830" s="243"/>
      <c r="C830" s="137" t="str">
        <v>Science</v>
      </c>
      <c r="D830" s="138">
        <v>10</v>
      </c>
      <c r="E830" s="139" t="str">
        <v/>
      </c>
      <c r="F830" s="140" t="str">
        <f t="shared" si="48"/>
        <v/>
      </c>
    </row>
    <row r="831" spans="1:7" ht="12.4" customHeight="1">
      <c r="A831" s="247"/>
      <c r="B831" s="244"/>
      <c r="C831" s="141" t="str">
        <v>Tracing</v>
      </c>
      <c r="D831" s="142">
        <v>10</v>
      </c>
      <c r="E831" s="143" t="str">
        <v/>
      </c>
      <c r="F831" s="144" t="str">
        <f t="shared" si="48"/>
        <v/>
      </c>
    </row>
    <row r="832" spans="1:7" ht="12.4" customHeight="1">
      <c r="A832" s="248"/>
      <c r="B832" s="240" t="s">
        <v>133</v>
      </c>
      <c r="C832" s="241"/>
      <c r="D832" s="103">
        <f>D821*20%+SUM(D822:D831)*80%</f>
        <v>100</v>
      </c>
      <c r="E832" s="110" t="str">
        <v/>
      </c>
      <c r="F832" s="104" t="str">
        <f t="shared" si="48"/>
        <v/>
      </c>
    </row>
    <row r="834" spans="1:7" ht="12.4" customHeight="1">
      <c r="A834" s="230" t="s">
        <v>121</v>
      </c>
      <c r="B834" s="231"/>
      <c r="C834" s="231"/>
      <c r="D834" s="107" t="s">
        <v>123</v>
      </c>
      <c r="E834" s="232" t="str">
        <f>I62</f>
        <v/>
      </c>
      <c r="F834" s="233"/>
      <c r="G834" s="101">
        <v>62</v>
      </c>
    </row>
    <row r="835" spans="1:7" ht="12.4" customHeight="1">
      <c r="A835" s="105" t="s">
        <v>122</v>
      </c>
      <c r="B835" s="234" t="str">
        <f>$K$38</f>
        <v>FEBRUARY - JULY 2026</v>
      </c>
      <c r="C835" s="234"/>
      <c r="D835" s="106" t="s">
        <v>124</v>
      </c>
      <c r="E835" s="235" t="str">
        <f>$I$38</f>
        <v/>
      </c>
      <c r="F835" s="236"/>
    </row>
    <row r="836" spans="1:7" ht="12.4" customHeight="1">
      <c r="A836" s="237" t="s">
        <v>130</v>
      </c>
      <c r="B836" s="238"/>
      <c r="C836" s="238"/>
      <c r="D836" s="238"/>
      <c r="E836" s="238"/>
      <c r="F836" s="239"/>
    </row>
    <row r="837" spans="1:7" ht="12.4" customHeight="1">
      <c r="A837" s="245" t="s">
        <v>14</v>
      </c>
      <c r="B837" s="240" t="s">
        <v>125</v>
      </c>
      <c r="C837" s="241"/>
      <c r="D837" s="102" t="s">
        <v>126</v>
      </c>
      <c r="E837" s="109" t="s">
        <v>127</v>
      </c>
      <c r="F837" s="102" t="s">
        <v>128</v>
      </c>
    </row>
    <row r="838" spans="1:7" ht="12.4" customHeight="1">
      <c r="A838" s="246"/>
      <c r="B838" s="240" t="s">
        <v>129</v>
      </c>
      <c r="C838" s="241"/>
      <c r="D838" s="102">
        <v>100</v>
      </c>
      <c r="E838" s="110" t="str" cm="1">
        <f t="array" ref="E838:E849">TRANSPOSE(K62:V62)</f>
        <v/>
      </c>
      <c r="F838" s="104" t="str">
        <f>IF(E838="","",IF(E838&lt;D838*60%,"Try harder",""))</f>
        <v/>
      </c>
    </row>
    <row r="839" spans="1:7" ht="12.4" customHeight="1">
      <c r="A839" s="246"/>
      <c r="B839" s="242" t="s">
        <v>132</v>
      </c>
      <c r="C839" s="133" t="str" cm="1">
        <f t="array" ref="C839:C848">TRANSPOSE($L$41:$U$41)</f>
        <v>Up-Low C</v>
      </c>
      <c r="D839" s="134">
        <v>10</v>
      </c>
      <c r="E839" s="135" t="str">
        <v/>
      </c>
      <c r="F839" s="136" t="str">
        <f t="shared" ref="F839:F849" si="49">IF(E839="","",IF(E839&lt;D839*60%,"Try harder",""))</f>
        <v/>
      </c>
    </row>
    <row r="840" spans="1:7" ht="12.4" customHeight="1">
      <c r="A840" s="246"/>
      <c r="B840" s="243"/>
      <c r="C840" s="137" t="str">
        <v>Alphabet N</v>
      </c>
      <c r="D840" s="138">
        <v>10</v>
      </c>
      <c r="E840" s="139" t="str">
        <v/>
      </c>
      <c r="F840" s="140" t="str">
        <f t="shared" si="49"/>
        <v/>
      </c>
    </row>
    <row r="841" spans="1:7" ht="12.4" customHeight="1">
      <c r="A841" s="246"/>
      <c r="B841" s="243"/>
      <c r="C841" s="137" t="str">
        <v>Alphabet S</v>
      </c>
      <c r="D841" s="138">
        <v>10</v>
      </c>
      <c r="E841" s="139" t="str">
        <v/>
      </c>
      <c r="F841" s="140" t="str">
        <f t="shared" si="49"/>
        <v/>
      </c>
    </row>
    <row r="842" spans="1:7" ht="12.4" customHeight="1">
      <c r="A842" s="246"/>
      <c r="B842" s="243"/>
      <c r="C842" s="137" t="str">
        <v>Vocabulary</v>
      </c>
      <c r="D842" s="138">
        <v>10</v>
      </c>
      <c r="E842" s="139" t="str">
        <v/>
      </c>
      <c r="F842" s="140" t="str">
        <f t="shared" si="49"/>
        <v/>
      </c>
    </row>
    <row r="843" spans="1:7" ht="12.4" customHeight="1">
      <c r="A843" s="247" t="s">
        <v>131</v>
      </c>
      <c r="B843" s="243"/>
      <c r="C843" s="137" t="str">
        <v>Sprouts</v>
      </c>
      <c r="D843" s="138">
        <v>10</v>
      </c>
      <c r="E843" s="139" t="str">
        <v/>
      </c>
      <c r="F843" s="140" t="str">
        <f t="shared" si="49"/>
        <v/>
      </c>
    </row>
    <row r="844" spans="1:7" ht="12.4" customHeight="1">
      <c r="A844" s="247"/>
      <c r="B844" s="243"/>
      <c r="C844" s="137" t="str">
        <v>Phonics</v>
      </c>
      <c r="D844" s="138">
        <v>10</v>
      </c>
      <c r="E844" s="139" t="str">
        <v/>
      </c>
      <c r="F844" s="140" t="str">
        <f t="shared" si="49"/>
        <v/>
      </c>
    </row>
    <row r="845" spans="1:7" ht="12.4" customHeight="1">
      <c r="A845" s="247"/>
      <c r="B845" s="243"/>
      <c r="C845" s="137" t="str">
        <v>Math</v>
      </c>
      <c r="D845" s="138">
        <v>10</v>
      </c>
      <c r="E845" s="139" t="str">
        <v/>
      </c>
      <c r="F845" s="140" t="str">
        <f t="shared" si="49"/>
        <v/>
      </c>
    </row>
    <row r="846" spans="1:7" ht="12.4" customHeight="1">
      <c r="A846" s="247"/>
      <c r="B846" s="243"/>
      <c r="C846" s="137" t="str">
        <v>Shape</v>
      </c>
      <c r="D846" s="138">
        <v>10</v>
      </c>
      <c r="E846" s="139" t="str">
        <v/>
      </c>
      <c r="F846" s="140" t="str">
        <f t="shared" si="49"/>
        <v/>
      </c>
    </row>
    <row r="847" spans="1:7" ht="12.4" customHeight="1">
      <c r="A847" s="247"/>
      <c r="B847" s="243"/>
      <c r="C847" s="137" t="str">
        <v>Science</v>
      </c>
      <c r="D847" s="138">
        <v>10</v>
      </c>
      <c r="E847" s="139" t="str">
        <v/>
      </c>
      <c r="F847" s="140" t="str">
        <f t="shared" si="49"/>
        <v/>
      </c>
    </row>
    <row r="848" spans="1:7" ht="12.4" customHeight="1">
      <c r="A848" s="247"/>
      <c r="B848" s="244"/>
      <c r="C848" s="141" t="str">
        <v>Tracing</v>
      </c>
      <c r="D848" s="142">
        <v>10</v>
      </c>
      <c r="E848" s="143" t="str">
        <v/>
      </c>
      <c r="F848" s="144" t="str">
        <f t="shared" si="49"/>
        <v/>
      </c>
    </row>
    <row r="849" spans="1:7" ht="12.4" customHeight="1">
      <c r="A849" s="248"/>
      <c r="B849" s="240" t="s">
        <v>133</v>
      </c>
      <c r="C849" s="241"/>
      <c r="D849" s="103">
        <f>D838*20%+SUM(D839:D848)*80%</f>
        <v>100</v>
      </c>
      <c r="E849" s="110" t="str">
        <v/>
      </c>
      <c r="F849" s="104" t="str">
        <f t="shared" si="49"/>
        <v/>
      </c>
    </row>
    <row r="851" spans="1:7" ht="12.4" customHeight="1">
      <c r="A851" s="230" t="s">
        <v>121</v>
      </c>
      <c r="B851" s="231"/>
      <c r="C851" s="231"/>
      <c r="D851" s="107" t="s">
        <v>123</v>
      </c>
      <c r="E851" s="232" t="str">
        <f>I63</f>
        <v/>
      </c>
      <c r="F851" s="233"/>
      <c r="G851" s="101">
        <v>63</v>
      </c>
    </row>
    <row r="852" spans="1:7" ht="12.4" customHeight="1">
      <c r="A852" s="105" t="s">
        <v>122</v>
      </c>
      <c r="B852" s="234" t="str">
        <f>$K$38</f>
        <v>FEBRUARY - JULY 2026</v>
      </c>
      <c r="C852" s="234"/>
      <c r="D852" s="106" t="s">
        <v>124</v>
      </c>
      <c r="E852" s="235" t="str">
        <f>$I$38</f>
        <v/>
      </c>
      <c r="F852" s="236"/>
    </row>
    <row r="853" spans="1:7" ht="12.4" customHeight="1">
      <c r="A853" s="237" t="s">
        <v>130</v>
      </c>
      <c r="B853" s="238"/>
      <c r="C853" s="238"/>
      <c r="D853" s="238"/>
      <c r="E853" s="238"/>
      <c r="F853" s="239"/>
    </row>
    <row r="854" spans="1:7" ht="12.4" customHeight="1">
      <c r="A854" s="245" t="s">
        <v>14</v>
      </c>
      <c r="B854" s="240" t="s">
        <v>125</v>
      </c>
      <c r="C854" s="241"/>
      <c r="D854" s="102" t="s">
        <v>126</v>
      </c>
      <c r="E854" s="109" t="s">
        <v>127</v>
      </c>
      <c r="F854" s="102" t="s">
        <v>128</v>
      </c>
    </row>
    <row r="855" spans="1:7" ht="12.4" customHeight="1">
      <c r="A855" s="246"/>
      <c r="B855" s="240" t="s">
        <v>129</v>
      </c>
      <c r="C855" s="241"/>
      <c r="D855" s="102">
        <v>100</v>
      </c>
      <c r="E855" s="110" t="str" cm="1">
        <f t="array" ref="E855:E866">TRANSPOSE(K63:V63)</f>
        <v/>
      </c>
      <c r="F855" s="104" t="str">
        <f>IF(E855="","",IF(E855&lt;D855*60%,"Try harder",""))</f>
        <v/>
      </c>
    </row>
    <row r="856" spans="1:7" ht="12.4" customHeight="1">
      <c r="A856" s="246"/>
      <c r="B856" s="242" t="s">
        <v>132</v>
      </c>
      <c r="C856" s="133" t="str" cm="1">
        <f t="array" ref="C856:C865">TRANSPOSE($L$41:$U$41)</f>
        <v>Up-Low C</v>
      </c>
      <c r="D856" s="134">
        <v>10</v>
      </c>
      <c r="E856" s="135" t="str">
        <v/>
      </c>
      <c r="F856" s="136" t="str">
        <f t="shared" ref="F856:F866" si="50">IF(E856="","",IF(E856&lt;D856*60%,"Try harder",""))</f>
        <v/>
      </c>
    </row>
    <row r="857" spans="1:7" ht="12.4" customHeight="1">
      <c r="A857" s="246"/>
      <c r="B857" s="243"/>
      <c r="C857" s="137" t="str">
        <v>Alphabet N</v>
      </c>
      <c r="D857" s="138">
        <v>10</v>
      </c>
      <c r="E857" s="139" t="str">
        <v/>
      </c>
      <c r="F857" s="140" t="str">
        <f t="shared" si="50"/>
        <v/>
      </c>
    </row>
    <row r="858" spans="1:7" ht="12.4" customHeight="1">
      <c r="A858" s="246"/>
      <c r="B858" s="243"/>
      <c r="C858" s="137" t="str">
        <v>Alphabet S</v>
      </c>
      <c r="D858" s="138">
        <v>10</v>
      </c>
      <c r="E858" s="139" t="str">
        <v/>
      </c>
      <c r="F858" s="140" t="str">
        <f t="shared" si="50"/>
        <v/>
      </c>
    </row>
    <row r="859" spans="1:7" ht="12.4" customHeight="1">
      <c r="A859" s="246"/>
      <c r="B859" s="243"/>
      <c r="C859" s="137" t="str">
        <v>Vocabulary</v>
      </c>
      <c r="D859" s="138">
        <v>10</v>
      </c>
      <c r="E859" s="139" t="str">
        <v/>
      </c>
      <c r="F859" s="140" t="str">
        <f t="shared" si="50"/>
        <v/>
      </c>
    </row>
    <row r="860" spans="1:7" ht="12.4" customHeight="1">
      <c r="A860" s="247" t="s">
        <v>131</v>
      </c>
      <c r="B860" s="243"/>
      <c r="C860" s="137" t="str">
        <v>Sprouts</v>
      </c>
      <c r="D860" s="138">
        <v>10</v>
      </c>
      <c r="E860" s="139" t="str">
        <v/>
      </c>
      <c r="F860" s="140" t="str">
        <f t="shared" si="50"/>
        <v/>
      </c>
    </row>
    <row r="861" spans="1:7" ht="12.4" customHeight="1">
      <c r="A861" s="247"/>
      <c r="B861" s="243"/>
      <c r="C861" s="137" t="str">
        <v>Phonics</v>
      </c>
      <c r="D861" s="138">
        <v>10</v>
      </c>
      <c r="E861" s="139" t="str">
        <v/>
      </c>
      <c r="F861" s="140" t="str">
        <f t="shared" si="50"/>
        <v/>
      </c>
    </row>
    <row r="862" spans="1:7" ht="12.4" customHeight="1">
      <c r="A862" s="247"/>
      <c r="B862" s="243"/>
      <c r="C862" s="137" t="str">
        <v>Math</v>
      </c>
      <c r="D862" s="138">
        <v>10</v>
      </c>
      <c r="E862" s="139" t="str">
        <v/>
      </c>
      <c r="F862" s="140" t="str">
        <f t="shared" si="50"/>
        <v/>
      </c>
    </row>
    <row r="863" spans="1:7" ht="12.4" customHeight="1">
      <c r="A863" s="247"/>
      <c r="B863" s="243"/>
      <c r="C863" s="137" t="str">
        <v>Shape</v>
      </c>
      <c r="D863" s="138">
        <v>10</v>
      </c>
      <c r="E863" s="139" t="str">
        <v/>
      </c>
      <c r="F863" s="140" t="str">
        <f t="shared" si="50"/>
        <v/>
      </c>
    </row>
    <row r="864" spans="1:7" ht="12.4" customHeight="1">
      <c r="A864" s="247"/>
      <c r="B864" s="243"/>
      <c r="C864" s="137" t="str">
        <v>Science</v>
      </c>
      <c r="D864" s="138">
        <v>10</v>
      </c>
      <c r="E864" s="139" t="str">
        <v/>
      </c>
      <c r="F864" s="140" t="str">
        <f t="shared" si="50"/>
        <v/>
      </c>
    </row>
    <row r="865" spans="1:7" ht="12.4" customHeight="1">
      <c r="A865" s="247"/>
      <c r="B865" s="244"/>
      <c r="C865" s="141" t="str">
        <v>Tracing</v>
      </c>
      <c r="D865" s="142">
        <v>10</v>
      </c>
      <c r="E865" s="143" t="str">
        <v/>
      </c>
      <c r="F865" s="144" t="str">
        <f t="shared" si="50"/>
        <v/>
      </c>
    </row>
    <row r="866" spans="1:7" ht="12.4" customHeight="1">
      <c r="A866" s="248"/>
      <c r="B866" s="240" t="s">
        <v>133</v>
      </c>
      <c r="C866" s="241"/>
      <c r="D866" s="103">
        <f>D855*20%+SUM(D856:D865)*80%</f>
        <v>100</v>
      </c>
      <c r="E866" s="110" t="str">
        <v/>
      </c>
      <c r="F866" s="104" t="str">
        <f t="shared" si="50"/>
        <v/>
      </c>
    </row>
    <row r="868" spans="1:7" ht="12.4" customHeight="1">
      <c r="A868" s="230" t="s">
        <v>121</v>
      </c>
      <c r="B868" s="231"/>
      <c r="C868" s="231"/>
      <c r="D868" s="107" t="s">
        <v>123</v>
      </c>
      <c r="E868" s="232" t="str">
        <f>I64</f>
        <v/>
      </c>
      <c r="F868" s="233"/>
      <c r="G868" s="101">
        <v>64</v>
      </c>
    </row>
    <row r="869" spans="1:7" ht="12.4" customHeight="1">
      <c r="A869" s="105" t="s">
        <v>122</v>
      </c>
      <c r="B869" s="234" t="str">
        <f>$K$38</f>
        <v>FEBRUARY - JULY 2026</v>
      </c>
      <c r="C869" s="234"/>
      <c r="D869" s="106" t="s">
        <v>124</v>
      </c>
      <c r="E869" s="235" t="str">
        <f>$I$38</f>
        <v/>
      </c>
      <c r="F869" s="236"/>
    </row>
    <row r="870" spans="1:7" ht="12.4" customHeight="1">
      <c r="A870" s="237" t="s">
        <v>130</v>
      </c>
      <c r="B870" s="238"/>
      <c r="C870" s="238"/>
      <c r="D870" s="238"/>
      <c r="E870" s="238"/>
      <c r="F870" s="239"/>
    </row>
    <row r="871" spans="1:7" ht="12.4" customHeight="1">
      <c r="A871" s="245" t="s">
        <v>14</v>
      </c>
      <c r="B871" s="240" t="s">
        <v>125</v>
      </c>
      <c r="C871" s="241"/>
      <c r="D871" s="102" t="s">
        <v>126</v>
      </c>
      <c r="E871" s="109" t="s">
        <v>127</v>
      </c>
      <c r="F871" s="102" t="s">
        <v>128</v>
      </c>
    </row>
    <row r="872" spans="1:7" ht="12.4" customHeight="1">
      <c r="A872" s="246"/>
      <c r="B872" s="240" t="s">
        <v>129</v>
      </c>
      <c r="C872" s="241"/>
      <c r="D872" s="102">
        <v>100</v>
      </c>
      <c r="E872" s="110" t="str" cm="1">
        <f t="array" ref="E872:E883">TRANSPOSE(K64:V64)</f>
        <v/>
      </c>
      <c r="F872" s="104" t="str">
        <f>IF(E872="","",IF(E872&lt;D872*60%,"Try harder",""))</f>
        <v/>
      </c>
    </row>
    <row r="873" spans="1:7" ht="12.4" customHeight="1">
      <c r="A873" s="246"/>
      <c r="B873" s="242" t="s">
        <v>132</v>
      </c>
      <c r="C873" s="133" t="str" cm="1">
        <f t="array" ref="C873:C882">TRANSPOSE($L$41:$U$41)</f>
        <v>Up-Low C</v>
      </c>
      <c r="D873" s="134">
        <v>10</v>
      </c>
      <c r="E873" s="135" t="str">
        <v/>
      </c>
      <c r="F873" s="136" t="str">
        <f t="shared" ref="F873:F883" si="51">IF(E873="","",IF(E873&lt;D873*60%,"Try harder",""))</f>
        <v/>
      </c>
    </row>
    <row r="874" spans="1:7" ht="12.4" customHeight="1">
      <c r="A874" s="246"/>
      <c r="B874" s="243"/>
      <c r="C874" s="137" t="str">
        <v>Alphabet N</v>
      </c>
      <c r="D874" s="138">
        <v>10</v>
      </c>
      <c r="E874" s="139" t="str">
        <v/>
      </c>
      <c r="F874" s="140" t="str">
        <f t="shared" si="51"/>
        <v/>
      </c>
    </row>
    <row r="875" spans="1:7" ht="12.4" customHeight="1">
      <c r="A875" s="246"/>
      <c r="B875" s="243"/>
      <c r="C875" s="137" t="str">
        <v>Alphabet S</v>
      </c>
      <c r="D875" s="138">
        <v>10</v>
      </c>
      <c r="E875" s="139" t="str">
        <v/>
      </c>
      <c r="F875" s="140" t="str">
        <f t="shared" si="51"/>
        <v/>
      </c>
    </row>
    <row r="876" spans="1:7" ht="12.4" customHeight="1">
      <c r="A876" s="246"/>
      <c r="B876" s="243"/>
      <c r="C876" s="137" t="str">
        <v>Vocabulary</v>
      </c>
      <c r="D876" s="138">
        <v>10</v>
      </c>
      <c r="E876" s="139" t="str">
        <v/>
      </c>
      <c r="F876" s="140" t="str">
        <f t="shared" si="51"/>
        <v/>
      </c>
    </row>
    <row r="877" spans="1:7" ht="12.4" customHeight="1">
      <c r="A877" s="247" t="s">
        <v>131</v>
      </c>
      <c r="B877" s="243"/>
      <c r="C877" s="137" t="str">
        <v>Sprouts</v>
      </c>
      <c r="D877" s="138">
        <v>10</v>
      </c>
      <c r="E877" s="139" t="str">
        <v/>
      </c>
      <c r="F877" s="140" t="str">
        <f t="shared" si="51"/>
        <v/>
      </c>
    </row>
    <row r="878" spans="1:7" ht="12.4" customHeight="1">
      <c r="A878" s="247"/>
      <c r="B878" s="243"/>
      <c r="C878" s="137" t="str">
        <v>Phonics</v>
      </c>
      <c r="D878" s="138">
        <v>10</v>
      </c>
      <c r="E878" s="139" t="str">
        <v/>
      </c>
      <c r="F878" s="140" t="str">
        <f t="shared" si="51"/>
        <v/>
      </c>
    </row>
    <row r="879" spans="1:7" ht="12.4" customHeight="1">
      <c r="A879" s="247"/>
      <c r="B879" s="243"/>
      <c r="C879" s="137" t="str">
        <v>Math</v>
      </c>
      <c r="D879" s="138">
        <v>10</v>
      </c>
      <c r="E879" s="139" t="str">
        <v/>
      </c>
      <c r="F879" s="140" t="str">
        <f t="shared" si="51"/>
        <v/>
      </c>
    </row>
    <row r="880" spans="1:7" ht="12.4" customHeight="1">
      <c r="A880" s="247"/>
      <c r="B880" s="243"/>
      <c r="C880" s="137" t="str">
        <v>Shape</v>
      </c>
      <c r="D880" s="138">
        <v>10</v>
      </c>
      <c r="E880" s="139" t="str">
        <v/>
      </c>
      <c r="F880" s="140" t="str">
        <f t="shared" si="51"/>
        <v/>
      </c>
    </row>
    <row r="881" spans="1:7" ht="12.4" customHeight="1">
      <c r="A881" s="247"/>
      <c r="B881" s="243"/>
      <c r="C881" s="137" t="str">
        <v>Science</v>
      </c>
      <c r="D881" s="138">
        <v>10</v>
      </c>
      <c r="E881" s="139" t="str">
        <v/>
      </c>
      <c r="F881" s="140" t="str">
        <f t="shared" si="51"/>
        <v/>
      </c>
    </row>
    <row r="882" spans="1:7" ht="12.4" customHeight="1">
      <c r="A882" s="247"/>
      <c r="B882" s="244"/>
      <c r="C882" s="141" t="str">
        <v>Tracing</v>
      </c>
      <c r="D882" s="142">
        <v>10</v>
      </c>
      <c r="E882" s="143" t="str">
        <v/>
      </c>
      <c r="F882" s="144" t="str">
        <f t="shared" si="51"/>
        <v/>
      </c>
    </row>
    <row r="883" spans="1:7" ht="12.4" customHeight="1">
      <c r="A883" s="248"/>
      <c r="B883" s="240" t="s">
        <v>133</v>
      </c>
      <c r="C883" s="241"/>
      <c r="D883" s="103">
        <f>D872*20%+SUM(D873:D882)*80%</f>
        <v>100</v>
      </c>
      <c r="E883" s="110" t="str">
        <v/>
      </c>
      <c r="F883" s="104" t="str">
        <f t="shared" si="51"/>
        <v/>
      </c>
    </row>
    <row r="885" spans="1:7" ht="12.4" customHeight="1">
      <c r="A885" s="230" t="s">
        <v>121</v>
      </c>
      <c r="B885" s="231"/>
      <c r="C885" s="231"/>
      <c r="D885" s="107" t="s">
        <v>123</v>
      </c>
      <c r="E885" s="232" t="str">
        <f>I65</f>
        <v/>
      </c>
      <c r="F885" s="233"/>
      <c r="G885" s="101">
        <v>65</v>
      </c>
    </row>
    <row r="886" spans="1:7" ht="12.4" customHeight="1">
      <c r="A886" s="105" t="s">
        <v>122</v>
      </c>
      <c r="B886" s="234" t="str">
        <f>$K$38</f>
        <v>FEBRUARY - JULY 2026</v>
      </c>
      <c r="C886" s="234"/>
      <c r="D886" s="106" t="s">
        <v>124</v>
      </c>
      <c r="E886" s="235" t="str">
        <f>$I$38</f>
        <v/>
      </c>
      <c r="F886" s="236"/>
    </row>
    <row r="887" spans="1:7" ht="12.4" customHeight="1">
      <c r="A887" s="237" t="s">
        <v>130</v>
      </c>
      <c r="B887" s="238"/>
      <c r="C887" s="238"/>
      <c r="D887" s="238"/>
      <c r="E887" s="238"/>
      <c r="F887" s="239"/>
    </row>
    <row r="888" spans="1:7" ht="12.4" customHeight="1">
      <c r="A888" s="245" t="s">
        <v>14</v>
      </c>
      <c r="B888" s="240" t="s">
        <v>125</v>
      </c>
      <c r="C888" s="241"/>
      <c r="D888" s="102" t="s">
        <v>126</v>
      </c>
      <c r="E888" s="109" t="s">
        <v>127</v>
      </c>
      <c r="F888" s="102" t="s">
        <v>128</v>
      </c>
    </row>
    <row r="889" spans="1:7" ht="12.4" customHeight="1">
      <c r="A889" s="246"/>
      <c r="B889" s="240" t="s">
        <v>129</v>
      </c>
      <c r="C889" s="241"/>
      <c r="D889" s="102">
        <v>100</v>
      </c>
      <c r="E889" s="110" t="str" cm="1">
        <f t="array" ref="E889:E900">TRANSPOSE(K65:V65)</f>
        <v/>
      </c>
      <c r="F889" s="104" t="str">
        <f>IF(E889="","",IF(E889&lt;D889*60%,"Try harder",""))</f>
        <v/>
      </c>
    </row>
    <row r="890" spans="1:7" ht="12.4" customHeight="1">
      <c r="A890" s="246"/>
      <c r="B890" s="242" t="s">
        <v>132</v>
      </c>
      <c r="C890" s="133" t="str" cm="1">
        <f t="array" ref="C890:C899">TRANSPOSE($L$41:$U$41)</f>
        <v>Up-Low C</v>
      </c>
      <c r="D890" s="134">
        <v>10</v>
      </c>
      <c r="E890" s="135" t="str">
        <v/>
      </c>
      <c r="F890" s="136" t="str">
        <f t="shared" ref="F890:F900" si="52">IF(E890="","",IF(E890&lt;D890*60%,"Try harder",""))</f>
        <v/>
      </c>
    </row>
    <row r="891" spans="1:7" ht="12.4" customHeight="1">
      <c r="A891" s="246"/>
      <c r="B891" s="243"/>
      <c r="C891" s="137" t="str">
        <v>Alphabet N</v>
      </c>
      <c r="D891" s="138">
        <v>10</v>
      </c>
      <c r="E891" s="139" t="str">
        <v/>
      </c>
      <c r="F891" s="140" t="str">
        <f t="shared" si="52"/>
        <v/>
      </c>
    </row>
    <row r="892" spans="1:7" ht="12.4" customHeight="1">
      <c r="A892" s="246"/>
      <c r="B892" s="243"/>
      <c r="C892" s="137" t="str">
        <v>Alphabet S</v>
      </c>
      <c r="D892" s="138">
        <v>10</v>
      </c>
      <c r="E892" s="139" t="str">
        <v/>
      </c>
      <c r="F892" s="140" t="str">
        <f t="shared" si="52"/>
        <v/>
      </c>
    </row>
    <row r="893" spans="1:7" ht="12.4" customHeight="1">
      <c r="A893" s="246"/>
      <c r="B893" s="243"/>
      <c r="C893" s="137" t="str">
        <v>Vocabulary</v>
      </c>
      <c r="D893" s="138">
        <v>10</v>
      </c>
      <c r="E893" s="139" t="str">
        <v/>
      </c>
      <c r="F893" s="140" t="str">
        <f t="shared" si="52"/>
        <v/>
      </c>
    </row>
    <row r="894" spans="1:7" ht="12.4" customHeight="1">
      <c r="A894" s="247" t="s">
        <v>131</v>
      </c>
      <c r="B894" s="243"/>
      <c r="C894" s="137" t="str">
        <v>Sprouts</v>
      </c>
      <c r="D894" s="138">
        <v>10</v>
      </c>
      <c r="E894" s="139" t="str">
        <v/>
      </c>
      <c r="F894" s="140" t="str">
        <f t="shared" si="52"/>
        <v/>
      </c>
    </row>
    <row r="895" spans="1:7" ht="12.4" customHeight="1">
      <c r="A895" s="247"/>
      <c r="B895" s="243"/>
      <c r="C895" s="137" t="str">
        <v>Phonics</v>
      </c>
      <c r="D895" s="138">
        <v>10</v>
      </c>
      <c r="E895" s="139" t="str">
        <v/>
      </c>
      <c r="F895" s="140" t="str">
        <f t="shared" si="52"/>
        <v/>
      </c>
    </row>
    <row r="896" spans="1:7" ht="12.4" customHeight="1">
      <c r="A896" s="247"/>
      <c r="B896" s="243"/>
      <c r="C896" s="137" t="str">
        <v>Math</v>
      </c>
      <c r="D896" s="138">
        <v>10</v>
      </c>
      <c r="E896" s="139" t="str">
        <v/>
      </c>
      <c r="F896" s="140" t="str">
        <f t="shared" si="52"/>
        <v/>
      </c>
    </row>
    <row r="897" spans="1:7" ht="12.4" customHeight="1">
      <c r="A897" s="247"/>
      <c r="B897" s="243"/>
      <c r="C897" s="137" t="str">
        <v>Shape</v>
      </c>
      <c r="D897" s="138">
        <v>10</v>
      </c>
      <c r="E897" s="139" t="str">
        <v/>
      </c>
      <c r="F897" s="140" t="str">
        <f t="shared" si="52"/>
        <v/>
      </c>
    </row>
    <row r="898" spans="1:7" ht="12.4" customHeight="1">
      <c r="A898" s="247"/>
      <c r="B898" s="243"/>
      <c r="C898" s="137" t="str">
        <v>Science</v>
      </c>
      <c r="D898" s="138">
        <v>10</v>
      </c>
      <c r="E898" s="139" t="str">
        <v/>
      </c>
      <c r="F898" s="140" t="str">
        <f t="shared" si="52"/>
        <v/>
      </c>
    </row>
    <row r="899" spans="1:7" ht="12.4" customHeight="1">
      <c r="A899" s="247"/>
      <c r="B899" s="244"/>
      <c r="C899" s="141" t="str">
        <v>Tracing</v>
      </c>
      <c r="D899" s="142">
        <v>10</v>
      </c>
      <c r="E899" s="143" t="str">
        <v/>
      </c>
      <c r="F899" s="144" t="str">
        <f t="shared" si="52"/>
        <v/>
      </c>
    </row>
    <row r="900" spans="1:7" ht="12.4" customHeight="1">
      <c r="A900" s="248"/>
      <c r="B900" s="240" t="s">
        <v>133</v>
      </c>
      <c r="C900" s="241"/>
      <c r="D900" s="103">
        <f>D889*20%+SUM(D890:D899)*80%</f>
        <v>100</v>
      </c>
      <c r="E900" s="110" t="str">
        <v/>
      </c>
      <c r="F900" s="104" t="str">
        <f t="shared" si="52"/>
        <v/>
      </c>
    </row>
    <row r="902" spans="1:7" ht="12.4" customHeight="1">
      <c r="A902" s="230" t="s">
        <v>121</v>
      </c>
      <c r="B902" s="231"/>
      <c r="C902" s="231"/>
      <c r="D902" s="107" t="s">
        <v>123</v>
      </c>
      <c r="E902" s="232" t="str">
        <f>I66</f>
        <v/>
      </c>
      <c r="F902" s="233"/>
      <c r="G902" s="101">
        <v>66</v>
      </c>
    </row>
    <row r="903" spans="1:7" ht="12.4" customHeight="1">
      <c r="A903" s="105" t="s">
        <v>122</v>
      </c>
      <c r="B903" s="234" t="str">
        <f>$K$38</f>
        <v>FEBRUARY - JULY 2026</v>
      </c>
      <c r="C903" s="234"/>
      <c r="D903" s="106" t="s">
        <v>124</v>
      </c>
      <c r="E903" s="235" t="str">
        <f>$I$38</f>
        <v/>
      </c>
      <c r="F903" s="236"/>
    </row>
    <row r="904" spans="1:7" ht="12.4" customHeight="1">
      <c r="A904" s="237" t="s">
        <v>130</v>
      </c>
      <c r="B904" s="238"/>
      <c r="C904" s="238"/>
      <c r="D904" s="238"/>
      <c r="E904" s="238"/>
      <c r="F904" s="239"/>
    </row>
    <row r="905" spans="1:7" ht="12.4" customHeight="1">
      <c r="A905" s="245" t="s">
        <v>14</v>
      </c>
      <c r="B905" s="240" t="s">
        <v>125</v>
      </c>
      <c r="C905" s="241"/>
      <c r="D905" s="102" t="s">
        <v>126</v>
      </c>
      <c r="E905" s="109" t="s">
        <v>127</v>
      </c>
      <c r="F905" s="102" t="s">
        <v>128</v>
      </c>
    </row>
    <row r="906" spans="1:7" ht="12.4" customHeight="1">
      <c r="A906" s="246"/>
      <c r="B906" s="240" t="s">
        <v>129</v>
      </c>
      <c r="C906" s="241"/>
      <c r="D906" s="102">
        <v>100</v>
      </c>
      <c r="E906" s="110" t="str" cm="1">
        <f t="array" ref="E906:E917">TRANSPOSE(K66:V66)</f>
        <v/>
      </c>
      <c r="F906" s="104" t="str">
        <f>IF(E906="","",IF(E906&lt;D906*60%,"Try harder",""))</f>
        <v/>
      </c>
    </row>
    <row r="907" spans="1:7" ht="12.4" customHeight="1">
      <c r="A907" s="246"/>
      <c r="B907" s="242" t="s">
        <v>132</v>
      </c>
      <c r="C907" s="133" t="str" cm="1">
        <f t="array" ref="C907:C916">TRANSPOSE($L$41:$U$41)</f>
        <v>Up-Low C</v>
      </c>
      <c r="D907" s="134">
        <v>10</v>
      </c>
      <c r="E907" s="135" t="str">
        <v/>
      </c>
      <c r="F907" s="136" t="str">
        <f t="shared" ref="F907:F917" si="53">IF(E907="","",IF(E907&lt;D907*60%,"Try harder",""))</f>
        <v/>
      </c>
    </row>
    <row r="908" spans="1:7" ht="12.4" customHeight="1">
      <c r="A908" s="246"/>
      <c r="B908" s="243"/>
      <c r="C908" s="137" t="str">
        <v>Alphabet N</v>
      </c>
      <c r="D908" s="138">
        <v>10</v>
      </c>
      <c r="E908" s="139" t="str">
        <v/>
      </c>
      <c r="F908" s="140" t="str">
        <f t="shared" si="53"/>
        <v/>
      </c>
    </row>
    <row r="909" spans="1:7" ht="12.4" customHeight="1">
      <c r="A909" s="246"/>
      <c r="B909" s="243"/>
      <c r="C909" s="137" t="str">
        <v>Alphabet S</v>
      </c>
      <c r="D909" s="138">
        <v>10</v>
      </c>
      <c r="E909" s="139" t="str">
        <v/>
      </c>
      <c r="F909" s="140" t="str">
        <f t="shared" si="53"/>
        <v/>
      </c>
    </row>
    <row r="910" spans="1:7" ht="12.4" customHeight="1">
      <c r="A910" s="246"/>
      <c r="B910" s="243"/>
      <c r="C910" s="137" t="str">
        <v>Vocabulary</v>
      </c>
      <c r="D910" s="138">
        <v>10</v>
      </c>
      <c r="E910" s="139" t="str">
        <v/>
      </c>
      <c r="F910" s="140" t="str">
        <f t="shared" si="53"/>
        <v/>
      </c>
    </row>
    <row r="911" spans="1:7" ht="12.4" customHeight="1">
      <c r="A911" s="247" t="s">
        <v>131</v>
      </c>
      <c r="B911" s="243"/>
      <c r="C911" s="137" t="str">
        <v>Sprouts</v>
      </c>
      <c r="D911" s="138">
        <v>10</v>
      </c>
      <c r="E911" s="139" t="str">
        <v/>
      </c>
      <c r="F911" s="140" t="str">
        <f t="shared" si="53"/>
        <v/>
      </c>
    </row>
    <row r="912" spans="1:7" ht="12.4" customHeight="1">
      <c r="A912" s="247"/>
      <c r="B912" s="243"/>
      <c r="C912" s="137" t="str">
        <v>Phonics</v>
      </c>
      <c r="D912" s="138">
        <v>10</v>
      </c>
      <c r="E912" s="139" t="str">
        <v/>
      </c>
      <c r="F912" s="140" t="str">
        <f t="shared" si="53"/>
        <v/>
      </c>
    </row>
    <row r="913" spans="1:7" ht="12.4" customHeight="1">
      <c r="A913" s="247"/>
      <c r="B913" s="243"/>
      <c r="C913" s="137" t="str">
        <v>Math</v>
      </c>
      <c r="D913" s="138">
        <v>10</v>
      </c>
      <c r="E913" s="139" t="str">
        <v/>
      </c>
      <c r="F913" s="140" t="str">
        <f t="shared" si="53"/>
        <v/>
      </c>
    </row>
    <row r="914" spans="1:7" ht="12.4" customHeight="1">
      <c r="A914" s="247"/>
      <c r="B914" s="243"/>
      <c r="C914" s="137" t="str">
        <v>Shape</v>
      </c>
      <c r="D914" s="138">
        <v>10</v>
      </c>
      <c r="E914" s="139" t="str">
        <v/>
      </c>
      <c r="F914" s="140" t="str">
        <f t="shared" si="53"/>
        <v/>
      </c>
    </row>
    <row r="915" spans="1:7" ht="12.4" customHeight="1">
      <c r="A915" s="247"/>
      <c r="B915" s="243"/>
      <c r="C915" s="137" t="str">
        <v>Science</v>
      </c>
      <c r="D915" s="138">
        <v>10</v>
      </c>
      <c r="E915" s="139" t="str">
        <v/>
      </c>
      <c r="F915" s="140" t="str">
        <f t="shared" si="53"/>
        <v/>
      </c>
    </row>
    <row r="916" spans="1:7" ht="12.4" customHeight="1">
      <c r="A916" s="247"/>
      <c r="B916" s="244"/>
      <c r="C916" s="141" t="str">
        <v>Tracing</v>
      </c>
      <c r="D916" s="142">
        <v>10</v>
      </c>
      <c r="E916" s="143" t="str">
        <v/>
      </c>
      <c r="F916" s="144" t="str">
        <f t="shared" si="53"/>
        <v/>
      </c>
    </row>
    <row r="917" spans="1:7" ht="12.4" customHeight="1">
      <c r="A917" s="248"/>
      <c r="B917" s="240" t="s">
        <v>133</v>
      </c>
      <c r="C917" s="241"/>
      <c r="D917" s="103">
        <f>D906*20%+SUM(D907:D916)*80%</f>
        <v>100</v>
      </c>
      <c r="E917" s="110" t="str">
        <v/>
      </c>
      <c r="F917" s="104" t="str">
        <f t="shared" si="53"/>
        <v/>
      </c>
    </row>
    <row r="919" spans="1:7" ht="12.4" customHeight="1">
      <c r="A919" s="230" t="s">
        <v>121</v>
      </c>
      <c r="B919" s="231"/>
      <c r="C919" s="231"/>
      <c r="D919" s="107" t="s">
        <v>123</v>
      </c>
      <c r="E919" s="232" t="str">
        <f>I67</f>
        <v/>
      </c>
      <c r="F919" s="233"/>
      <c r="G919" s="101">
        <v>67</v>
      </c>
    </row>
    <row r="920" spans="1:7" ht="12.4" customHeight="1">
      <c r="A920" s="105" t="s">
        <v>122</v>
      </c>
      <c r="B920" s="234" t="str">
        <f>$K$38</f>
        <v>FEBRUARY - JULY 2026</v>
      </c>
      <c r="C920" s="234"/>
      <c r="D920" s="106" t="s">
        <v>124</v>
      </c>
      <c r="E920" s="235" t="str">
        <f>$I$38</f>
        <v/>
      </c>
      <c r="F920" s="236"/>
    </row>
    <row r="921" spans="1:7" ht="12.4" customHeight="1">
      <c r="A921" s="237" t="s">
        <v>130</v>
      </c>
      <c r="B921" s="238"/>
      <c r="C921" s="238"/>
      <c r="D921" s="238"/>
      <c r="E921" s="238"/>
      <c r="F921" s="239"/>
    </row>
    <row r="922" spans="1:7" ht="12.4" customHeight="1">
      <c r="A922" s="245" t="s">
        <v>14</v>
      </c>
      <c r="B922" s="240" t="s">
        <v>125</v>
      </c>
      <c r="C922" s="241"/>
      <c r="D922" s="102" t="s">
        <v>126</v>
      </c>
      <c r="E922" s="109" t="s">
        <v>127</v>
      </c>
      <c r="F922" s="102" t="s">
        <v>128</v>
      </c>
    </row>
    <row r="923" spans="1:7" ht="12.4" customHeight="1">
      <c r="A923" s="246"/>
      <c r="B923" s="240" t="s">
        <v>129</v>
      </c>
      <c r="C923" s="241"/>
      <c r="D923" s="102">
        <v>100</v>
      </c>
      <c r="E923" s="110" t="str" cm="1">
        <f t="array" ref="E923:E934">TRANSPOSE(K67:V67)</f>
        <v/>
      </c>
      <c r="F923" s="104" t="str">
        <f>IF(E923="","",IF(E923&lt;D923*60%,"Try harder",""))</f>
        <v/>
      </c>
    </row>
    <row r="924" spans="1:7" ht="12.4" customHeight="1">
      <c r="A924" s="246"/>
      <c r="B924" s="242" t="s">
        <v>132</v>
      </c>
      <c r="C924" s="133" t="str" cm="1">
        <f t="array" ref="C924:C933">TRANSPOSE($L$41:$U$41)</f>
        <v>Up-Low C</v>
      </c>
      <c r="D924" s="134">
        <v>10</v>
      </c>
      <c r="E924" s="135" t="str">
        <v/>
      </c>
      <c r="F924" s="136" t="str">
        <f t="shared" ref="F924:F934" si="54">IF(E924="","",IF(E924&lt;D924*60%,"Try harder",""))</f>
        <v/>
      </c>
    </row>
    <row r="925" spans="1:7" ht="12.4" customHeight="1">
      <c r="A925" s="246"/>
      <c r="B925" s="243"/>
      <c r="C925" s="137" t="str">
        <v>Alphabet N</v>
      </c>
      <c r="D925" s="138">
        <v>10</v>
      </c>
      <c r="E925" s="139" t="str">
        <v/>
      </c>
      <c r="F925" s="140" t="str">
        <f t="shared" si="54"/>
        <v/>
      </c>
    </row>
    <row r="926" spans="1:7" ht="12.4" customHeight="1">
      <c r="A926" s="246"/>
      <c r="B926" s="243"/>
      <c r="C926" s="137" t="str">
        <v>Alphabet S</v>
      </c>
      <c r="D926" s="138">
        <v>10</v>
      </c>
      <c r="E926" s="139" t="str">
        <v/>
      </c>
      <c r="F926" s="140" t="str">
        <f t="shared" si="54"/>
        <v/>
      </c>
    </row>
    <row r="927" spans="1:7" ht="12.4" customHeight="1">
      <c r="A927" s="246"/>
      <c r="B927" s="243"/>
      <c r="C927" s="137" t="str">
        <v>Vocabulary</v>
      </c>
      <c r="D927" s="138">
        <v>10</v>
      </c>
      <c r="E927" s="139" t="str">
        <v/>
      </c>
      <c r="F927" s="140" t="str">
        <f t="shared" si="54"/>
        <v/>
      </c>
    </row>
    <row r="928" spans="1:7" ht="12.4" customHeight="1">
      <c r="A928" s="247" t="s">
        <v>131</v>
      </c>
      <c r="B928" s="243"/>
      <c r="C928" s="137" t="str">
        <v>Sprouts</v>
      </c>
      <c r="D928" s="138">
        <v>10</v>
      </c>
      <c r="E928" s="139" t="str">
        <v/>
      </c>
      <c r="F928" s="140" t="str">
        <f t="shared" si="54"/>
        <v/>
      </c>
    </row>
    <row r="929" spans="1:7" ht="12.4" customHeight="1">
      <c r="A929" s="247"/>
      <c r="B929" s="243"/>
      <c r="C929" s="137" t="str">
        <v>Phonics</v>
      </c>
      <c r="D929" s="138">
        <v>10</v>
      </c>
      <c r="E929" s="139" t="str">
        <v/>
      </c>
      <c r="F929" s="140" t="str">
        <f t="shared" si="54"/>
        <v/>
      </c>
    </row>
    <row r="930" spans="1:7" ht="12.4" customHeight="1">
      <c r="A930" s="247"/>
      <c r="B930" s="243"/>
      <c r="C930" s="137" t="str">
        <v>Math</v>
      </c>
      <c r="D930" s="138">
        <v>10</v>
      </c>
      <c r="E930" s="139" t="str">
        <v/>
      </c>
      <c r="F930" s="140" t="str">
        <f t="shared" si="54"/>
        <v/>
      </c>
    </row>
    <row r="931" spans="1:7" ht="12.4" customHeight="1">
      <c r="A931" s="247"/>
      <c r="B931" s="243"/>
      <c r="C931" s="137" t="str">
        <v>Shape</v>
      </c>
      <c r="D931" s="138">
        <v>10</v>
      </c>
      <c r="E931" s="139" t="str">
        <v/>
      </c>
      <c r="F931" s="140" t="str">
        <f t="shared" si="54"/>
        <v/>
      </c>
    </row>
    <row r="932" spans="1:7" ht="12.4" customHeight="1">
      <c r="A932" s="247"/>
      <c r="B932" s="243"/>
      <c r="C932" s="137" t="str">
        <v>Science</v>
      </c>
      <c r="D932" s="138">
        <v>10</v>
      </c>
      <c r="E932" s="139" t="str">
        <v/>
      </c>
      <c r="F932" s="140" t="str">
        <f t="shared" si="54"/>
        <v/>
      </c>
    </row>
    <row r="933" spans="1:7" ht="12.4" customHeight="1">
      <c r="A933" s="247"/>
      <c r="B933" s="244"/>
      <c r="C933" s="141" t="str">
        <v>Tracing</v>
      </c>
      <c r="D933" s="142">
        <v>10</v>
      </c>
      <c r="E933" s="143" t="str">
        <v/>
      </c>
      <c r="F933" s="144" t="str">
        <f t="shared" si="54"/>
        <v/>
      </c>
    </row>
    <row r="934" spans="1:7" ht="12.4" customHeight="1">
      <c r="A934" s="248"/>
      <c r="B934" s="240" t="s">
        <v>133</v>
      </c>
      <c r="C934" s="241"/>
      <c r="D934" s="103">
        <f>D923*20%+SUM(D924:D933)*80%</f>
        <v>100</v>
      </c>
      <c r="E934" s="110" t="str">
        <v/>
      </c>
      <c r="F934" s="104" t="str">
        <f t="shared" si="54"/>
        <v/>
      </c>
    </row>
    <row r="936" spans="1:7" ht="12.4" customHeight="1">
      <c r="A936" s="230" t="s">
        <v>121</v>
      </c>
      <c r="B936" s="231"/>
      <c r="C936" s="231"/>
      <c r="D936" s="107" t="s">
        <v>123</v>
      </c>
      <c r="E936" s="232" t="str">
        <f>I68</f>
        <v/>
      </c>
      <c r="F936" s="233"/>
      <c r="G936" s="101">
        <v>68</v>
      </c>
    </row>
    <row r="937" spans="1:7" ht="12.4" customHeight="1">
      <c r="A937" s="105" t="s">
        <v>122</v>
      </c>
      <c r="B937" s="234" t="str">
        <f>$K$38</f>
        <v>FEBRUARY - JULY 2026</v>
      </c>
      <c r="C937" s="234"/>
      <c r="D937" s="106" t="s">
        <v>124</v>
      </c>
      <c r="E937" s="235" t="str">
        <f>$I$38</f>
        <v/>
      </c>
      <c r="F937" s="236"/>
    </row>
    <row r="938" spans="1:7" ht="12.4" customHeight="1">
      <c r="A938" s="237" t="s">
        <v>130</v>
      </c>
      <c r="B938" s="238"/>
      <c r="C938" s="238"/>
      <c r="D938" s="238"/>
      <c r="E938" s="238"/>
      <c r="F938" s="239"/>
    </row>
    <row r="939" spans="1:7" ht="12.4" customHeight="1">
      <c r="A939" s="245" t="s">
        <v>14</v>
      </c>
      <c r="B939" s="240" t="s">
        <v>125</v>
      </c>
      <c r="C939" s="241"/>
      <c r="D939" s="102" t="s">
        <v>126</v>
      </c>
      <c r="E939" s="109" t="s">
        <v>127</v>
      </c>
      <c r="F939" s="102" t="s">
        <v>128</v>
      </c>
    </row>
    <row r="940" spans="1:7" ht="12.4" customHeight="1">
      <c r="A940" s="246"/>
      <c r="B940" s="240" t="s">
        <v>129</v>
      </c>
      <c r="C940" s="241"/>
      <c r="D940" s="102">
        <v>100</v>
      </c>
      <c r="E940" s="110" t="str" cm="1">
        <f t="array" ref="E940:E951">TRANSPOSE(K68:V68)</f>
        <v/>
      </c>
      <c r="F940" s="104" t="str">
        <f>IF(E940="","",IF(E940&lt;D940*60%,"Try harder",""))</f>
        <v/>
      </c>
    </row>
    <row r="941" spans="1:7" ht="12.4" customHeight="1">
      <c r="A941" s="246"/>
      <c r="B941" s="242" t="s">
        <v>132</v>
      </c>
      <c r="C941" s="133" t="str" cm="1">
        <f t="array" ref="C941:C950">TRANSPOSE($L$41:$U$41)</f>
        <v>Up-Low C</v>
      </c>
      <c r="D941" s="134">
        <v>10</v>
      </c>
      <c r="E941" s="135" t="str">
        <v/>
      </c>
      <c r="F941" s="136" t="str">
        <f t="shared" ref="F941:F951" si="55">IF(E941="","",IF(E941&lt;D941*60%,"Try harder",""))</f>
        <v/>
      </c>
    </row>
    <row r="942" spans="1:7" ht="12.4" customHeight="1">
      <c r="A942" s="246"/>
      <c r="B942" s="243"/>
      <c r="C942" s="137" t="str">
        <v>Alphabet N</v>
      </c>
      <c r="D942" s="138">
        <v>10</v>
      </c>
      <c r="E942" s="139" t="str">
        <v/>
      </c>
      <c r="F942" s="140" t="str">
        <f t="shared" si="55"/>
        <v/>
      </c>
    </row>
    <row r="943" spans="1:7" ht="12.4" customHeight="1">
      <c r="A943" s="246"/>
      <c r="B943" s="243"/>
      <c r="C943" s="137" t="str">
        <v>Alphabet S</v>
      </c>
      <c r="D943" s="138">
        <v>10</v>
      </c>
      <c r="E943" s="139" t="str">
        <v/>
      </c>
      <c r="F943" s="140" t="str">
        <f t="shared" si="55"/>
        <v/>
      </c>
    </row>
    <row r="944" spans="1:7" ht="12.4" customHeight="1">
      <c r="A944" s="246"/>
      <c r="B944" s="243"/>
      <c r="C944" s="137" t="str">
        <v>Vocabulary</v>
      </c>
      <c r="D944" s="138">
        <v>10</v>
      </c>
      <c r="E944" s="139" t="str">
        <v/>
      </c>
      <c r="F944" s="140" t="str">
        <f t="shared" si="55"/>
        <v/>
      </c>
    </row>
    <row r="945" spans="1:7" ht="12.4" customHeight="1">
      <c r="A945" s="247" t="s">
        <v>131</v>
      </c>
      <c r="B945" s="243"/>
      <c r="C945" s="137" t="str">
        <v>Sprouts</v>
      </c>
      <c r="D945" s="138">
        <v>10</v>
      </c>
      <c r="E945" s="139" t="str">
        <v/>
      </c>
      <c r="F945" s="140" t="str">
        <f t="shared" si="55"/>
        <v/>
      </c>
    </row>
    <row r="946" spans="1:7" ht="12.4" customHeight="1">
      <c r="A946" s="247"/>
      <c r="B946" s="243"/>
      <c r="C946" s="137" t="str">
        <v>Phonics</v>
      </c>
      <c r="D946" s="138">
        <v>10</v>
      </c>
      <c r="E946" s="139" t="str">
        <v/>
      </c>
      <c r="F946" s="140" t="str">
        <f t="shared" si="55"/>
        <v/>
      </c>
    </row>
    <row r="947" spans="1:7" ht="12.4" customHeight="1">
      <c r="A947" s="247"/>
      <c r="B947" s="243"/>
      <c r="C947" s="137" t="str">
        <v>Math</v>
      </c>
      <c r="D947" s="138">
        <v>10</v>
      </c>
      <c r="E947" s="139" t="str">
        <v/>
      </c>
      <c r="F947" s="140" t="str">
        <f t="shared" si="55"/>
        <v/>
      </c>
    </row>
    <row r="948" spans="1:7" ht="12.4" customHeight="1">
      <c r="A948" s="247"/>
      <c r="B948" s="243"/>
      <c r="C948" s="137" t="str">
        <v>Shape</v>
      </c>
      <c r="D948" s="138">
        <v>10</v>
      </c>
      <c r="E948" s="139" t="str">
        <v/>
      </c>
      <c r="F948" s="140" t="str">
        <f t="shared" si="55"/>
        <v/>
      </c>
    </row>
    <row r="949" spans="1:7" ht="12.4" customHeight="1">
      <c r="A949" s="247"/>
      <c r="B949" s="243"/>
      <c r="C949" s="137" t="str">
        <v>Science</v>
      </c>
      <c r="D949" s="138">
        <v>10</v>
      </c>
      <c r="E949" s="139" t="str">
        <v/>
      </c>
      <c r="F949" s="140" t="str">
        <f t="shared" si="55"/>
        <v/>
      </c>
    </row>
    <row r="950" spans="1:7" ht="12.4" customHeight="1">
      <c r="A950" s="247"/>
      <c r="B950" s="244"/>
      <c r="C950" s="141" t="str">
        <v>Tracing</v>
      </c>
      <c r="D950" s="142">
        <v>10</v>
      </c>
      <c r="E950" s="143" t="str">
        <v/>
      </c>
      <c r="F950" s="144" t="str">
        <f t="shared" si="55"/>
        <v/>
      </c>
    </row>
    <row r="951" spans="1:7" ht="12.4" customHeight="1">
      <c r="A951" s="248"/>
      <c r="B951" s="240" t="s">
        <v>133</v>
      </c>
      <c r="C951" s="241"/>
      <c r="D951" s="103">
        <f>D940*20%+SUM(D941:D950)*80%</f>
        <v>100</v>
      </c>
      <c r="E951" s="110" t="str">
        <v/>
      </c>
      <c r="F951" s="104" t="str">
        <f t="shared" si="55"/>
        <v/>
      </c>
    </row>
    <row r="953" spans="1:7" ht="12.4" customHeight="1">
      <c r="A953" s="230" t="s">
        <v>121</v>
      </c>
      <c r="B953" s="231"/>
      <c r="C953" s="231"/>
      <c r="D953" s="107" t="s">
        <v>123</v>
      </c>
      <c r="E953" s="232" t="str">
        <f>I69</f>
        <v/>
      </c>
      <c r="F953" s="233"/>
      <c r="G953" s="101">
        <v>69</v>
      </c>
    </row>
    <row r="954" spans="1:7" ht="12.4" customHeight="1">
      <c r="A954" s="105" t="s">
        <v>122</v>
      </c>
      <c r="B954" s="234" t="str">
        <f>$K$38</f>
        <v>FEBRUARY - JULY 2026</v>
      </c>
      <c r="C954" s="234"/>
      <c r="D954" s="106" t="s">
        <v>124</v>
      </c>
      <c r="E954" s="235" t="str">
        <f>$I$38</f>
        <v/>
      </c>
      <c r="F954" s="236"/>
    </row>
    <row r="955" spans="1:7" ht="12.4" customHeight="1">
      <c r="A955" s="237" t="s">
        <v>130</v>
      </c>
      <c r="B955" s="238"/>
      <c r="C955" s="238"/>
      <c r="D955" s="238"/>
      <c r="E955" s="238"/>
      <c r="F955" s="239"/>
    </row>
    <row r="956" spans="1:7" ht="12.4" customHeight="1">
      <c r="A956" s="245" t="s">
        <v>14</v>
      </c>
      <c r="B956" s="240" t="s">
        <v>125</v>
      </c>
      <c r="C956" s="241"/>
      <c r="D956" s="102" t="s">
        <v>126</v>
      </c>
      <c r="E956" s="109" t="s">
        <v>127</v>
      </c>
      <c r="F956" s="102" t="s">
        <v>128</v>
      </c>
    </row>
    <row r="957" spans="1:7" ht="12.4" customHeight="1">
      <c r="A957" s="246"/>
      <c r="B957" s="240" t="s">
        <v>129</v>
      </c>
      <c r="C957" s="241"/>
      <c r="D957" s="102">
        <v>100</v>
      </c>
      <c r="E957" s="110" t="str" cm="1">
        <f t="array" ref="E957:E968">TRANSPOSE(K69:V69)</f>
        <v/>
      </c>
      <c r="F957" s="104" t="str">
        <f>IF(E957="","",IF(E957&lt;D957*60%,"Try harder",""))</f>
        <v/>
      </c>
    </row>
    <row r="958" spans="1:7" ht="12.4" customHeight="1">
      <c r="A958" s="246"/>
      <c r="B958" s="242" t="s">
        <v>132</v>
      </c>
      <c r="C958" s="133" t="str" cm="1">
        <f t="array" ref="C958:C967">TRANSPOSE($L$41:$U$41)</f>
        <v>Up-Low C</v>
      </c>
      <c r="D958" s="134">
        <v>10</v>
      </c>
      <c r="E958" s="135" t="str">
        <v/>
      </c>
      <c r="F958" s="136" t="str">
        <f t="shared" ref="F958:F968" si="56">IF(E958="","",IF(E958&lt;D958*60%,"Try harder",""))</f>
        <v/>
      </c>
    </row>
    <row r="959" spans="1:7" ht="12.4" customHeight="1">
      <c r="A959" s="246"/>
      <c r="B959" s="243"/>
      <c r="C959" s="137" t="str">
        <v>Alphabet N</v>
      </c>
      <c r="D959" s="138">
        <v>10</v>
      </c>
      <c r="E959" s="139" t="str">
        <v/>
      </c>
      <c r="F959" s="140" t="str">
        <f t="shared" si="56"/>
        <v/>
      </c>
    </row>
    <row r="960" spans="1:7" ht="12.4" customHeight="1">
      <c r="A960" s="246"/>
      <c r="B960" s="243"/>
      <c r="C960" s="137" t="str">
        <v>Alphabet S</v>
      </c>
      <c r="D960" s="138">
        <v>10</v>
      </c>
      <c r="E960" s="139" t="str">
        <v/>
      </c>
      <c r="F960" s="140" t="str">
        <f t="shared" si="56"/>
        <v/>
      </c>
    </row>
    <row r="961" spans="1:7" ht="12.4" customHeight="1">
      <c r="A961" s="246"/>
      <c r="B961" s="243"/>
      <c r="C961" s="137" t="str">
        <v>Vocabulary</v>
      </c>
      <c r="D961" s="138">
        <v>10</v>
      </c>
      <c r="E961" s="139" t="str">
        <v/>
      </c>
      <c r="F961" s="140" t="str">
        <f t="shared" si="56"/>
        <v/>
      </c>
    </row>
    <row r="962" spans="1:7" ht="12.4" customHeight="1">
      <c r="A962" s="247" t="s">
        <v>131</v>
      </c>
      <c r="B962" s="243"/>
      <c r="C962" s="137" t="str">
        <v>Sprouts</v>
      </c>
      <c r="D962" s="138">
        <v>10</v>
      </c>
      <c r="E962" s="139" t="str">
        <v/>
      </c>
      <c r="F962" s="140" t="str">
        <f t="shared" si="56"/>
        <v/>
      </c>
    </row>
    <row r="963" spans="1:7" ht="12.4" customHeight="1">
      <c r="A963" s="247"/>
      <c r="B963" s="243"/>
      <c r="C963" s="137" t="str">
        <v>Phonics</v>
      </c>
      <c r="D963" s="138">
        <v>10</v>
      </c>
      <c r="E963" s="139" t="str">
        <v/>
      </c>
      <c r="F963" s="140" t="str">
        <f t="shared" si="56"/>
        <v/>
      </c>
    </row>
    <row r="964" spans="1:7" ht="12.4" customHeight="1">
      <c r="A964" s="247"/>
      <c r="B964" s="243"/>
      <c r="C964" s="137" t="str">
        <v>Math</v>
      </c>
      <c r="D964" s="138">
        <v>10</v>
      </c>
      <c r="E964" s="139" t="str">
        <v/>
      </c>
      <c r="F964" s="140" t="str">
        <f t="shared" si="56"/>
        <v/>
      </c>
    </row>
    <row r="965" spans="1:7" ht="12.4" customHeight="1">
      <c r="A965" s="247"/>
      <c r="B965" s="243"/>
      <c r="C965" s="137" t="str">
        <v>Shape</v>
      </c>
      <c r="D965" s="138">
        <v>10</v>
      </c>
      <c r="E965" s="139" t="str">
        <v/>
      </c>
      <c r="F965" s="140" t="str">
        <f t="shared" si="56"/>
        <v/>
      </c>
    </row>
    <row r="966" spans="1:7" ht="12.4" customHeight="1">
      <c r="A966" s="247"/>
      <c r="B966" s="243"/>
      <c r="C966" s="137" t="str">
        <v>Science</v>
      </c>
      <c r="D966" s="138">
        <v>10</v>
      </c>
      <c r="E966" s="139" t="str">
        <v/>
      </c>
      <c r="F966" s="140" t="str">
        <f t="shared" si="56"/>
        <v/>
      </c>
    </row>
    <row r="967" spans="1:7" ht="12.4" customHeight="1">
      <c r="A967" s="247"/>
      <c r="B967" s="244"/>
      <c r="C967" s="141" t="str">
        <v>Tracing</v>
      </c>
      <c r="D967" s="142">
        <v>10</v>
      </c>
      <c r="E967" s="143" t="str">
        <v/>
      </c>
      <c r="F967" s="144" t="str">
        <f t="shared" si="56"/>
        <v/>
      </c>
    </row>
    <row r="968" spans="1:7" ht="12.4" customHeight="1">
      <c r="A968" s="248"/>
      <c r="B968" s="240" t="s">
        <v>133</v>
      </c>
      <c r="C968" s="241"/>
      <c r="D968" s="103">
        <f>D957*20%+SUM(D958:D967)*80%</f>
        <v>100</v>
      </c>
      <c r="E968" s="110" t="str">
        <v/>
      </c>
      <c r="F968" s="104" t="str">
        <f t="shared" si="56"/>
        <v/>
      </c>
    </row>
    <row r="970" spans="1:7" ht="12.4" customHeight="1">
      <c r="A970" s="230" t="s">
        <v>121</v>
      </c>
      <c r="B970" s="231"/>
      <c r="C970" s="231"/>
      <c r="D970" s="107" t="s">
        <v>123</v>
      </c>
      <c r="E970" s="232" t="str">
        <f>I70</f>
        <v/>
      </c>
      <c r="F970" s="233"/>
      <c r="G970" s="101">
        <v>70</v>
      </c>
    </row>
    <row r="971" spans="1:7" ht="12.4" customHeight="1">
      <c r="A971" s="105" t="s">
        <v>122</v>
      </c>
      <c r="B971" s="234" t="str">
        <f>$K$38</f>
        <v>FEBRUARY - JULY 2026</v>
      </c>
      <c r="C971" s="234"/>
      <c r="D971" s="106" t="s">
        <v>124</v>
      </c>
      <c r="E971" s="235" t="str">
        <f>$I$38</f>
        <v/>
      </c>
      <c r="F971" s="236"/>
    </row>
    <row r="972" spans="1:7" ht="12.4" customHeight="1">
      <c r="A972" s="237" t="s">
        <v>130</v>
      </c>
      <c r="B972" s="238"/>
      <c r="C972" s="238"/>
      <c r="D972" s="238"/>
      <c r="E972" s="238"/>
      <c r="F972" s="239"/>
    </row>
    <row r="973" spans="1:7" ht="12.4" customHeight="1">
      <c r="A973" s="245" t="s">
        <v>14</v>
      </c>
      <c r="B973" s="240" t="s">
        <v>125</v>
      </c>
      <c r="C973" s="241"/>
      <c r="D973" s="102" t="s">
        <v>126</v>
      </c>
      <c r="E973" s="109" t="s">
        <v>127</v>
      </c>
      <c r="F973" s="102" t="s">
        <v>128</v>
      </c>
    </row>
    <row r="974" spans="1:7" ht="12.4" customHeight="1">
      <c r="A974" s="246"/>
      <c r="B974" s="240" t="s">
        <v>129</v>
      </c>
      <c r="C974" s="241"/>
      <c r="D974" s="102">
        <v>100</v>
      </c>
      <c r="E974" s="110" t="str" cm="1">
        <f t="array" ref="E974:E985">TRANSPOSE(K70:V70)</f>
        <v/>
      </c>
      <c r="F974" s="104" t="str">
        <f>IF(E974="","",IF(E974&lt;D974*60%,"Try harder",""))</f>
        <v/>
      </c>
    </row>
    <row r="975" spans="1:7" ht="12.4" customHeight="1">
      <c r="A975" s="246"/>
      <c r="B975" s="242" t="s">
        <v>132</v>
      </c>
      <c r="C975" s="133" t="str" cm="1">
        <f t="array" ref="C975:C984">TRANSPOSE($L$41:$U$41)</f>
        <v>Up-Low C</v>
      </c>
      <c r="D975" s="134">
        <v>10</v>
      </c>
      <c r="E975" s="135" t="str">
        <v/>
      </c>
      <c r="F975" s="136" t="str">
        <f t="shared" ref="F975:F985" si="57">IF(E975="","",IF(E975&lt;D975*60%,"Try harder",""))</f>
        <v/>
      </c>
    </row>
    <row r="976" spans="1:7" ht="12.4" customHeight="1">
      <c r="A976" s="246"/>
      <c r="B976" s="243"/>
      <c r="C976" s="137" t="str">
        <v>Alphabet N</v>
      </c>
      <c r="D976" s="138">
        <v>10</v>
      </c>
      <c r="E976" s="139" t="str">
        <v/>
      </c>
      <c r="F976" s="140" t="str">
        <f t="shared" si="57"/>
        <v/>
      </c>
    </row>
    <row r="977" spans="1:7" ht="12.4" customHeight="1">
      <c r="A977" s="246"/>
      <c r="B977" s="243"/>
      <c r="C977" s="137" t="str">
        <v>Alphabet S</v>
      </c>
      <c r="D977" s="138">
        <v>10</v>
      </c>
      <c r="E977" s="139" t="str">
        <v/>
      </c>
      <c r="F977" s="140" t="str">
        <f t="shared" si="57"/>
        <v/>
      </c>
    </row>
    <row r="978" spans="1:7" ht="12.4" customHeight="1">
      <c r="A978" s="246"/>
      <c r="B978" s="243"/>
      <c r="C978" s="137" t="str">
        <v>Vocabulary</v>
      </c>
      <c r="D978" s="138">
        <v>10</v>
      </c>
      <c r="E978" s="139" t="str">
        <v/>
      </c>
      <c r="F978" s="140" t="str">
        <f t="shared" si="57"/>
        <v/>
      </c>
    </row>
    <row r="979" spans="1:7" ht="12.4" customHeight="1">
      <c r="A979" s="247" t="s">
        <v>131</v>
      </c>
      <c r="B979" s="243"/>
      <c r="C979" s="137" t="str">
        <v>Sprouts</v>
      </c>
      <c r="D979" s="138">
        <v>10</v>
      </c>
      <c r="E979" s="139" t="str">
        <v/>
      </c>
      <c r="F979" s="140" t="str">
        <f t="shared" si="57"/>
        <v/>
      </c>
    </row>
    <row r="980" spans="1:7" ht="12.4" customHeight="1">
      <c r="A980" s="247"/>
      <c r="B980" s="243"/>
      <c r="C980" s="137" t="str">
        <v>Phonics</v>
      </c>
      <c r="D980" s="138">
        <v>10</v>
      </c>
      <c r="E980" s="139" t="str">
        <v/>
      </c>
      <c r="F980" s="140" t="str">
        <f t="shared" si="57"/>
        <v/>
      </c>
    </row>
    <row r="981" spans="1:7" ht="12.4" customHeight="1">
      <c r="A981" s="247"/>
      <c r="B981" s="243"/>
      <c r="C981" s="137" t="str">
        <v>Math</v>
      </c>
      <c r="D981" s="138">
        <v>10</v>
      </c>
      <c r="E981" s="139" t="str">
        <v/>
      </c>
      <c r="F981" s="140" t="str">
        <f t="shared" si="57"/>
        <v/>
      </c>
    </row>
    <row r="982" spans="1:7" ht="12.4" customHeight="1">
      <c r="A982" s="247"/>
      <c r="B982" s="243"/>
      <c r="C982" s="137" t="str">
        <v>Shape</v>
      </c>
      <c r="D982" s="138">
        <v>10</v>
      </c>
      <c r="E982" s="139" t="str">
        <v/>
      </c>
      <c r="F982" s="140" t="str">
        <f t="shared" si="57"/>
        <v/>
      </c>
    </row>
    <row r="983" spans="1:7" ht="12.4" customHeight="1">
      <c r="A983" s="247"/>
      <c r="B983" s="243"/>
      <c r="C983" s="137" t="str">
        <v>Science</v>
      </c>
      <c r="D983" s="138">
        <v>10</v>
      </c>
      <c r="E983" s="139" t="str">
        <v/>
      </c>
      <c r="F983" s="140" t="str">
        <f t="shared" si="57"/>
        <v/>
      </c>
    </row>
    <row r="984" spans="1:7" ht="12.4" customHeight="1">
      <c r="A984" s="247"/>
      <c r="B984" s="244"/>
      <c r="C984" s="141" t="str">
        <v>Tracing</v>
      </c>
      <c r="D984" s="142">
        <v>10</v>
      </c>
      <c r="E984" s="143" t="str">
        <v/>
      </c>
      <c r="F984" s="144" t="str">
        <f t="shared" si="57"/>
        <v/>
      </c>
    </row>
    <row r="985" spans="1:7" ht="12.4" customHeight="1">
      <c r="A985" s="248"/>
      <c r="B985" s="240" t="s">
        <v>133</v>
      </c>
      <c r="C985" s="241"/>
      <c r="D985" s="103">
        <f>D974*20%+SUM(D975:D984)*80%</f>
        <v>100</v>
      </c>
      <c r="E985" s="110" t="str">
        <v/>
      </c>
      <c r="F985" s="104" t="str">
        <f t="shared" si="57"/>
        <v/>
      </c>
    </row>
    <row r="987" spans="1:7" ht="12.4" customHeight="1">
      <c r="A987" s="230" t="s">
        <v>121</v>
      </c>
      <c r="B987" s="231"/>
      <c r="C987" s="231"/>
      <c r="D987" s="107" t="s">
        <v>123</v>
      </c>
      <c r="E987" s="232" t="str">
        <f>I71</f>
        <v/>
      </c>
      <c r="F987" s="233"/>
      <c r="G987" s="101">
        <v>71</v>
      </c>
    </row>
    <row r="988" spans="1:7" ht="12.4" customHeight="1">
      <c r="A988" s="105" t="s">
        <v>122</v>
      </c>
      <c r="B988" s="234" t="str">
        <f>$K$38</f>
        <v>FEBRUARY - JULY 2026</v>
      </c>
      <c r="C988" s="234"/>
      <c r="D988" s="106" t="s">
        <v>124</v>
      </c>
      <c r="E988" s="235" t="str">
        <f>$I$38</f>
        <v/>
      </c>
      <c r="F988" s="236"/>
    </row>
    <row r="989" spans="1:7" ht="12.4" customHeight="1">
      <c r="A989" s="237" t="s">
        <v>130</v>
      </c>
      <c r="B989" s="238"/>
      <c r="C989" s="238"/>
      <c r="D989" s="238"/>
      <c r="E989" s="238"/>
      <c r="F989" s="239"/>
    </row>
    <row r="990" spans="1:7" ht="12.4" customHeight="1">
      <c r="A990" s="245" t="s">
        <v>14</v>
      </c>
      <c r="B990" s="240" t="s">
        <v>125</v>
      </c>
      <c r="C990" s="241"/>
      <c r="D990" s="102" t="s">
        <v>126</v>
      </c>
      <c r="E990" s="109" t="s">
        <v>127</v>
      </c>
      <c r="F990" s="102" t="s">
        <v>128</v>
      </c>
    </row>
    <row r="991" spans="1:7" ht="12.4" customHeight="1">
      <c r="A991" s="246"/>
      <c r="B991" s="240" t="s">
        <v>129</v>
      </c>
      <c r="C991" s="241"/>
      <c r="D991" s="102">
        <v>100</v>
      </c>
      <c r="E991" s="110" t="str" cm="1">
        <f t="array" ref="E991:E1002">TRANSPOSE(K71:V71)</f>
        <v/>
      </c>
      <c r="F991" s="104" t="str">
        <f>IF(E991="","",IF(E991&lt;D991*60%,"Try harder",""))</f>
        <v/>
      </c>
    </row>
    <row r="992" spans="1:7" ht="12.4" customHeight="1">
      <c r="A992" s="246"/>
      <c r="B992" s="242" t="s">
        <v>132</v>
      </c>
      <c r="C992" s="133" t="str" cm="1">
        <f t="array" ref="C992:C1001">TRANSPOSE($L$41:$U$41)</f>
        <v>Up-Low C</v>
      </c>
      <c r="D992" s="134">
        <v>10</v>
      </c>
      <c r="E992" s="135" t="str">
        <v/>
      </c>
      <c r="F992" s="136" t="str">
        <f t="shared" ref="F992:F1002" si="58">IF(E992="","",IF(E992&lt;D992*60%,"Try harder",""))</f>
        <v/>
      </c>
    </row>
    <row r="993" spans="1:7" ht="12.4" customHeight="1">
      <c r="A993" s="246"/>
      <c r="B993" s="243"/>
      <c r="C993" s="137" t="str">
        <v>Alphabet N</v>
      </c>
      <c r="D993" s="138">
        <v>10</v>
      </c>
      <c r="E993" s="139" t="str">
        <v/>
      </c>
      <c r="F993" s="140" t="str">
        <f t="shared" si="58"/>
        <v/>
      </c>
    </row>
    <row r="994" spans="1:7" ht="12.4" customHeight="1">
      <c r="A994" s="246"/>
      <c r="B994" s="243"/>
      <c r="C994" s="137" t="str">
        <v>Alphabet S</v>
      </c>
      <c r="D994" s="138">
        <v>10</v>
      </c>
      <c r="E994" s="139" t="str">
        <v/>
      </c>
      <c r="F994" s="140" t="str">
        <f t="shared" si="58"/>
        <v/>
      </c>
    </row>
    <row r="995" spans="1:7" ht="12.4" customHeight="1">
      <c r="A995" s="246"/>
      <c r="B995" s="243"/>
      <c r="C995" s="137" t="str">
        <v>Vocabulary</v>
      </c>
      <c r="D995" s="138">
        <v>10</v>
      </c>
      <c r="E995" s="139" t="str">
        <v/>
      </c>
      <c r="F995" s="140" t="str">
        <f t="shared" si="58"/>
        <v/>
      </c>
    </row>
    <row r="996" spans="1:7" ht="12.4" customHeight="1">
      <c r="A996" s="247" t="s">
        <v>131</v>
      </c>
      <c r="B996" s="243"/>
      <c r="C996" s="137" t="str">
        <v>Sprouts</v>
      </c>
      <c r="D996" s="138">
        <v>10</v>
      </c>
      <c r="E996" s="139" t="str">
        <v/>
      </c>
      <c r="F996" s="140" t="str">
        <f t="shared" si="58"/>
        <v/>
      </c>
    </row>
    <row r="997" spans="1:7" ht="12.4" customHeight="1">
      <c r="A997" s="247"/>
      <c r="B997" s="243"/>
      <c r="C997" s="137" t="str">
        <v>Phonics</v>
      </c>
      <c r="D997" s="138">
        <v>10</v>
      </c>
      <c r="E997" s="139" t="str">
        <v/>
      </c>
      <c r="F997" s="140" t="str">
        <f t="shared" si="58"/>
        <v/>
      </c>
    </row>
    <row r="998" spans="1:7" ht="12.4" customHeight="1">
      <c r="A998" s="247"/>
      <c r="B998" s="243"/>
      <c r="C998" s="137" t="str">
        <v>Math</v>
      </c>
      <c r="D998" s="138">
        <v>10</v>
      </c>
      <c r="E998" s="139" t="str">
        <v/>
      </c>
      <c r="F998" s="140" t="str">
        <f t="shared" si="58"/>
        <v/>
      </c>
    </row>
    <row r="999" spans="1:7" ht="12.4" customHeight="1">
      <c r="A999" s="247"/>
      <c r="B999" s="243"/>
      <c r="C999" s="137" t="str">
        <v>Shape</v>
      </c>
      <c r="D999" s="138">
        <v>10</v>
      </c>
      <c r="E999" s="139" t="str">
        <v/>
      </c>
      <c r="F999" s="140" t="str">
        <f t="shared" si="58"/>
        <v/>
      </c>
    </row>
    <row r="1000" spans="1:7" ht="12.4" customHeight="1">
      <c r="A1000" s="247"/>
      <c r="B1000" s="243"/>
      <c r="C1000" s="137" t="str">
        <v>Science</v>
      </c>
      <c r="D1000" s="138">
        <v>10</v>
      </c>
      <c r="E1000" s="139" t="str">
        <v/>
      </c>
      <c r="F1000" s="140" t="str">
        <f t="shared" si="58"/>
        <v/>
      </c>
    </row>
    <row r="1001" spans="1:7" ht="12.4" customHeight="1">
      <c r="A1001" s="247"/>
      <c r="B1001" s="244"/>
      <c r="C1001" s="141" t="str">
        <v>Tracing</v>
      </c>
      <c r="D1001" s="142">
        <v>10</v>
      </c>
      <c r="E1001" s="143" t="str">
        <v/>
      </c>
      <c r="F1001" s="144" t="str">
        <f t="shared" si="58"/>
        <v/>
      </c>
    </row>
    <row r="1002" spans="1:7" ht="12.4" customHeight="1">
      <c r="A1002" s="248"/>
      <c r="B1002" s="240" t="s">
        <v>133</v>
      </c>
      <c r="C1002" s="241"/>
      <c r="D1002" s="103">
        <f>D991*20%+SUM(D992:D1001)*80%</f>
        <v>100</v>
      </c>
      <c r="E1002" s="110" t="str">
        <v/>
      </c>
      <c r="F1002" s="104" t="str">
        <f t="shared" si="58"/>
        <v/>
      </c>
    </row>
    <row r="1004" spans="1:7" ht="12.4" customHeight="1">
      <c r="A1004" s="230" t="s">
        <v>121</v>
      </c>
      <c r="B1004" s="231"/>
      <c r="C1004" s="231"/>
      <c r="D1004" s="107" t="s">
        <v>123</v>
      </c>
      <c r="E1004" s="232" t="str">
        <f>I72</f>
        <v/>
      </c>
      <c r="F1004" s="233"/>
      <c r="G1004" s="101">
        <v>72</v>
      </c>
    </row>
    <row r="1005" spans="1:7" ht="12.4" customHeight="1">
      <c r="A1005" s="105" t="s">
        <v>122</v>
      </c>
      <c r="B1005" s="234" t="str">
        <f>$K$38</f>
        <v>FEBRUARY - JULY 2026</v>
      </c>
      <c r="C1005" s="234"/>
      <c r="D1005" s="106" t="s">
        <v>124</v>
      </c>
      <c r="E1005" s="235" t="str">
        <f>$I$38</f>
        <v/>
      </c>
      <c r="F1005" s="236"/>
    </row>
    <row r="1006" spans="1:7" ht="12.4" customHeight="1">
      <c r="A1006" s="237" t="s">
        <v>130</v>
      </c>
      <c r="B1006" s="238"/>
      <c r="C1006" s="238"/>
      <c r="D1006" s="238"/>
      <c r="E1006" s="238"/>
      <c r="F1006" s="239"/>
    </row>
    <row r="1007" spans="1:7" ht="12.4" customHeight="1">
      <c r="A1007" s="245" t="s">
        <v>14</v>
      </c>
      <c r="B1007" s="240" t="s">
        <v>125</v>
      </c>
      <c r="C1007" s="241"/>
      <c r="D1007" s="102" t="s">
        <v>126</v>
      </c>
      <c r="E1007" s="109" t="s">
        <v>127</v>
      </c>
      <c r="F1007" s="102" t="s">
        <v>128</v>
      </c>
    </row>
    <row r="1008" spans="1:7" ht="12.4" customHeight="1">
      <c r="A1008" s="246"/>
      <c r="B1008" s="240" t="s">
        <v>129</v>
      </c>
      <c r="C1008" s="241"/>
      <c r="D1008" s="102">
        <v>100</v>
      </c>
      <c r="E1008" s="110" t="str" cm="1">
        <f t="array" ref="E1008:E1019">TRANSPOSE(K72:V72)</f>
        <v/>
      </c>
      <c r="F1008" s="104" t="str">
        <f>IF(E1008="","",IF(E1008&lt;D1008*60%,"Try harder",""))</f>
        <v/>
      </c>
    </row>
    <row r="1009" spans="1:7" ht="12.4" customHeight="1">
      <c r="A1009" s="246"/>
      <c r="B1009" s="242" t="s">
        <v>132</v>
      </c>
      <c r="C1009" s="133" t="str" cm="1">
        <f t="array" ref="C1009:C1018">TRANSPOSE($L$41:$U$41)</f>
        <v>Up-Low C</v>
      </c>
      <c r="D1009" s="134">
        <v>10</v>
      </c>
      <c r="E1009" s="135" t="str">
        <v/>
      </c>
      <c r="F1009" s="136" t="str">
        <f t="shared" ref="F1009:F1019" si="59">IF(E1009="","",IF(E1009&lt;D1009*60%,"Try harder",""))</f>
        <v/>
      </c>
    </row>
    <row r="1010" spans="1:7" ht="12.4" customHeight="1">
      <c r="A1010" s="246"/>
      <c r="B1010" s="243"/>
      <c r="C1010" s="137" t="str">
        <v>Alphabet N</v>
      </c>
      <c r="D1010" s="138">
        <v>10</v>
      </c>
      <c r="E1010" s="139" t="str">
        <v/>
      </c>
      <c r="F1010" s="140" t="str">
        <f t="shared" si="59"/>
        <v/>
      </c>
    </row>
    <row r="1011" spans="1:7" ht="12.4" customHeight="1">
      <c r="A1011" s="246"/>
      <c r="B1011" s="243"/>
      <c r="C1011" s="137" t="str">
        <v>Alphabet S</v>
      </c>
      <c r="D1011" s="138">
        <v>10</v>
      </c>
      <c r="E1011" s="139" t="str">
        <v/>
      </c>
      <c r="F1011" s="140" t="str">
        <f t="shared" si="59"/>
        <v/>
      </c>
    </row>
    <row r="1012" spans="1:7" ht="12.4" customHeight="1">
      <c r="A1012" s="246"/>
      <c r="B1012" s="243"/>
      <c r="C1012" s="137" t="str">
        <v>Vocabulary</v>
      </c>
      <c r="D1012" s="138">
        <v>10</v>
      </c>
      <c r="E1012" s="139" t="str">
        <v/>
      </c>
      <c r="F1012" s="140" t="str">
        <f t="shared" si="59"/>
        <v/>
      </c>
    </row>
    <row r="1013" spans="1:7" ht="12.4" customHeight="1">
      <c r="A1013" s="247" t="s">
        <v>131</v>
      </c>
      <c r="B1013" s="243"/>
      <c r="C1013" s="137" t="str">
        <v>Sprouts</v>
      </c>
      <c r="D1013" s="138">
        <v>10</v>
      </c>
      <c r="E1013" s="139" t="str">
        <v/>
      </c>
      <c r="F1013" s="140" t="str">
        <f t="shared" si="59"/>
        <v/>
      </c>
    </row>
    <row r="1014" spans="1:7" ht="12.4" customHeight="1">
      <c r="A1014" s="247"/>
      <c r="B1014" s="243"/>
      <c r="C1014" s="137" t="str">
        <v>Phonics</v>
      </c>
      <c r="D1014" s="138">
        <v>10</v>
      </c>
      <c r="E1014" s="139" t="str">
        <v/>
      </c>
      <c r="F1014" s="140" t="str">
        <f t="shared" si="59"/>
        <v/>
      </c>
    </row>
    <row r="1015" spans="1:7" ht="12.4" customHeight="1">
      <c r="A1015" s="247"/>
      <c r="B1015" s="243"/>
      <c r="C1015" s="137" t="str">
        <v>Math</v>
      </c>
      <c r="D1015" s="138">
        <v>10</v>
      </c>
      <c r="E1015" s="139" t="str">
        <v/>
      </c>
      <c r="F1015" s="140" t="str">
        <f t="shared" si="59"/>
        <v/>
      </c>
    </row>
    <row r="1016" spans="1:7" ht="12.4" customHeight="1">
      <c r="A1016" s="247"/>
      <c r="B1016" s="243"/>
      <c r="C1016" s="137" t="str">
        <v>Shape</v>
      </c>
      <c r="D1016" s="138">
        <v>10</v>
      </c>
      <c r="E1016" s="139" t="str">
        <v/>
      </c>
      <c r="F1016" s="140" t="str">
        <f t="shared" si="59"/>
        <v/>
      </c>
    </row>
    <row r="1017" spans="1:7" ht="12.4" customHeight="1">
      <c r="A1017" s="247"/>
      <c r="B1017" s="243"/>
      <c r="C1017" s="137" t="str">
        <v>Science</v>
      </c>
      <c r="D1017" s="138">
        <v>10</v>
      </c>
      <c r="E1017" s="139" t="str">
        <v/>
      </c>
      <c r="F1017" s="140" t="str">
        <f t="shared" si="59"/>
        <v/>
      </c>
    </row>
    <row r="1018" spans="1:7" ht="12.4" customHeight="1">
      <c r="A1018" s="247"/>
      <c r="B1018" s="244"/>
      <c r="C1018" s="141" t="str">
        <v>Tracing</v>
      </c>
      <c r="D1018" s="142">
        <v>10</v>
      </c>
      <c r="E1018" s="143" t="str">
        <v/>
      </c>
      <c r="F1018" s="144" t="str">
        <f t="shared" si="59"/>
        <v/>
      </c>
    </row>
    <row r="1019" spans="1:7" ht="12.4" customHeight="1">
      <c r="A1019" s="248"/>
      <c r="B1019" s="240" t="s">
        <v>133</v>
      </c>
      <c r="C1019" s="241"/>
      <c r="D1019" s="103">
        <f>D1008*20%+SUM(D1009:D1018)*80%</f>
        <v>100</v>
      </c>
      <c r="E1019" s="110" t="str">
        <v/>
      </c>
      <c r="F1019" s="104" t="str">
        <f t="shared" si="59"/>
        <v/>
      </c>
    </row>
    <row r="1021" spans="1:7" ht="12.4" customHeight="1">
      <c r="A1021" s="230" t="s">
        <v>121</v>
      </c>
      <c r="B1021" s="231"/>
      <c r="C1021" s="231"/>
      <c r="D1021" s="107" t="s">
        <v>123</v>
      </c>
      <c r="E1021" s="232" t="str">
        <f>I79</f>
        <v/>
      </c>
      <c r="F1021" s="233"/>
      <c r="G1021" s="101">
        <v>79</v>
      </c>
    </row>
    <row r="1022" spans="1:7" ht="12.4" customHeight="1">
      <c r="A1022" s="105" t="s">
        <v>122</v>
      </c>
      <c r="B1022" s="234" t="str">
        <f>$K$74</f>
        <v>FEBRUARY - JULY 2026</v>
      </c>
      <c r="C1022" s="234"/>
      <c r="D1022" s="106" t="s">
        <v>124</v>
      </c>
      <c r="E1022" s="235" t="str">
        <f>$I$74</f>
        <v/>
      </c>
      <c r="F1022" s="236"/>
    </row>
    <row r="1023" spans="1:7" ht="12.4" customHeight="1">
      <c r="A1023" s="237" t="s">
        <v>130</v>
      </c>
      <c r="B1023" s="238"/>
      <c r="C1023" s="238"/>
      <c r="D1023" s="238"/>
      <c r="E1023" s="238"/>
      <c r="F1023" s="239"/>
    </row>
    <row r="1024" spans="1:7" ht="12.4" customHeight="1">
      <c r="A1024" s="245" t="s">
        <v>14</v>
      </c>
      <c r="B1024" s="240" t="s">
        <v>125</v>
      </c>
      <c r="C1024" s="241"/>
      <c r="D1024" s="102" t="s">
        <v>126</v>
      </c>
      <c r="E1024" s="109" t="s">
        <v>127</v>
      </c>
      <c r="F1024" s="102" t="s">
        <v>128</v>
      </c>
    </row>
    <row r="1025" spans="1:7" ht="12.4" customHeight="1">
      <c r="A1025" s="246"/>
      <c r="B1025" s="240" t="s">
        <v>129</v>
      </c>
      <c r="C1025" s="241"/>
      <c r="D1025" s="102">
        <v>100</v>
      </c>
      <c r="E1025" s="110" t="str" cm="1">
        <f t="array" ref="E1025:E1036">TRANSPOSE(K79:V79)</f>
        <v/>
      </c>
      <c r="F1025" s="104" t="str">
        <f>IF(E1025="","",IF(E1025&lt;D1025*60%,"Try harder",""))</f>
        <v/>
      </c>
    </row>
    <row r="1026" spans="1:7" ht="12.4" customHeight="1">
      <c r="A1026" s="246"/>
      <c r="B1026" s="242" t="s">
        <v>132</v>
      </c>
      <c r="C1026" s="133" t="str" cm="1">
        <f t="array" ref="C1026:C1035">TRANSPOSE($L$77:$U$77)</f>
        <v>Up-Low C</v>
      </c>
      <c r="D1026" s="134">
        <v>10</v>
      </c>
      <c r="E1026" s="135" t="str">
        <v/>
      </c>
      <c r="F1026" s="136" t="str">
        <f t="shared" ref="F1026:F1036" si="60">IF(E1026="","",IF(E1026&lt;D1026*60%,"Try harder",""))</f>
        <v/>
      </c>
    </row>
    <row r="1027" spans="1:7" ht="12.4" customHeight="1">
      <c r="A1027" s="246"/>
      <c r="B1027" s="243"/>
      <c r="C1027" s="137" t="str">
        <v>Alphabet N</v>
      </c>
      <c r="D1027" s="138">
        <v>10</v>
      </c>
      <c r="E1027" s="139" t="str">
        <v/>
      </c>
      <c r="F1027" s="140" t="str">
        <f t="shared" si="60"/>
        <v/>
      </c>
    </row>
    <row r="1028" spans="1:7" ht="12.4" customHeight="1">
      <c r="A1028" s="246"/>
      <c r="B1028" s="243"/>
      <c r="C1028" s="137" t="str">
        <v>Alphabet S</v>
      </c>
      <c r="D1028" s="138">
        <v>10</v>
      </c>
      <c r="E1028" s="139" t="str">
        <v/>
      </c>
      <c r="F1028" s="140" t="str">
        <f t="shared" si="60"/>
        <v/>
      </c>
    </row>
    <row r="1029" spans="1:7" ht="12.4" customHeight="1">
      <c r="A1029" s="246"/>
      <c r="B1029" s="243"/>
      <c r="C1029" s="137" t="str">
        <v>Vocabulary</v>
      </c>
      <c r="D1029" s="138">
        <v>10</v>
      </c>
      <c r="E1029" s="139" t="str">
        <v/>
      </c>
      <c r="F1029" s="140" t="str">
        <f t="shared" si="60"/>
        <v/>
      </c>
    </row>
    <row r="1030" spans="1:7" ht="12.4" customHeight="1">
      <c r="A1030" s="247" t="s">
        <v>131</v>
      </c>
      <c r="B1030" s="243"/>
      <c r="C1030" s="137" t="str">
        <v>Sprouts</v>
      </c>
      <c r="D1030" s="138">
        <v>10</v>
      </c>
      <c r="E1030" s="139" t="str">
        <v/>
      </c>
      <c r="F1030" s="140" t="str">
        <f t="shared" si="60"/>
        <v/>
      </c>
    </row>
    <row r="1031" spans="1:7" ht="12.4" customHeight="1">
      <c r="A1031" s="247"/>
      <c r="B1031" s="243"/>
      <c r="C1031" s="137" t="str">
        <v>Phonics</v>
      </c>
      <c r="D1031" s="138">
        <v>10</v>
      </c>
      <c r="E1031" s="139" t="str">
        <v/>
      </c>
      <c r="F1031" s="140" t="str">
        <f t="shared" si="60"/>
        <v/>
      </c>
    </row>
    <row r="1032" spans="1:7" ht="12.4" customHeight="1">
      <c r="A1032" s="247"/>
      <c r="B1032" s="243"/>
      <c r="C1032" s="137" t="str">
        <v>Math</v>
      </c>
      <c r="D1032" s="138">
        <v>10</v>
      </c>
      <c r="E1032" s="139" t="str">
        <v/>
      </c>
      <c r="F1032" s="140" t="str">
        <f t="shared" si="60"/>
        <v/>
      </c>
    </row>
    <row r="1033" spans="1:7" ht="12.4" customHeight="1">
      <c r="A1033" s="247"/>
      <c r="B1033" s="243"/>
      <c r="C1033" s="137" t="str">
        <v>Shape</v>
      </c>
      <c r="D1033" s="138">
        <v>10</v>
      </c>
      <c r="E1033" s="139" t="str">
        <v/>
      </c>
      <c r="F1033" s="140" t="str">
        <f t="shared" si="60"/>
        <v/>
      </c>
    </row>
    <row r="1034" spans="1:7" ht="12.4" customHeight="1">
      <c r="A1034" s="247"/>
      <c r="B1034" s="243"/>
      <c r="C1034" s="137" t="str">
        <v>Science</v>
      </c>
      <c r="D1034" s="138">
        <v>10</v>
      </c>
      <c r="E1034" s="139" t="str">
        <v/>
      </c>
      <c r="F1034" s="140" t="str">
        <f t="shared" si="60"/>
        <v/>
      </c>
    </row>
    <row r="1035" spans="1:7" ht="12.4" customHeight="1">
      <c r="A1035" s="247"/>
      <c r="B1035" s="244"/>
      <c r="C1035" s="141" t="str">
        <v>Tracing</v>
      </c>
      <c r="D1035" s="142">
        <v>10</v>
      </c>
      <c r="E1035" s="143" t="str">
        <v/>
      </c>
      <c r="F1035" s="144" t="str">
        <f t="shared" si="60"/>
        <v/>
      </c>
    </row>
    <row r="1036" spans="1:7" ht="12.4" customHeight="1">
      <c r="A1036" s="248"/>
      <c r="B1036" s="240" t="s">
        <v>133</v>
      </c>
      <c r="C1036" s="241"/>
      <c r="D1036" s="103">
        <f>D1025*20%+SUM(D1026:D1035)*80%</f>
        <v>100</v>
      </c>
      <c r="E1036" s="110" t="str">
        <v/>
      </c>
      <c r="F1036" s="104" t="str">
        <f t="shared" si="60"/>
        <v/>
      </c>
    </row>
    <row r="1038" spans="1:7" ht="12.4" customHeight="1">
      <c r="A1038" s="230" t="s">
        <v>121</v>
      </c>
      <c r="B1038" s="231"/>
      <c r="C1038" s="231"/>
      <c r="D1038" s="107" t="s">
        <v>123</v>
      </c>
      <c r="E1038" s="232" t="str">
        <f>I80</f>
        <v/>
      </c>
      <c r="F1038" s="233"/>
      <c r="G1038" s="101">
        <v>80</v>
      </c>
    </row>
    <row r="1039" spans="1:7" ht="12.4" customHeight="1">
      <c r="A1039" s="105" t="s">
        <v>122</v>
      </c>
      <c r="B1039" s="234" t="str">
        <f>$K$74</f>
        <v>FEBRUARY - JULY 2026</v>
      </c>
      <c r="C1039" s="234"/>
      <c r="D1039" s="106" t="s">
        <v>124</v>
      </c>
      <c r="E1039" s="235" t="str">
        <f>$I$74</f>
        <v/>
      </c>
      <c r="F1039" s="236"/>
    </row>
    <row r="1040" spans="1:7" ht="12.4" customHeight="1">
      <c r="A1040" s="237" t="s">
        <v>130</v>
      </c>
      <c r="B1040" s="238"/>
      <c r="C1040" s="238"/>
      <c r="D1040" s="238"/>
      <c r="E1040" s="238"/>
      <c r="F1040" s="239"/>
    </row>
    <row r="1041" spans="1:7" ht="12.4" customHeight="1">
      <c r="A1041" s="245" t="s">
        <v>14</v>
      </c>
      <c r="B1041" s="240" t="s">
        <v>125</v>
      </c>
      <c r="C1041" s="241"/>
      <c r="D1041" s="102" t="s">
        <v>126</v>
      </c>
      <c r="E1041" s="109" t="s">
        <v>127</v>
      </c>
      <c r="F1041" s="102" t="s">
        <v>128</v>
      </c>
    </row>
    <row r="1042" spans="1:7" ht="12.4" customHeight="1">
      <c r="A1042" s="246"/>
      <c r="B1042" s="240" t="s">
        <v>129</v>
      </c>
      <c r="C1042" s="241"/>
      <c r="D1042" s="102">
        <v>100</v>
      </c>
      <c r="E1042" s="110" t="str" cm="1">
        <f t="array" ref="E1042:E1053">TRANSPOSE(K80:V80)</f>
        <v/>
      </c>
      <c r="F1042" s="104" t="str">
        <f>IF(E1042="","",IF(E1042&lt;D1042*60%,"Try harder",""))</f>
        <v/>
      </c>
    </row>
    <row r="1043" spans="1:7" ht="12.4" customHeight="1">
      <c r="A1043" s="246"/>
      <c r="B1043" s="242" t="s">
        <v>132</v>
      </c>
      <c r="C1043" s="133" t="str" cm="1">
        <f t="array" ref="C1043:C1052">TRANSPOSE($L$77:$U$77)</f>
        <v>Up-Low C</v>
      </c>
      <c r="D1043" s="134">
        <v>10</v>
      </c>
      <c r="E1043" s="135" t="str">
        <v/>
      </c>
      <c r="F1043" s="136" t="str">
        <f t="shared" ref="F1043:F1053" si="61">IF(E1043="","",IF(E1043&lt;D1043*60%,"Try harder",""))</f>
        <v/>
      </c>
    </row>
    <row r="1044" spans="1:7" ht="12.4" customHeight="1">
      <c r="A1044" s="246"/>
      <c r="B1044" s="243"/>
      <c r="C1044" s="137" t="str">
        <v>Alphabet N</v>
      </c>
      <c r="D1044" s="138">
        <v>10</v>
      </c>
      <c r="E1044" s="139" t="str">
        <v/>
      </c>
      <c r="F1044" s="140" t="str">
        <f t="shared" si="61"/>
        <v/>
      </c>
    </row>
    <row r="1045" spans="1:7" ht="12.4" customHeight="1">
      <c r="A1045" s="246"/>
      <c r="B1045" s="243"/>
      <c r="C1045" s="137" t="str">
        <v>Alphabet S</v>
      </c>
      <c r="D1045" s="138">
        <v>10</v>
      </c>
      <c r="E1045" s="139" t="str">
        <v/>
      </c>
      <c r="F1045" s="140" t="str">
        <f t="shared" si="61"/>
        <v/>
      </c>
    </row>
    <row r="1046" spans="1:7" ht="12.4" customHeight="1">
      <c r="A1046" s="246"/>
      <c r="B1046" s="243"/>
      <c r="C1046" s="137" t="str">
        <v>Vocabulary</v>
      </c>
      <c r="D1046" s="138">
        <v>10</v>
      </c>
      <c r="E1046" s="139" t="str">
        <v/>
      </c>
      <c r="F1046" s="140" t="str">
        <f t="shared" si="61"/>
        <v/>
      </c>
    </row>
    <row r="1047" spans="1:7" ht="12.4" customHeight="1">
      <c r="A1047" s="247" t="s">
        <v>131</v>
      </c>
      <c r="B1047" s="243"/>
      <c r="C1047" s="137" t="str">
        <v>Sprouts</v>
      </c>
      <c r="D1047" s="138">
        <v>10</v>
      </c>
      <c r="E1047" s="139" t="str">
        <v/>
      </c>
      <c r="F1047" s="140" t="str">
        <f t="shared" si="61"/>
        <v/>
      </c>
    </row>
    <row r="1048" spans="1:7" ht="12.4" customHeight="1">
      <c r="A1048" s="247"/>
      <c r="B1048" s="243"/>
      <c r="C1048" s="137" t="str">
        <v>Phonics</v>
      </c>
      <c r="D1048" s="138">
        <v>10</v>
      </c>
      <c r="E1048" s="139" t="str">
        <v/>
      </c>
      <c r="F1048" s="140" t="str">
        <f t="shared" si="61"/>
        <v/>
      </c>
    </row>
    <row r="1049" spans="1:7" ht="12.4" customHeight="1">
      <c r="A1049" s="247"/>
      <c r="B1049" s="243"/>
      <c r="C1049" s="137" t="str">
        <v>Math</v>
      </c>
      <c r="D1049" s="138">
        <v>10</v>
      </c>
      <c r="E1049" s="139" t="str">
        <v/>
      </c>
      <c r="F1049" s="140" t="str">
        <f t="shared" si="61"/>
        <v/>
      </c>
    </row>
    <row r="1050" spans="1:7" ht="12.4" customHeight="1">
      <c r="A1050" s="247"/>
      <c r="B1050" s="243"/>
      <c r="C1050" s="137" t="str">
        <v>Shape</v>
      </c>
      <c r="D1050" s="138">
        <v>10</v>
      </c>
      <c r="E1050" s="139" t="str">
        <v/>
      </c>
      <c r="F1050" s="140" t="str">
        <f t="shared" si="61"/>
        <v/>
      </c>
    </row>
    <row r="1051" spans="1:7" ht="12.4" customHeight="1">
      <c r="A1051" s="247"/>
      <c r="B1051" s="243"/>
      <c r="C1051" s="137" t="str">
        <v>Science</v>
      </c>
      <c r="D1051" s="138">
        <v>10</v>
      </c>
      <c r="E1051" s="139" t="str">
        <v/>
      </c>
      <c r="F1051" s="140" t="str">
        <f t="shared" si="61"/>
        <v/>
      </c>
    </row>
    <row r="1052" spans="1:7" ht="12.4" customHeight="1">
      <c r="A1052" s="247"/>
      <c r="B1052" s="244"/>
      <c r="C1052" s="141" t="str">
        <v>Tracing</v>
      </c>
      <c r="D1052" s="142">
        <v>10</v>
      </c>
      <c r="E1052" s="143" t="str">
        <v/>
      </c>
      <c r="F1052" s="144" t="str">
        <f t="shared" si="61"/>
        <v/>
      </c>
    </row>
    <row r="1053" spans="1:7" ht="12.4" customHeight="1">
      <c r="A1053" s="248"/>
      <c r="B1053" s="240" t="s">
        <v>133</v>
      </c>
      <c r="C1053" s="241"/>
      <c r="D1053" s="103">
        <f>D1042*20%+SUM(D1043:D1052)*80%</f>
        <v>100</v>
      </c>
      <c r="E1053" s="110" t="str">
        <v/>
      </c>
      <c r="F1053" s="104" t="str">
        <f t="shared" si="61"/>
        <v/>
      </c>
    </row>
    <row r="1055" spans="1:7" ht="12.4" customHeight="1">
      <c r="A1055" s="230" t="s">
        <v>121</v>
      </c>
      <c r="B1055" s="231"/>
      <c r="C1055" s="231"/>
      <c r="D1055" s="107" t="s">
        <v>123</v>
      </c>
      <c r="E1055" s="232" t="str">
        <f>I81</f>
        <v/>
      </c>
      <c r="F1055" s="233"/>
      <c r="G1055" s="101">
        <v>81</v>
      </c>
    </row>
    <row r="1056" spans="1:7" ht="12.4" customHeight="1">
      <c r="A1056" s="105" t="s">
        <v>122</v>
      </c>
      <c r="B1056" s="234" t="str">
        <f>$K$74</f>
        <v>FEBRUARY - JULY 2026</v>
      </c>
      <c r="C1056" s="234"/>
      <c r="D1056" s="106" t="s">
        <v>124</v>
      </c>
      <c r="E1056" s="235" t="str">
        <f>$I$74</f>
        <v/>
      </c>
      <c r="F1056" s="236"/>
    </row>
    <row r="1057" spans="1:7" ht="12.4" customHeight="1">
      <c r="A1057" s="237" t="s">
        <v>130</v>
      </c>
      <c r="B1057" s="238"/>
      <c r="C1057" s="238"/>
      <c r="D1057" s="238"/>
      <c r="E1057" s="238"/>
      <c r="F1057" s="239"/>
    </row>
    <row r="1058" spans="1:7" ht="12.4" customHeight="1">
      <c r="A1058" s="245" t="s">
        <v>14</v>
      </c>
      <c r="B1058" s="240" t="s">
        <v>125</v>
      </c>
      <c r="C1058" s="241"/>
      <c r="D1058" s="102" t="s">
        <v>126</v>
      </c>
      <c r="E1058" s="109" t="s">
        <v>127</v>
      </c>
      <c r="F1058" s="102" t="s">
        <v>128</v>
      </c>
    </row>
    <row r="1059" spans="1:7" ht="12.4" customHeight="1">
      <c r="A1059" s="246"/>
      <c r="B1059" s="240" t="s">
        <v>129</v>
      </c>
      <c r="C1059" s="241"/>
      <c r="D1059" s="102">
        <v>100</v>
      </c>
      <c r="E1059" s="110" t="str" cm="1">
        <f t="array" ref="E1059:E1070">TRANSPOSE(K81:V81)</f>
        <v/>
      </c>
      <c r="F1059" s="104" t="str">
        <f>IF(E1059="","",IF(E1059&lt;D1059*60%,"Try harder",""))</f>
        <v/>
      </c>
    </row>
    <row r="1060" spans="1:7" ht="12.4" customHeight="1">
      <c r="A1060" s="246"/>
      <c r="B1060" s="242" t="s">
        <v>132</v>
      </c>
      <c r="C1060" s="133" t="str" cm="1">
        <f t="array" ref="C1060:C1069">TRANSPOSE($L$77:$U$77)</f>
        <v>Up-Low C</v>
      </c>
      <c r="D1060" s="134">
        <v>10</v>
      </c>
      <c r="E1060" s="135" t="str">
        <v/>
      </c>
      <c r="F1060" s="136" t="str">
        <f t="shared" ref="F1060:F1070" si="62">IF(E1060="","",IF(E1060&lt;D1060*60%,"Try harder",""))</f>
        <v/>
      </c>
    </row>
    <row r="1061" spans="1:7" ht="12.4" customHeight="1">
      <c r="A1061" s="246"/>
      <c r="B1061" s="243"/>
      <c r="C1061" s="137" t="str">
        <v>Alphabet N</v>
      </c>
      <c r="D1061" s="138">
        <v>10</v>
      </c>
      <c r="E1061" s="139" t="str">
        <v/>
      </c>
      <c r="F1061" s="140" t="str">
        <f t="shared" si="62"/>
        <v/>
      </c>
    </row>
    <row r="1062" spans="1:7" ht="12.4" customHeight="1">
      <c r="A1062" s="246"/>
      <c r="B1062" s="243"/>
      <c r="C1062" s="137" t="str">
        <v>Alphabet S</v>
      </c>
      <c r="D1062" s="138">
        <v>10</v>
      </c>
      <c r="E1062" s="139" t="str">
        <v/>
      </c>
      <c r="F1062" s="140" t="str">
        <f t="shared" si="62"/>
        <v/>
      </c>
    </row>
    <row r="1063" spans="1:7" ht="12.4" customHeight="1">
      <c r="A1063" s="246"/>
      <c r="B1063" s="243"/>
      <c r="C1063" s="137" t="str">
        <v>Vocabulary</v>
      </c>
      <c r="D1063" s="138">
        <v>10</v>
      </c>
      <c r="E1063" s="139" t="str">
        <v/>
      </c>
      <c r="F1063" s="140" t="str">
        <f t="shared" si="62"/>
        <v/>
      </c>
    </row>
    <row r="1064" spans="1:7" ht="12.4" customHeight="1">
      <c r="A1064" s="247" t="s">
        <v>131</v>
      </c>
      <c r="B1064" s="243"/>
      <c r="C1064" s="137" t="str">
        <v>Sprouts</v>
      </c>
      <c r="D1064" s="138">
        <v>10</v>
      </c>
      <c r="E1064" s="139" t="str">
        <v/>
      </c>
      <c r="F1064" s="140" t="str">
        <f t="shared" si="62"/>
        <v/>
      </c>
    </row>
    <row r="1065" spans="1:7" ht="12.4" customHeight="1">
      <c r="A1065" s="247"/>
      <c r="B1065" s="243"/>
      <c r="C1065" s="137" t="str">
        <v>Phonics</v>
      </c>
      <c r="D1065" s="138">
        <v>10</v>
      </c>
      <c r="E1065" s="139" t="str">
        <v/>
      </c>
      <c r="F1065" s="140" t="str">
        <f t="shared" si="62"/>
        <v/>
      </c>
    </row>
    <row r="1066" spans="1:7" ht="12.4" customHeight="1">
      <c r="A1066" s="247"/>
      <c r="B1066" s="243"/>
      <c r="C1066" s="137" t="str">
        <v>Math</v>
      </c>
      <c r="D1066" s="138">
        <v>10</v>
      </c>
      <c r="E1066" s="139" t="str">
        <v/>
      </c>
      <c r="F1066" s="140" t="str">
        <f t="shared" si="62"/>
        <v/>
      </c>
    </row>
    <row r="1067" spans="1:7" ht="12.4" customHeight="1">
      <c r="A1067" s="247"/>
      <c r="B1067" s="243"/>
      <c r="C1067" s="137" t="str">
        <v>Shape</v>
      </c>
      <c r="D1067" s="138">
        <v>10</v>
      </c>
      <c r="E1067" s="139" t="str">
        <v/>
      </c>
      <c r="F1067" s="140" t="str">
        <f t="shared" si="62"/>
        <v/>
      </c>
    </row>
    <row r="1068" spans="1:7" ht="12.4" customHeight="1">
      <c r="A1068" s="247"/>
      <c r="B1068" s="243"/>
      <c r="C1068" s="137" t="str">
        <v>Science</v>
      </c>
      <c r="D1068" s="138">
        <v>10</v>
      </c>
      <c r="E1068" s="139" t="str">
        <v/>
      </c>
      <c r="F1068" s="140" t="str">
        <f t="shared" si="62"/>
        <v/>
      </c>
    </row>
    <row r="1069" spans="1:7" ht="12.4" customHeight="1">
      <c r="A1069" s="247"/>
      <c r="B1069" s="244"/>
      <c r="C1069" s="141" t="str">
        <v>Tracing</v>
      </c>
      <c r="D1069" s="142">
        <v>10</v>
      </c>
      <c r="E1069" s="143" t="str">
        <v/>
      </c>
      <c r="F1069" s="144" t="str">
        <f t="shared" si="62"/>
        <v/>
      </c>
    </row>
    <row r="1070" spans="1:7" ht="12.4" customHeight="1">
      <c r="A1070" s="248"/>
      <c r="B1070" s="240" t="s">
        <v>133</v>
      </c>
      <c r="C1070" s="241"/>
      <c r="D1070" s="103">
        <f>D1059*20%+SUM(D1060:D1069)*80%</f>
        <v>100</v>
      </c>
      <c r="E1070" s="110" t="str">
        <v/>
      </c>
      <c r="F1070" s="104" t="str">
        <f t="shared" si="62"/>
        <v/>
      </c>
    </row>
    <row r="1072" spans="1:7" ht="12.4" customHeight="1">
      <c r="A1072" s="230" t="s">
        <v>121</v>
      </c>
      <c r="B1072" s="231"/>
      <c r="C1072" s="231"/>
      <c r="D1072" s="107" t="s">
        <v>123</v>
      </c>
      <c r="E1072" s="232" t="str">
        <f>I82</f>
        <v/>
      </c>
      <c r="F1072" s="233"/>
      <c r="G1072" s="101">
        <v>82</v>
      </c>
    </row>
    <row r="1073" spans="1:6" ht="12.4" customHeight="1">
      <c r="A1073" s="105" t="s">
        <v>122</v>
      </c>
      <c r="B1073" s="234" t="str">
        <f>$K$74</f>
        <v>FEBRUARY - JULY 2026</v>
      </c>
      <c r="C1073" s="234"/>
      <c r="D1073" s="106" t="s">
        <v>124</v>
      </c>
      <c r="E1073" s="235" t="str">
        <f>$I$74</f>
        <v/>
      </c>
      <c r="F1073" s="236"/>
    </row>
    <row r="1074" spans="1:6" ht="12.4" customHeight="1">
      <c r="A1074" s="237" t="s">
        <v>130</v>
      </c>
      <c r="B1074" s="238"/>
      <c r="C1074" s="238"/>
      <c r="D1074" s="238"/>
      <c r="E1074" s="238"/>
      <c r="F1074" s="239"/>
    </row>
    <row r="1075" spans="1:6" ht="12.4" customHeight="1">
      <c r="A1075" s="245" t="s">
        <v>14</v>
      </c>
      <c r="B1075" s="240" t="s">
        <v>125</v>
      </c>
      <c r="C1075" s="241"/>
      <c r="D1075" s="102" t="s">
        <v>126</v>
      </c>
      <c r="E1075" s="109" t="s">
        <v>127</v>
      </c>
      <c r="F1075" s="102" t="s">
        <v>128</v>
      </c>
    </row>
    <row r="1076" spans="1:6" ht="12.4" customHeight="1">
      <c r="A1076" s="246"/>
      <c r="B1076" s="240" t="s">
        <v>129</v>
      </c>
      <c r="C1076" s="241"/>
      <c r="D1076" s="102">
        <v>100</v>
      </c>
      <c r="E1076" s="110" t="str" cm="1">
        <f t="array" ref="E1076:E1087">TRANSPOSE(K82:V82)</f>
        <v/>
      </c>
      <c r="F1076" s="104" t="str">
        <f>IF(E1076="","",IF(E1076&lt;D1076*60%,"Try harder",""))</f>
        <v/>
      </c>
    </row>
    <row r="1077" spans="1:6" ht="12.4" customHeight="1">
      <c r="A1077" s="246"/>
      <c r="B1077" s="242" t="s">
        <v>132</v>
      </c>
      <c r="C1077" s="133" t="str" cm="1">
        <f t="array" ref="C1077:C1086">TRANSPOSE($L$77:$U$77)</f>
        <v>Up-Low C</v>
      </c>
      <c r="D1077" s="134">
        <v>10</v>
      </c>
      <c r="E1077" s="135" t="str">
        <v/>
      </c>
      <c r="F1077" s="136" t="str">
        <f t="shared" ref="F1077:F1087" si="63">IF(E1077="","",IF(E1077&lt;D1077*60%,"Try harder",""))</f>
        <v/>
      </c>
    </row>
    <row r="1078" spans="1:6" ht="12.4" customHeight="1">
      <c r="A1078" s="246"/>
      <c r="B1078" s="243"/>
      <c r="C1078" s="137" t="str">
        <v>Alphabet N</v>
      </c>
      <c r="D1078" s="138">
        <v>10</v>
      </c>
      <c r="E1078" s="139" t="str">
        <v/>
      </c>
      <c r="F1078" s="140" t="str">
        <f t="shared" si="63"/>
        <v/>
      </c>
    </row>
    <row r="1079" spans="1:6" ht="12.4" customHeight="1">
      <c r="A1079" s="246"/>
      <c r="B1079" s="243"/>
      <c r="C1079" s="137" t="str">
        <v>Alphabet S</v>
      </c>
      <c r="D1079" s="138">
        <v>10</v>
      </c>
      <c r="E1079" s="139" t="str">
        <v/>
      </c>
      <c r="F1079" s="140" t="str">
        <f t="shared" si="63"/>
        <v/>
      </c>
    </row>
    <row r="1080" spans="1:6" ht="12.4" customHeight="1">
      <c r="A1080" s="246"/>
      <c r="B1080" s="243"/>
      <c r="C1080" s="137" t="str">
        <v>Vocabulary</v>
      </c>
      <c r="D1080" s="138">
        <v>10</v>
      </c>
      <c r="E1080" s="139" t="str">
        <v/>
      </c>
      <c r="F1080" s="140" t="str">
        <f t="shared" si="63"/>
        <v/>
      </c>
    </row>
    <row r="1081" spans="1:6" ht="12.4" customHeight="1">
      <c r="A1081" s="247" t="s">
        <v>131</v>
      </c>
      <c r="B1081" s="243"/>
      <c r="C1081" s="137" t="str">
        <v>Sprouts</v>
      </c>
      <c r="D1081" s="138">
        <v>10</v>
      </c>
      <c r="E1081" s="139" t="str">
        <v/>
      </c>
      <c r="F1081" s="140" t="str">
        <f t="shared" si="63"/>
        <v/>
      </c>
    </row>
    <row r="1082" spans="1:6" ht="12.4" customHeight="1">
      <c r="A1082" s="247"/>
      <c r="B1082" s="243"/>
      <c r="C1082" s="137" t="str">
        <v>Phonics</v>
      </c>
      <c r="D1082" s="138">
        <v>10</v>
      </c>
      <c r="E1082" s="139" t="str">
        <v/>
      </c>
      <c r="F1082" s="140" t="str">
        <f t="shared" si="63"/>
        <v/>
      </c>
    </row>
    <row r="1083" spans="1:6" ht="12.4" customHeight="1">
      <c r="A1083" s="247"/>
      <c r="B1083" s="243"/>
      <c r="C1083" s="137" t="str">
        <v>Math</v>
      </c>
      <c r="D1083" s="138">
        <v>10</v>
      </c>
      <c r="E1083" s="139" t="str">
        <v/>
      </c>
      <c r="F1083" s="140" t="str">
        <f t="shared" si="63"/>
        <v/>
      </c>
    </row>
    <row r="1084" spans="1:6" ht="12.4" customHeight="1">
      <c r="A1084" s="247"/>
      <c r="B1084" s="243"/>
      <c r="C1084" s="137" t="str">
        <v>Shape</v>
      </c>
      <c r="D1084" s="138">
        <v>10</v>
      </c>
      <c r="E1084" s="139" t="str">
        <v/>
      </c>
      <c r="F1084" s="140" t="str">
        <f t="shared" si="63"/>
        <v/>
      </c>
    </row>
    <row r="1085" spans="1:6" ht="12.4" customHeight="1">
      <c r="A1085" s="247"/>
      <c r="B1085" s="243"/>
      <c r="C1085" s="137" t="str">
        <v>Science</v>
      </c>
      <c r="D1085" s="138">
        <v>10</v>
      </c>
      <c r="E1085" s="139" t="str">
        <v/>
      </c>
      <c r="F1085" s="140" t="str">
        <f t="shared" si="63"/>
        <v/>
      </c>
    </row>
    <row r="1086" spans="1:6" ht="12.4" customHeight="1">
      <c r="A1086" s="247"/>
      <c r="B1086" s="244"/>
      <c r="C1086" s="141" t="str">
        <v>Tracing</v>
      </c>
      <c r="D1086" s="142">
        <v>10</v>
      </c>
      <c r="E1086" s="143" t="str">
        <v/>
      </c>
      <c r="F1086" s="144" t="str">
        <f t="shared" si="63"/>
        <v/>
      </c>
    </row>
    <row r="1087" spans="1:6" ht="12.4" customHeight="1">
      <c r="A1087" s="248"/>
      <c r="B1087" s="240" t="s">
        <v>133</v>
      </c>
      <c r="C1087" s="241"/>
      <c r="D1087" s="103">
        <f>D1076*20%+SUM(D1077:D1086)*80%</f>
        <v>100</v>
      </c>
      <c r="E1087" s="110" t="str">
        <v/>
      </c>
      <c r="F1087" s="104" t="str">
        <f t="shared" si="63"/>
        <v/>
      </c>
    </row>
    <row r="1089" spans="1:7" ht="12.4" customHeight="1">
      <c r="A1089" s="230" t="s">
        <v>121</v>
      </c>
      <c r="B1089" s="231"/>
      <c r="C1089" s="231"/>
      <c r="D1089" s="107" t="s">
        <v>123</v>
      </c>
      <c r="E1089" s="232" t="str">
        <f>I83</f>
        <v/>
      </c>
      <c r="F1089" s="233"/>
      <c r="G1089" s="101">
        <v>83</v>
      </c>
    </row>
    <row r="1090" spans="1:7" ht="12.4" customHeight="1">
      <c r="A1090" s="105" t="s">
        <v>122</v>
      </c>
      <c r="B1090" s="234" t="str">
        <f>$K$74</f>
        <v>FEBRUARY - JULY 2026</v>
      </c>
      <c r="C1090" s="234"/>
      <c r="D1090" s="106" t="s">
        <v>124</v>
      </c>
      <c r="E1090" s="235" t="str">
        <f>$I$74</f>
        <v/>
      </c>
      <c r="F1090" s="236"/>
    </row>
    <row r="1091" spans="1:7" ht="12.4" customHeight="1">
      <c r="A1091" s="237" t="s">
        <v>130</v>
      </c>
      <c r="B1091" s="238"/>
      <c r="C1091" s="238"/>
      <c r="D1091" s="238"/>
      <c r="E1091" s="238"/>
      <c r="F1091" s="239"/>
    </row>
    <row r="1092" spans="1:7" ht="12.4" customHeight="1">
      <c r="A1092" s="245" t="s">
        <v>14</v>
      </c>
      <c r="B1092" s="240" t="s">
        <v>125</v>
      </c>
      <c r="C1092" s="241"/>
      <c r="D1092" s="102" t="s">
        <v>126</v>
      </c>
      <c r="E1092" s="109" t="s">
        <v>127</v>
      </c>
      <c r="F1092" s="102" t="s">
        <v>128</v>
      </c>
    </row>
    <row r="1093" spans="1:7" ht="12.4" customHeight="1">
      <c r="A1093" s="246"/>
      <c r="B1093" s="240" t="s">
        <v>129</v>
      </c>
      <c r="C1093" s="241"/>
      <c r="D1093" s="102">
        <v>100</v>
      </c>
      <c r="E1093" s="110" t="str" cm="1">
        <f t="array" ref="E1093:E1104">TRANSPOSE(K83:V83)</f>
        <v/>
      </c>
      <c r="F1093" s="104" t="str">
        <f>IF(E1093="","",IF(E1093&lt;D1093*60%,"Try harder",""))</f>
        <v/>
      </c>
    </row>
    <row r="1094" spans="1:7" ht="12.4" customHeight="1">
      <c r="A1094" s="246"/>
      <c r="B1094" s="242" t="s">
        <v>132</v>
      </c>
      <c r="C1094" s="133" t="str" cm="1">
        <f t="array" ref="C1094:C1103">TRANSPOSE($L$77:$U$77)</f>
        <v>Up-Low C</v>
      </c>
      <c r="D1094" s="134">
        <v>10</v>
      </c>
      <c r="E1094" s="135" t="str">
        <v/>
      </c>
      <c r="F1094" s="136" t="str">
        <f t="shared" ref="F1094:F1104" si="64">IF(E1094="","",IF(E1094&lt;D1094*60%,"Try harder",""))</f>
        <v/>
      </c>
    </row>
    <row r="1095" spans="1:7" ht="12.4" customHeight="1">
      <c r="A1095" s="246"/>
      <c r="B1095" s="243"/>
      <c r="C1095" s="137" t="str">
        <v>Alphabet N</v>
      </c>
      <c r="D1095" s="138">
        <v>10</v>
      </c>
      <c r="E1095" s="139" t="str">
        <v/>
      </c>
      <c r="F1095" s="140" t="str">
        <f t="shared" si="64"/>
        <v/>
      </c>
    </row>
    <row r="1096" spans="1:7" ht="12.4" customHeight="1">
      <c r="A1096" s="246"/>
      <c r="B1096" s="243"/>
      <c r="C1096" s="137" t="str">
        <v>Alphabet S</v>
      </c>
      <c r="D1096" s="138">
        <v>10</v>
      </c>
      <c r="E1096" s="139" t="str">
        <v/>
      </c>
      <c r="F1096" s="140" t="str">
        <f t="shared" si="64"/>
        <v/>
      </c>
    </row>
    <row r="1097" spans="1:7" ht="12.4" customHeight="1">
      <c r="A1097" s="246"/>
      <c r="B1097" s="243"/>
      <c r="C1097" s="137" t="str">
        <v>Vocabulary</v>
      </c>
      <c r="D1097" s="138">
        <v>10</v>
      </c>
      <c r="E1097" s="139" t="str">
        <v/>
      </c>
      <c r="F1097" s="140" t="str">
        <f t="shared" si="64"/>
        <v/>
      </c>
    </row>
    <row r="1098" spans="1:7" ht="12.4" customHeight="1">
      <c r="A1098" s="247" t="s">
        <v>131</v>
      </c>
      <c r="B1098" s="243"/>
      <c r="C1098" s="137" t="str">
        <v>Sprouts</v>
      </c>
      <c r="D1098" s="138">
        <v>10</v>
      </c>
      <c r="E1098" s="139" t="str">
        <v/>
      </c>
      <c r="F1098" s="140" t="str">
        <f t="shared" si="64"/>
        <v/>
      </c>
    </row>
    <row r="1099" spans="1:7" ht="12.4" customHeight="1">
      <c r="A1099" s="247"/>
      <c r="B1099" s="243"/>
      <c r="C1099" s="137" t="str">
        <v>Phonics</v>
      </c>
      <c r="D1099" s="138">
        <v>10</v>
      </c>
      <c r="E1099" s="139" t="str">
        <v/>
      </c>
      <c r="F1099" s="140" t="str">
        <f t="shared" si="64"/>
        <v/>
      </c>
    </row>
    <row r="1100" spans="1:7" ht="12.4" customHeight="1">
      <c r="A1100" s="247"/>
      <c r="B1100" s="243"/>
      <c r="C1100" s="137" t="str">
        <v>Math</v>
      </c>
      <c r="D1100" s="138">
        <v>10</v>
      </c>
      <c r="E1100" s="139" t="str">
        <v/>
      </c>
      <c r="F1100" s="140" t="str">
        <f t="shared" si="64"/>
        <v/>
      </c>
    </row>
    <row r="1101" spans="1:7" ht="12.4" customHeight="1">
      <c r="A1101" s="247"/>
      <c r="B1101" s="243"/>
      <c r="C1101" s="137" t="str">
        <v>Shape</v>
      </c>
      <c r="D1101" s="138">
        <v>10</v>
      </c>
      <c r="E1101" s="139" t="str">
        <v/>
      </c>
      <c r="F1101" s="140" t="str">
        <f t="shared" si="64"/>
        <v/>
      </c>
    </row>
    <row r="1102" spans="1:7" ht="12.4" customHeight="1">
      <c r="A1102" s="247"/>
      <c r="B1102" s="243"/>
      <c r="C1102" s="137" t="str">
        <v>Science</v>
      </c>
      <c r="D1102" s="138">
        <v>10</v>
      </c>
      <c r="E1102" s="139" t="str">
        <v/>
      </c>
      <c r="F1102" s="140" t="str">
        <f t="shared" si="64"/>
        <v/>
      </c>
    </row>
    <row r="1103" spans="1:7" ht="12.4" customHeight="1">
      <c r="A1103" s="247"/>
      <c r="B1103" s="244"/>
      <c r="C1103" s="141" t="str">
        <v>Tracing</v>
      </c>
      <c r="D1103" s="142">
        <v>10</v>
      </c>
      <c r="E1103" s="143" t="str">
        <v/>
      </c>
      <c r="F1103" s="144" t="str">
        <f t="shared" si="64"/>
        <v/>
      </c>
    </row>
    <row r="1104" spans="1:7" ht="12.4" customHeight="1">
      <c r="A1104" s="248"/>
      <c r="B1104" s="240" t="s">
        <v>133</v>
      </c>
      <c r="C1104" s="241"/>
      <c r="D1104" s="103">
        <f>D1093*20%+SUM(D1094:D1103)*80%</f>
        <v>100</v>
      </c>
      <c r="E1104" s="110" t="str">
        <v/>
      </c>
      <c r="F1104" s="104" t="str">
        <f t="shared" si="64"/>
        <v/>
      </c>
    </row>
    <row r="1106" spans="1:7" ht="12.4" customHeight="1">
      <c r="A1106" s="230" t="s">
        <v>121</v>
      </c>
      <c r="B1106" s="231"/>
      <c r="C1106" s="231"/>
      <c r="D1106" s="107" t="s">
        <v>123</v>
      </c>
      <c r="E1106" s="232" t="str">
        <f>I84</f>
        <v/>
      </c>
      <c r="F1106" s="233"/>
      <c r="G1106" s="101">
        <v>84</v>
      </c>
    </row>
    <row r="1107" spans="1:7" ht="12.4" customHeight="1">
      <c r="A1107" s="105" t="s">
        <v>122</v>
      </c>
      <c r="B1107" s="234" t="str">
        <f>$K$74</f>
        <v>FEBRUARY - JULY 2026</v>
      </c>
      <c r="C1107" s="234"/>
      <c r="D1107" s="106" t="s">
        <v>124</v>
      </c>
      <c r="E1107" s="235" t="str">
        <f>$I$74</f>
        <v/>
      </c>
      <c r="F1107" s="236"/>
    </row>
    <row r="1108" spans="1:7" ht="12.4" customHeight="1">
      <c r="A1108" s="237" t="s">
        <v>130</v>
      </c>
      <c r="B1108" s="238"/>
      <c r="C1108" s="238"/>
      <c r="D1108" s="238"/>
      <c r="E1108" s="238"/>
      <c r="F1108" s="239"/>
    </row>
    <row r="1109" spans="1:7" ht="12.4" customHeight="1">
      <c r="A1109" s="245" t="s">
        <v>14</v>
      </c>
      <c r="B1109" s="240" t="s">
        <v>125</v>
      </c>
      <c r="C1109" s="241"/>
      <c r="D1109" s="102" t="s">
        <v>126</v>
      </c>
      <c r="E1109" s="109" t="s">
        <v>127</v>
      </c>
      <c r="F1109" s="102" t="s">
        <v>128</v>
      </c>
    </row>
    <row r="1110" spans="1:7" ht="12.4" customHeight="1">
      <c r="A1110" s="246"/>
      <c r="B1110" s="240" t="s">
        <v>129</v>
      </c>
      <c r="C1110" s="241"/>
      <c r="D1110" s="102">
        <v>100</v>
      </c>
      <c r="E1110" s="110" t="str" cm="1">
        <f t="array" ref="E1110:E1121">TRANSPOSE(K84:V84)</f>
        <v/>
      </c>
      <c r="F1110" s="104" t="str">
        <f>IF(E1110="","",IF(E1110&lt;D1110*60%,"Try harder",""))</f>
        <v/>
      </c>
    </row>
    <row r="1111" spans="1:7" ht="12.4" customHeight="1">
      <c r="A1111" s="246"/>
      <c r="B1111" s="242" t="s">
        <v>132</v>
      </c>
      <c r="C1111" s="133" t="str" cm="1">
        <f t="array" ref="C1111:C1120">TRANSPOSE($L$77:$U$77)</f>
        <v>Up-Low C</v>
      </c>
      <c r="D1111" s="134">
        <v>10</v>
      </c>
      <c r="E1111" s="135" t="str">
        <v/>
      </c>
      <c r="F1111" s="136" t="str">
        <f t="shared" ref="F1111:F1121" si="65">IF(E1111="","",IF(E1111&lt;D1111*60%,"Try harder",""))</f>
        <v/>
      </c>
    </row>
    <row r="1112" spans="1:7" ht="12.4" customHeight="1">
      <c r="A1112" s="246"/>
      <c r="B1112" s="243"/>
      <c r="C1112" s="137" t="str">
        <v>Alphabet N</v>
      </c>
      <c r="D1112" s="138">
        <v>10</v>
      </c>
      <c r="E1112" s="139" t="str">
        <v/>
      </c>
      <c r="F1112" s="140" t="str">
        <f t="shared" si="65"/>
        <v/>
      </c>
    </row>
    <row r="1113" spans="1:7" ht="12.4" customHeight="1">
      <c r="A1113" s="246"/>
      <c r="B1113" s="243"/>
      <c r="C1113" s="137" t="str">
        <v>Alphabet S</v>
      </c>
      <c r="D1113" s="138">
        <v>10</v>
      </c>
      <c r="E1113" s="139" t="str">
        <v/>
      </c>
      <c r="F1113" s="140" t="str">
        <f t="shared" si="65"/>
        <v/>
      </c>
    </row>
    <row r="1114" spans="1:7" ht="12.4" customHeight="1">
      <c r="A1114" s="246"/>
      <c r="B1114" s="243"/>
      <c r="C1114" s="137" t="str">
        <v>Vocabulary</v>
      </c>
      <c r="D1114" s="138">
        <v>10</v>
      </c>
      <c r="E1114" s="139" t="str">
        <v/>
      </c>
      <c r="F1114" s="140" t="str">
        <f t="shared" si="65"/>
        <v/>
      </c>
    </row>
    <row r="1115" spans="1:7" ht="12.4" customHeight="1">
      <c r="A1115" s="247" t="s">
        <v>131</v>
      </c>
      <c r="B1115" s="243"/>
      <c r="C1115" s="137" t="str">
        <v>Sprouts</v>
      </c>
      <c r="D1115" s="138">
        <v>10</v>
      </c>
      <c r="E1115" s="139" t="str">
        <v/>
      </c>
      <c r="F1115" s="140" t="str">
        <f t="shared" si="65"/>
        <v/>
      </c>
    </row>
    <row r="1116" spans="1:7" ht="12.4" customHeight="1">
      <c r="A1116" s="247"/>
      <c r="B1116" s="243"/>
      <c r="C1116" s="137" t="str">
        <v>Phonics</v>
      </c>
      <c r="D1116" s="138">
        <v>10</v>
      </c>
      <c r="E1116" s="139" t="str">
        <v/>
      </c>
      <c r="F1116" s="140" t="str">
        <f t="shared" si="65"/>
        <v/>
      </c>
    </row>
    <row r="1117" spans="1:7" ht="12.4" customHeight="1">
      <c r="A1117" s="247"/>
      <c r="B1117" s="243"/>
      <c r="C1117" s="137" t="str">
        <v>Math</v>
      </c>
      <c r="D1117" s="138">
        <v>10</v>
      </c>
      <c r="E1117" s="139" t="str">
        <v/>
      </c>
      <c r="F1117" s="140" t="str">
        <f t="shared" si="65"/>
        <v/>
      </c>
    </row>
    <row r="1118" spans="1:7" ht="12.4" customHeight="1">
      <c r="A1118" s="247"/>
      <c r="B1118" s="243"/>
      <c r="C1118" s="137" t="str">
        <v>Shape</v>
      </c>
      <c r="D1118" s="138">
        <v>10</v>
      </c>
      <c r="E1118" s="139" t="str">
        <v/>
      </c>
      <c r="F1118" s="140" t="str">
        <f t="shared" si="65"/>
        <v/>
      </c>
    </row>
    <row r="1119" spans="1:7" ht="12.4" customHeight="1">
      <c r="A1119" s="247"/>
      <c r="B1119" s="243"/>
      <c r="C1119" s="137" t="str">
        <v>Science</v>
      </c>
      <c r="D1119" s="138">
        <v>10</v>
      </c>
      <c r="E1119" s="139" t="str">
        <v/>
      </c>
      <c r="F1119" s="140" t="str">
        <f t="shared" si="65"/>
        <v/>
      </c>
    </row>
    <row r="1120" spans="1:7" ht="12.4" customHeight="1">
      <c r="A1120" s="247"/>
      <c r="B1120" s="244"/>
      <c r="C1120" s="141" t="str">
        <v>Tracing</v>
      </c>
      <c r="D1120" s="142">
        <v>10</v>
      </c>
      <c r="E1120" s="143" t="str">
        <v/>
      </c>
      <c r="F1120" s="144" t="str">
        <f t="shared" si="65"/>
        <v/>
      </c>
    </row>
    <row r="1121" spans="1:7" ht="12.4" customHeight="1">
      <c r="A1121" s="248"/>
      <c r="B1121" s="240" t="s">
        <v>133</v>
      </c>
      <c r="C1121" s="241"/>
      <c r="D1121" s="103">
        <f>D1110*20%+SUM(D1111:D1120)*80%</f>
        <v>100</v>
      </c>
      <c r="E1121" s="110" t="str">
        <v/>
      </c>
      <c r="F1121" s="104" t="str">
        <f t="shared" si="65"/>
        <v/>
      </c>
    </row>
    <row r="1123" spans="1:7" ht="12.4" customHeight="1">
      <c r="A1123" s="230" t="s">
        <v>121</v>
      </c>
      <c r="B1123" s="231"/>
      <c r="C1123" s="231"/>
      <c r="D1123" s="107" t="s">
        <v>123</v>
      </c>
      <c r="E1123" s="232" t="str">
        <f>I85</f>
        <v/>
      </c>
      <c r="F1123" s="233"/>
      <c r="G1123" s="101">
        <v>85</v>
      </c>
    </row>
    <row r="1124" spans="1:7" ht="12.4" customHeight="1">
      <c r="A1124" s="105" t="s">
        <v>122</v>
      </c>
      <c r="B1124" s="234" t="str">
        <f>$K$74</f>
        <v>FEBRUARY - JULY 2026</v>
      </c>
      <c r="C1124" s="234"/>
      <c r="D1124" s="106" t="s">
        <v>124</v>
      </c>
      <c r="E1124" s="235" t="str">
        <f>$I$74</f>
        <v/>
      </c>
      <c r="F1124" s="236"/>
    </row>
    <row r="1125" spans="1:7" ht="12.4" customHeight="1">
      <c r="A1125" s="237" t="s">
        <v>130</v>
      </c>
      <c r="B1125" s="238"/>
      <c r="C1125" s="238"/>
      <c r="D1125" s="238"/>
      <c r="E1125" s="238"/>
      <c r="F1125" s="239"/>
    </row>
    <row r="1126" spans="1:7" ht="12.4" customHeight="1">
      <c r="A1126" s="245" t="s">
        <v>14</v>
      </c>
      <c r="B1126" s="240" t="s">
        <v>125</v>
      </c>
      <c r="C1126" s="241"/>
      <c r="D1126" s="102" t="s">
        <v>126</v>
      </c>
      <c r="E1126" s="109" t="s">
        <v>127</v>
      </c>
      <c r="F1126" s="102" t="s">
        <v>128</v>
      </c>
    </row>
    <row r="1127" spans="1:7" ht="12.4" customHeight="1">
      <c r="A1127" s="246"/>
      <c r="B1127" s="240" t="s">
        <v>129</v>
      </c>
      <c r="C1127" s="241"/>
      <c r="D1127" s="102">
        <v>100</v>
      </c>
      <c r="E1127" s="110" t="str" cm="1">
        <f t="array" ref="E1127:E1138">TRANSPOSE(K85:V85)</f>
        <v/>
      </c>
      <c r="F1127" s="104" t="str">
        <f>IF(E1127="","",IF(E1127&lt;D1127*60%,"Try harder",""))</f>
        <v/>
      </c>
    </row>
    <row r="1128" spans="1:7" ht="12.4" customHeight="1">
      <c r="A1128" s="246"/>
      <c r="B1128" s="242" t="s">
        <v>132</v>
      </c>
      <c r="C1128" s="133" t="str" cm="1">
        <f t="array" ref="C1128:C1137">TRANSPOSE($L$77:$U$77)</f>
        <v>Up-Low C</v>
      </c>
      <c r="D1128" s="134">
        <v>10</v>
      </c>
      <c r="E1128" s="135" t="str">
        <v/>
      </c>
      <c r="F1128" s="136" t="str">
        <f t="shared" ref="F1128:F1138" si="66">IF(E1128="","",IF(E1128&lt;D1128*60%,"Try harder",""))</f>
        <v/>
      </c>
    </row>
    <row r="1129" spans="1:7" ht="12.4" customHeight="1">
      <c r="A1129" s="246"/>
      <c r="B1129" s="243"/>
      <c r="C1129" s="137" t="str">
        <v>Alphabet N</v>
      </c>
      <c r="D1129" s="138">
        <v>10</v>
      </c>
      <c r="E1129" s="139" t="str">
        <v/>
      </c>
      <c r="F1129" s="140" t="str">
        <f t="shared" si="66"/>
        <v/>
      </c>
    </row>
    <row r="1130" spans="1:7" ht="12.4" customHeight="1">
      <c r="A1130" s="246"/>
      <c r="B1130" s="243"/>
      <c r="C1130" s="137" t="str">
        <v>Alphabet S</v>
      </c>
      <c r="D1130" s="138">
        <v>10</v>
      </c>
      <c r="E1130" s="139" t="str">
        <v/>
      </c>
      <c r="F1130" s="140" t="str">
        <f t="shared" si="66"/>
        <v/>
      </c>
    </row>
    <row r="1131" spans="1:7" ht="12.4" customHeight="1">
      <c r="A1131" s="246"/>
      <c r="B1131" s="243"/>
      <c r="C1131" s="137" t="str">
        <v>Vocabulary</v>
      </c>
      <c r="D1131" s="138">
        <v>10</v>
      </c>
      <c r="E1131" s="139" t="str">
        <v/>
      </c>
      <c r="F1131" s="140" t="str">
        <f t="shared" si="66"/>
        <v/>
      </c>
    </row>
    <row r="1132" spans="1:7" ht="12.4" customHeight="1">
      <c r="A1132" s="247" t="s">
        <v>131</v>
      </c>
      <c r="B1132" s="243"/>
      <c r="C1132" s="137" t="str">
        <v>Sprouts</v>
      </c>
      <c r="D1132" s="138">
        <v>10</v>
      </c>
      <c r="E1132" s="139" t="str">
        <v/>
      </c>
      <c r="F1132" s="140" t="str">
        <f t="shared" si="66"/>
        <v/>
      </c>
    </row>
    <row r="1133" spans="1:7" ht="12.4" customHeight="1">
      <c r="A1133" s="247"/>
      <c r="B1133" s="243"/>
      <c r="C1133" s="137" t="str">
        <v>Phonics</v>
      </c>
      <c r="D1133" s="138">
        <v>10</v>
      </c>
      <c r="E1133" s="139" t="str">
        <v/>
      </c>
      <c r="F1133" s="140" t="str">
        <f t="shared" si="66"/>
        <v/>
      </c>
    </row>
    <row r="1134" spans="1:7" ht="12.4" customHeight="1">
      <c r="A1134" s="247"/>
      <c r="B1134" s="243"/>
      <c r="C1134" s="137" t="str">
        <v>Math</v>
      </c>
      <c r="D1134" s="138">
        <v>10</v>
      </c>
      <c r="E1134" s="139" t="str">
        <v/>
      </c>
      <c r="F1134" s="140" t="str">
        <f t="shared" si="66"/>
        <v/>
      </c>
    </row>
    <row r="1135" spans="1:7" ht="12.4" customHeight="1">
      <c r="A1135" s="247"/>
      <c r="B1135" s="243"/>
      <c r="C1135" s="137" t="str">
        <v>Shape</v>
      </c>
      <c r="D1135" s="138">
        <v>10</v>
      </c>
      <c r="E1135" s="139" t="str">
        <v/>
      </c>
      <c r="F1135" s="140" t="str">
        <f t="shared" si="66"/>
        <v/>
      </c>
    </row>
    <row r="1136" spans="1:7" ht="12.4" customHeight="1">
      <c r="A1136" s="247"/>
      <c r="B1136" s="243"/>
      <c r="C1136" s="137" t="str">
        <v>Science</v>
      </c>
      <c r="D1136" s="138">
        <v>10</v>
      </c>
      <c r="E1136" s="139" t="str">
        <v/>
      </c>
      <c r="F1136" s="140" t="str">
        <f t="shared" si="66"/>
        <v/>
      </c>
    </row>
    <row r="1137" spans="1:7" ht="12.4" customHeight="1">
      <c r="A1137" s="247"/>
      <c r="B1137" s="244"/>
      <c r="C1137" s="141" t="str">
        <v>Tracing</v>
      </c>
      <c r="D1137" s="142">
        <v>10</v>
      </c>
      <c r="E1137" s="143" t="str">
        <v/>
      </c>
      <c r="F1137" s="144" t="str">
        <f t="shared" si="66"/>
        <v/>
      </c>
    </row>
    <row r="1138" spans="1:7" ht="12.4" customHeight="1">
      <c r="A1138" s="248"/>
      <c r="B1138" s="240" t="s">
        <v>133</v>
      </c>
      <c r="C1138" s="241"/>
      <c r="D1138" s="103">
        <f>D1127*20%+SUM(D1128:D1137)*80%</f>
        <v>100</v>
      </c>
      <c r="E1138" s="110" t="str">
        <v/>
      </c>
      <c r="F1138" s="104" t="str">
        <f t="shared" si="66"/>
        <v/>
      </c>
    </row>
    <row r="1140" spans="1:7" ht="12.4" customHeight="1">
      <c r="A1140" s="230" t="s">
        <v>121</v>
      </c>
      <c r="B1140" s="231"/>
      <c r="C1140" s="231"/>
      <c r="D1140" s="107" t="s">
        <v>123</v>
      </c>
      <c r="E1140" s="232" t="str">
        <f>I86</f>
        <v/>
      </c>
      <c r="F1140" s="233"/>
      <c r="G1140" s="101">
        <v>86</v>
      </c>
    </row>
    <row r="1141" spans="1:7" ht="12.4" customHeight="1">
      <c r="A1141" s="105" t="s">
        <v>122</v>
      </c>
      <c r="B1141" s="234" t="str">
        <f>$K$74</f>
        <v>FEBRUARY - JULY 2026</v>
      </c>
      <c r="C1141" s="234"/>
      <c r="D1141" s="106" t="s">
        <v>124</v>
      </c>
      <c r="E1141" s="235" t="str">
        <f>$I$74</f>
        <v/>
      </c>
      <c r="F1141" s="236"/>
    </row>
    <row r="1142" spans="1:7" ht="12.4" customHeight="1">
      <c r="A1142" s="237" t="s">
        <v>130</v>
      </c>
      <c r="B1142" s="238"/>
      <c r="C1142" s="238"/>
      <c r="D1142" s="238"/>
      <c r="E1142" s="238"/>
      <c r="F1142" s="239"/>
    </row>
    <row r="1143" spans="1:7" ht="12.4" customHeight="1">
      <c r="A1143" s="245" t="s">
        <v>14</v>
      </c>
      <c r="B1143" s="240" t="s">
        <v>125</v>
      </c>
      <c r="C1143" s="241"/>
      <c r="D1143" s="102" t="s">
        <v>126</v>
      </c>
      <c r="E1143" s="109" t="s">
        <v>127</v>
      </c>
      <c r="F1143" s="102" t="s">
        <v>128</v>
      </c>
    </row>
    <row r="1144" spans="1:7" ht="12.4" customHeight="1">
      <c r="A1144" s="246"/>
      <c r="B1144" s="240" t="s">
        <v>129</v>
      </c>
      <c r="C1144" s="241"/>
      <c r="D1144" s="102">
        <v>100</v>
      </c>
      <c r="E1144" s="110" t="str" cm="1">
        <f t="array" ref="E1144:E1155">TRANSPOSE(K86:V86)</f>
        <v/>
      </c>
      <c r="F1144" s="104" t="str">
        <f>IF(E1144="","",IF(E1144&lt;D1144*60%,"Try harder",""))</f>
        <v/>
      </c>
    </row>
    <row r="1145" spans="1:7" ht="12.4" customHeight="1">
      <c r="A1145" s="246"/>
      <c r="B1145" s="242" t="s">
        <v>132</v>
      </c>
      <c r="C1145" s="133" t="str" cm="1">
        <f t="array" ref="C1145:C1154">TRANSPOSE($L$77:$U$77)</f>
        <v>Up-Low C</v>
      </c>
      <c r="D1145" s="134">
        <v>10</v>
      </c>
      <c r="E1145" s="135" t="str">
        <v/>
      </c>
      <c r="F1145" s="136" t="str">
        <f t="shared" ref="F1145:F1155" si="67">IF(E1145="","",IF(E1145&lt;D1145*60%,"Try harder",""))</f>
        <v/>
      </c>
    </row>
    <row r="1146" spans="1:7" ht="12.4" customHeight="1">
      <c r="A1146" s="246"/>
      <c r="B1146" s="243"/>
      <c r="C1146" s="137" t="str">
        <v>Alphabet N</v>
      </c>
      <c r="D1146" s="138">
        <v>10</v>
      </c>
      <c r="E1146" s="139" t="str">
        <v/>
      </c>
      <c r="F1146" s="140" t="str">
        <f t="shared" si="67"/>
        <v/>
      </c>
    </row>
    <row r="1147" spans="1:7" ht="12.4" customHeight="1">
      <c r="A1147" s="246"/>
      <c r="B1147" s="243"/>
      <c r="C1147" s="137" t="str">
        <v>Alphabet S</v>
      </c>
      <c r="D1147" s="138">
        <v>10</v>
      </c>
      <c r="E1147" s="139" t="str">
        <v/>
      </c>
      <c r="F1147" s="140" t="str">
        <f t="shared" si="67"/>
        <v/>
      </c>
    </row>
    <row r="1148" spans="1:7" ht="12.4" customHeight="1">
      <c r="A1148" s="246"/>
      <c r="B1148" s="243"/>
      <c r="C1148" s="137" t="str">
        <v>Vocabulary</v>
      </c>
      <c r="D1148" s="138">
        <v>10</v>
      </c>
      <c r="E1148" s="139" t="str">
        <v/>
      </c>
      <c r="F1148" s="140" t="str">
        <f t="shared" si="67"/>
        <v/>
      </c>
    </row>
    <row r="1149" spans="1:7" ht="12.4" customHeight="1">
      <c r="A1149" s="247" t="s">
        <v>131</v>
      </c>
      <c r="B1149" s="243"/>
      <c r="C1149" s="137" t="str">
        <v>Sprouts</v>
      </c>
      <c r="D1149" s="138">
        <v>10</v>
      </c>
      <c r="E1149" s="139" t="str">
        <v/>
      </c>
      <c r="F1149" s="140" t="str">
        <f t="shared" si="67"/>
        <v/>
      </c>
    </row>
    <row r="1150" spans="1:7" ht="12.4" customHeight="1">
      <c r="A1150" s="247"/>
      <c r="B1150" s="243"/>
      <c r="C1150" s="137" t="str">
        <v>Phonics</v>
      </c>
      <c r="D1150" s="138">
        <v>10</v>
      </c>
      <c r="E1150" s="139" t="str">
        <v/>
      </c>
      <c r="F1150" s="140" t="str">
        <f t="shared" si="67"/>
        <v/>
      </c>
    </row>
    <row r="1151" spans="1:7" ht="12.4" customHeight="1">
      <c r="A1151" s="247"/>
      <c r="B1151" s="243"/>
      <c r="C1151" s="137" t="str">
        <v>Math</v>
      </c>
      <c r="D1151" s="138">
        <v>10</v>
      </c>
      <c r="E1151" s="139" t="str">
        <v/>
      </c>
      <c r="F1151" s="140" t="str">
        <f t="shared" si="67"/>
        <v/>
      </c>
    </row>
    <row r="1152" spans="1:7" ht="12.4" customHeight="1">
      <c r="A1152" s="247"/>
      <c r="B1152" s="243"/>
      <c r="C1152" s="137" t="str">
        <v>Shape</v>
      </c>
      <c r="D1152" s="138">
        <v>10</v>
      </c>
      <c r="E1152" s="139" t="str">
        <v/>
      </c>
      <c r="F1152" s="140" t="str">
        <f t="shared" si="67"/>
        <v/>
      </c>
    </row>
    <row r="1153" spans="1:7" ht="12.4" customHeight="1">
      <c r="A1153" s="247"/>
      <c r="B1153" s="243"/>
      <c r="C1153" s="137" t="str">
        <v>Science</v>
      </c>
      <c r="D1153" s="138">
        <v>10</v>
      </c>
      <c r="E1153" s="139" t="str">
        <v/>
      </c>
      <c r="F1153" s="140" t="str">
        <f t="shared" si="67"/>
        <v/>
      </c>
    </row>
    <row r="1154" spans="1:7" ht="12.4" customHeight="1">
      <c r="A1154" s="247"/>
      <c r="B1154" s="244"/>
      <c r="C1154" s="141" t="str">
        <v>Tracing</v>
      </c>
      <c r="D1154" s="142">
        <v>10</v>
      </c>
      <c r="E1154" s="143" t="str">
        <v/>
      </c>
      <c r="F1154" s="144" t="str">
        <f t="shared" si="67"/>
        <v/>
      </c>
    </row>
    <row r="1155" spans="1:7" ht="12.4" customHeight="1">
      <c r="A1155" s="248"/>
      <c r="B1155" s="240" t="s">
        <v>133</v>
      </c>
      <c r="C1155" s="241"/>
      <c r="D1155" s="103">
        <f>D1144*20%+SUM(D1145:D1154)*80%</f>
        <v>100</v>
      </c>
      <c r="E1155" s="110" t="str">
        <v/>
      </c>
      <c r="F1155" s="104" t="str">
        <f t="shared" si="67"/>
        <v/>
      </c>
    </row>
    <row r="1157" spans="1:7" ht="12.4" customHeight="1">
      <c r="A1157" s="230" t="s">
        <v>121</v>
      </c>
      <c r="B1157" s="231"/>
      <c r="C1157" s="231"/>
      <c r="D1157" s="107" t="s">
        <v>123</v>
      </c>
      <c r="E1157" s="232" t="str">
        <f>I87</f>
        <v/>
      </c>
      <c r="F1157" s="233"/>
      <c r="G1157" s="101">
        <v>87</v>
      </c>
    </row>
    <row r="1158" spans="1:7" ht="12.4" customHeight="1">
      <c r="A1158" s="105" t="s">
        <v>122</v>
      </c>
      <c r="B1158" s="234" t="str">
        <f>$K$74</f>
        <v>FEBRUARY - JULY 2026</v>
      </c>
      <c r="C1158" s="234"/>
      <c r="D1158" s="106" t="s">
        <v>124</v>
      </c>
      <c r="E1158" s="235" t="str">
        <f>$I$74</f>
        <v/>
      </c>
      <c r="F1158" s="236"/>
    </row>
    <row r="1159" spans="1:7" ht="12.4" customHeight="1">
      <c r="A1159" s="237" t="s">
        <v>130</v>
      </c>
      <c r="B1159" s="238"/>
      <c r="C1159" s="238"/>
      <c r="D1159" s="238"/>
      <c r="E1159" s="238"/>
      <c r="F1159" s="239"/>
    </row>
    <row r="1160" spans="1:7" ht="12.4" customHeight="1">
      <c r="A1160" s="245" t="s">
        <v>14</v>
      </c>
      <c r="B1160" s="240" t="s">
        <v>125</v>
      </c>
      <c r="C1160" s="241"/>
      <c r="D1160" s="102" t="s">
        <v>126</v>
      </c>
      <c r="E1160" s="109" t="s">
        <v>127</v>
      </c>
      <c r="F1160" s="102" t="s">
        <v>128</v>
      </c>
    </row>
    <row r="1161" spans="1:7" ht="12.4" customHeight="1">
      <c r="A1161" s="246"/>
      <c r="B1161" s="240" t="s">
        <v>129</v>
      </c>
      <c r="C1161" s="241"/>
      <c r="D1161" s="102">
        <v>100</v>
      </c>
      <c r="E1161" s="110" t="str" cm="1">
        <f t="array" ref="E1161:E1172">TRANSPOSE(K87:V87)</f>
        <v/>
      </c>
      <c r="F1161" s="104" t="str">
        <f>IF(E1161="","",IF(E1161&lt;D1161*60%,"Try harder",""))</f>
        <v/>
      </c>
    </row>
    <row r="1162" spans="1:7" ht="12.4" customHeight="1">
      <c r="A1162" s="246"/>
      <c r="B1162" s="242" t="s">
        <v>132</v>
      </c>
      <c r="C1162" s="133" t="str" cm="1">
        <f t="array" ref="C1162:C1171">TRANSPOSE($L$77:$U$77)</f>
        <v>Up-Low C</v>
      </c>
      <c r="D1162" s="134">
        <v>10</v>
      </c>
      <c r="E1162" s="135" t="str">
        <v/>
      </c>
      <c r="F1162" s="136" t="str">
        <f t="shared" ref="F1162:F1172" si="68">IF(E1162="","",IF(E1162&lt;D1162*60%,"Try harder",""))</f>
        <v/>
      </c>
    </row>
    <row r="1163" spans="1:7" ht="12.4" customHeight="1">
      <c r="A1163" s="246"/>
      <c r="B1163" s="243"/>
      <c r="C1163" s="137" t="str">
        <v>Alphabet N</v>
      </c>
      <c r="D1163" s="138">
        <v>10</v>
      </c>
      <c r="E1163" s="139" t="str">
        <v/>
      </c>
      <c r="F1163" s="140" t="str">
        <f t="shared" si="68"/>
        <v/>
      </c>
    </row>
    <row r="1164" spans="1:7" ht="12.4" customHeight="1">
      <c r="A1164" s="246"/>
      <c r="B1164" s="243"/>
      <c r="C1164" s="137" t="str">
        <v>Alphabet S</v>
      </c>
      <c r="D1164" s="138">
        <v>10</v>
      </c>
      <c r="E1164" s="139" t="str">
        <v/>
      </c>
      <c r="F1164" s="140" t="str">
        <f t="shared" si="68"/>
        <v/>
      </c>
    </row>
    <row r="1165" spans="1:7" ht="12.4" customHeight="1">
      <c r="A1165" s="246"/>
      <c r="B1165" s="243"/>
      <c r="C1165" s="137" t="str">
        <v>Vocabulary</v>
      </c>
      <c r="D1165" s="138">
        <v>10</v>
      </c>
      <c r="E1165" s="139" t="str">
        <v/>
      </c>
      <c r="F1165" s="140" t="str">
        <f t="shared" si="68"/>
        <v/>
      </c>
    </row>
    <row r="1166" spans="1:7" ht="12.4" customHeight="1">
      <c r="A1166" s="247" t="s">
        <v>131</v>
      </c>
      <c r="B1166" s="243"/>
      <c r="C1166" s="137" t="str">
        <v>Sprouts</v>
      </c>
      <c r="D1166" s="138">
        <v>10</v>
      </c>
      <c r="E1166" s="139" t="str">
        <v/>
      </c>
      <c r="F1166" s="140" t="str">
        <f t="shared" si="68"/>
        <v/>
      </c>
    </row>
    <row r="1167" spans="1:7" ht="12.4" customHeight="1">
      <c r="A1167" s="247"/>
      <c r="B1167" s="243"/>
      <c r="C1167" s="137" t="str">
        <v>Phonics</v>
      </c>
      <c r="D1167" s="138">
        <v>10</v>
      </c>
      <c r="E1167" s="139" t="str">
        <v/>
      </c>
      <c r="F1167" s="140" t="str">
        <f t="shared" si="68"/>
        <v/>
      </c>
    </row>
    <row r="1168" spans="1:7" ht="12.4" customHeight="1">
      <c r="A1168" s="247"/>
      <c r="B1168" s="243"/>
      <c r="C1168" s="137" t="str">
        <v>Math</v>
      </c>
      <c r="D1168" s="138">
        <v>10</v>
      </c>
      <c r="E1168" s="139" t="str">
        <v/>
      </c>
      <c r="F1168" s="140" t="str">
        <f t="shared" si="68"/>
        <v/>
      </c>
    </row>
    <row r="1169" spans="1:7" ht="12.4" customHeight="1">
      <c r="A1169" s="247"/>
      <c r="B1169" s="243"/>
      <c r="C1169" s="137" t="str">
        <v>Shape</v>
      </c>
      <c r="D1169" s="138">
        <v>10</v>
      </c>
      <c r="E1169" s="139" t="str">
        <v/>
      </c>
      <c r="F1169" s="140" t="str">
        <f t="shared" si="68"/>
        <v/>
      </c>
    </row>
    <row r="1170" spans="1:7" ht="12.4" customHeight="1">
      <c r="A1170" s="247"/>
      <c r="B1170" s="243"/>
      <c r="C1170" s="137" t="str">
        <v>Science</v>
      </c>
      <c r="D1170" s="138">
        <v>10</v>
      </c>
      <c r="E1170" s="139" t="str">
        <v/>
      </c>
      <c r="F1170" s="140" t="str">
        <f t="shared" si="68"/>
        <v/>
      </c>
    </row>
    <row r="1171" spans="1:7" ht="12.4" customHeight="1">
      <c r="A1171" s="247"/>
      <c r="B1171" s="244"/>
      <c r="C1171" s="141" t="str">
        <v>Tracing</v>
      </c>
      <c r="D1171" s="142">
        <v>10</v>
      </c>
      <c r="E1171" s="143" t="str">
        <v/>
      </c>
      <c r="F1171" s="144" t="str">
        <f t="shared" si="68"/>
        <v/>
      </c>
    </row>
    <row r="1172" spans="1:7" ht="12.4" customHeight="1">
      <c r="A1172" s="248"/>
      <c r="B1172" s="240" t="s">
        <v>133</v>
      </c>
      <c r="C1172" s="241"/>
      <c r="D1172" s="103">
        <f>D1161*20%+SUM(D1162:D1171)*80%</f>
        <v>100</v>
      </c>
      <c r="E1172" s="110" t="str">
        <v/>
      </c>
      <c r="F1172" s="104" t="str">
        <f t="shared" si="68"/>
        <v/>
      </c>
    </row>
    <row r="1174" spans="1:7" ht="12.4" customHeight="1">
      <c r="A1174" s="230" t="s">
        <v>121</v>
      </c>
      <c r="B1174" s="231"/>
      <c r="C1174" s="231"/>
      <c r="D1174" s="107" t="s">
        <v>123</v>
      </c>
      <c r="E1174" s="232" t="str">
        <f>I88</f>
        <v/>
      </c>
      <c r="F1174" s="233"/>
      <c r="G1174" s="101">
        <v>88</v>
      </c>
    </row>
    <row r="1175" spans="1:7" ht="12.4" customHeight="1">
      <c r="A1175" s="105" t="s">
        <v>122</v>
      </c>
      <c r="B1175" s="234" t="str">
        <f>$K$74</f>
        <v>FEBRUARY - JULY 2026</v>
      </c>
      <c r="C1175" s="234"/>
      <c r="D1175" s="106" t="s">
        <v>124</v>
      </c>
      <c r="E1175" s="235" t="str">
        <f>$I$74</f>
        <v/>
      </c>
      <c r="F1175" s="236"/>
    </row>
    <row r="1176" spans="1:7" ht="12.4" customHeight="1">
      <c r="A1176" s="237" t="s">
        <v>130</v>
      </c>
      <c r="B1176" s="238"/>
      <c r="C1176" s="238"/>
      <c r="D1176" s="238"/>
      <c r="E1176" s="238"/>
      <c r="F1176" s="239"/>
    </row>
    <row r="1177" spans="1:7" ht="12.4" customHeight="1">
      <c r="A1177" s="245" t="s">
        <v>14</v>
      </c>
      <c r="B1177" s="240" t="s">
        <v>125</v>
      </c>
      <c r="C1177" s="241"/>
      <c r="D1177" s="102" t="s">
        <v>126</v>
      </c>
      <c r="E1177" s="109" t="s">
        <v>127</v>
      </c>
      <c r="F1177" s="102" t="s">
        <v>128</v>
      </c>
    </row>
    <row r="1178" spans="1:7" ht="12.4" customHeight="1">
      <c r="A1178" s="246"/>
      <c r="B1178" s="240" t="s">
        <v>129</v>
      </c>
      <c r="C1178" s="241"/>
      <c r="D1178" s="102">
        <v>100</v>
      </c>
      <c r="E1178" s="110" t="str" cm="1">
        <f t="array" ref="E1178:E1189">TRANSPOSE(K88:V88)</f>
        <v/>
      </c>
      <c r="F1178" s="104" t="str">
        <f>IF(E1178="","",IF(E1178&lt;D1178*60%,"Try harder",""))</f>
        <v/>
      </c>
    </row>
    <row r="1179" spans="1:7" ht="12.4" customHeight="1">
      <c r="A1179" s="246"/>
      <c r="B1179" s="242" t="s">
        <v>132</v>
      </c>
      <c r="C1179" s="133" t="str" cm="1">
        <f t="array" ref="C1179:C1188">TRANSPOSE($L$77:$U$77)</f>
        <v>Up-Low C</v>
      </c>
      <c r="D1179" s="134">
        <v>10</v>
      </c>
      <c r="E1179" s="135" t="str">
        <v/>
      </c>
      <c r="F1179" s="136" t="str">
        <f t="shared" ref="F1179:F1189" si="69">IF(E1179="","",IF(E1179&lt;D1179*60%,"Try harder",""))</f>
        <v/>
      </c>
    </row>
    <row r="1180" spans="1:7" ht="12.4" customHeight="1">
      <c r="A1180" s="246"/>
      <c r="B1180" s="243"/>
      <c r="C1180" s="137" t="str">
        <v>Alphabet N</v>
      </c>
      <c r="D1180" s="138">
        <v>10</v>
      </c>
      <c r="E1180" s="139" t="str">
        <v/>
      </c>
      <c r="F1180" s="140" t="str">
        <f t="shared" si="69"/>
        <v/>
      </c>
    </row>
    <row r="1181" spans="1:7" ht="12.4" customHeight="1">
      <c r="A1181" s="246"/>
      <c r="B1181" s="243"/>
      <c r="C1181" s="137" t="str">
        <v>Alphabet S</v>
      </c>
      <c r="D1181" s="138">
        <v>10</v>
      </c>
      <c r="E1181" s="139" t="str">
        <v/>
      </c>
      <c r="F1181" s="140" t="str">
        <f t="shared" si="69"/>
        <v/>
      </c>
    </row>
    <row r="1182" spans="1:7" ht="12.4" customHeight="1">
      <c r="A1182" s="246"/>
      <c r="B1182" s="243"/>
      <c r="C1182" s="137" t="str">
        <v>Vocabulary</v>
      </c>
      <c r="D1182" s="138">
        <v>10</v>
      </c>
      <c r="E1182" s="139" t="str">
        <v/>
      </c>
      <c r="F1182" s="140" t="str">
        <f t="shared" si="69"/>
        <v/>
      </c>
    </row>
    <row r="1183" spans="1:7" ht="12.4" customHeight="1">
      <c r="A1183" s="247" t="s">
        <v>131</v>
      </c>
      <c r="B1183" s="243"/>
      <c r="C1183" s="137" t="str">
        <v>Sprouts</v>
      </c>
      <c r="D1183" s="138">
        <v>10</v>
      </c>
      <c r="E1183" s="139" t="str">
        <v/>
      </c>
      <c r="F1183" s="140" t="str">
        <f t="shared" si="69"/>
        <v/>
      </c>
    </row>
    <row r="1184" spans="1:7" ht="12.4" customHeight="1">
      <c r="A1184" s="247"/>
      <c r="B1184" s="243"/>
      <c r="C1184" s="137" t="str">
        <v>Phonics</v>
      </c>
      <c r="D1184" s="138">
        <v>10</v>
      </c>
      <c r="E1184" s="139" t="str">
        <v/>
      </c>
      <c r="F1184" s="140" t="str">
        <f t="shared" si="69"/>
        <v/>
      </c>
    </row>
    <row r="1185" spans="1:7" ht="12.4" customHeight="1">
      <c r="A1185" s="247"/>
      <c r="B1185" s="243"/>
      <c r="C1185" s="137" t="str">
        <v>Math</v>
      </c>
      <c r="D1185" s="138">
        <v>10</v>
      </c>
      <c r="E1185" s="139" t="str">
        <v/>
      </c>
      <c r="F1185" s="140" t="str">
        <f t="shared" si="69"/>
        <v/>
      </c>
    </row>
    <row r="1186" spans="1:7" ht="12.4" customHeight="1">
      <c r="A1186" s="247"/>
      <c r="B1186" s="243"/>
      <c r="C1186" s="137" t="str">
        <v>Shape</v>
      </c>
      <c r="D1186" s="138">
        <v>10</v>
      </c>
      <c r="E1186" s="139" t="str">
        <v/>
      </c>
      <c r="F1186" s="140" t="str">
        <f t="shared" si="69"/>
        <v/>
      </c>
    </row>
    <row r="1187" spans="1:7" ht="12.4" customHeight="1">
      <c r="A1187" s="247"/>
      <c r="B1187" s="243"/>
      <c r="C1187" s="137" t="str">
        <v>Science</v>
      </c>
      <c r="D1187" s="138">
        <v>10</v>
      </c>
      <c r="E1187" s="139" t="str">
        <v/>
      </c>
      <c r="F1187" s="140" t="str">
        <f t="shared" si="69"/>
        <v/>
      </c>
    </row>
    <row r="1188" spans="1:7" ht="12.4" customHeight="1">
      <c r="A1188" s="247"/>
      <c r="B1188" s="244"/>
      <c r="C1188" s="141" t="str">
        <v>Tracing</v>
      </c>
      <c r="D1188" s="142">
        <v>10</v>
      </c>
      <c r="E1188" s="143" t="str">
        <v/>
      </c>
      <c r="F1188" s="144" t="str">
        <f t="shared" si="69"/>
        <v/>
      </c>
    </row>
    <row r="1189" spans="1:7" ht="12.4" customHeight="1">
      <c r="A1189" s="248"/>
      <c r="B1189" s="240" t="s">
        <v>133</v>
      </c>
      <c r="C1189" s="241"/>
      <c r="D1189" s="103">
        <f>D1178*20%+SUM(D1179:D1188)*80%</f>
        <v>100</v>
      </c>
      <c r="E1189" s="110" t="str">
        <v/>
      </c>
      <c r="F1189" s="104" t="str">
        <f t="shared" si="69"/>
        <v/>
      </c>
    </row>
    <row r="1191" spans="1:7" ht="12.4" customHeight="1">
      <c r="A1191" s="230" t="s">
        <v>121</v>
      </c>
      <c r="B1191" s="231"/>
      <c r="C1191" s="231"/>
      <c r="D1191" s="107" t="s">
        <v>123</v>
      </c>
      <c r="E1191" s="232" t="str">
        <f>I89</f>
        <v/>
      </c>
      <c r="F1191" s="233"/>
      <c r="G1191" s="101">
        <v>89</v>
      </c>
    </row>
    <row r="1192" spans="1:7" ht="12.4" customHeight="1">
      <c r="A1192" s="105" t="s">
        <v>122</v>
      </c>
      <c r="B1192" s="234" t="str">
        <f>$K$74</f>
        <v>FEBRUARY - JULY 2026</v>
      </c>
      <c r="C1192" s="234"/>
      <c r="D1192" s="106" t="s">
        <v>124</v>
      </c>
      <c r="E1192" s="235" t="str">
        <f>$I$74</f>
        <v/>
      </c>
      <c r="F1192" s="236"/>
    </row>
    <row r="1193" spans="1:7" ht="12.4" customHeight="1">
      <c r="A1193" s="237" t="s">
        <v>130</v>
      </c>
      <c r="B1193" s="238"/>
      <c r="C1193" s="238"/>
      <c r="D1193" s="238"/>
      <c r="E1193" s="238"/>
      <c r="F1193" s="239"/>
    </row>
    <row r="1194" spans="1:7" ht="12.4" customHeight="1">
      <c r="A1194" s="245" t="s">
        <v>14</v>
      </c>
      <c r="B1194" s="240" t="s">
        <v>125</v>
      </c>
      <c r="C1194" s="241"/>
      <c r="D1194" s="102" t="s">
        <v>126</v>
      </c>
      <c r="E1194" s="109" t="s">
        <v>127</v>
      </c>
      <c r="F1194" s="102" t="s">
        <v>128</v>
      </c>
    </row>
    <row r="1195" spans="1:7" ht="12.4" customHeight="1">
      <c r="A1195" s="246"/>
      <c r="B1195" s="240" t="s">
        <v>129</v>
      </c>
      <c r="C1195" s="241"/>
      <c r="D1195" s="102">
        <v>100</v>
      </c>
      <c r="E1195" s="110" t="str" cm="1">
        <f t="array" ref="E1195:E1206">TRANSPOSE(K89:V89)</f>
        <v/>
      </c>
      <c r="F1195" s="104" t="str">
        <f>IF(E1195="","",IF(E1195&lt;D1195*60%,"Try harder",""))</f>
        <v/>
      </c>
    </row>
    <row r="1196" spans="1:7" ht="12.4" customHeight="1">
      <c r="A1196" s="246"/>
      <c r="B1196" s="242" t="s">
        <v>132</v>
      </c>
      <c r="C1196" s="133" t="str" cm="1">
        <f t="array" ref="C1196:C1205">TRANSPOSE($L$77:$U$77)</f>
        <v>Up-Low C</v>
      </c>
      <c r="D1196" s="134">
        <v>10</v>
      </c>
      <c r="E1196" s="135" t="str">
        <v/>
      </c>
      <c r="F1196" s="136" t="str">
        <f t="shared" ref="F1196:F1206" si="70">IF(E1196="","",IF(E1196&lt;D1196*60%,"Try harder",""))</f>
        <v/>
      </c>
    </row>
    <row r="1197" spans="1:7" ht="12.4" customHeight="1">
      <c r="A1197" s="246"/>
      <c r="B1197" s="243"/>
      <c r="C1197" s="137" t="str">
        <v>Alphabet N</v>
      </c>
      <c r="D1197" s="138">
        <v>10</v>
      </c>
      <c r="E1197" s="139" t="str">
        <v/>
      </c>
      <c r="F1197" s="140" t="str">
        <f t="shared" si="70"/>
        <v/>
      </c>
    </row>
    <row r="1198" spans="1:7" ht="12.4" customHeight="1">
      <c r="A1198" s="246"/>
      <c r="B1198" s="243"/>
      <c r="C1198" s="137" t="str">
        <v>Alphabet S</v>
      </c>
      <c r="D1198" s="138">
        <v>10</v>
      </c>
      <c r="E1198" s="139" t="str">
        <v/>
      </c>
      <c r="F1198" s="140" t="str">
        <f t="shared" si="70"/>
        <v/>
      </c>
    </row>
    <row r="1199" spans="1:7" ht="12.4" customHeight="1">
      <c r="A1199" s="246"/>
      <c r="B1199" s="243"/>
      <c r="C1199" s="137" t="str">
        <v>Vocabulary</v>
      </c>
      <c r="D1199" s="138">
        <v>10</v>
      </c>
      <c r="E1199" s="139" t="str">
        <v/>
      </c>
      <c r="F1199" s="140" t="str">
        <f t="shared" si="70"/>
        <v/>
      </c>
    </row>
    <row r="1200" spans="1:7" ht="12.4" customHeight="1">
      <c r="A1200" s="247" t="s">
        <v>131</v>
      </c>
      <c r="B1200" s="243"/>
      <c r="C1200" s="137" t="str">
        <v>Sprouts</v>
      </c>
      <c r="D1200" s="138">
        <v>10</v>
      </c>
      <c r="E1200" s="139" t="str">
        <v/>
      </c>
      <c r="F1200" s="140" t="str">
        <f t="shared" si="70"/>
        <v/>
      </c>
    </row>
    <row r="1201" spans="1:7" ht="12.4" customHeight="1">
      <c r="A1201" s="247"/>
      <c r="B1201" s="243"/>
      <c r="C1201" s="137" t="str">
        <v>Phonics</v>
      </c>
      <c r="D1201" s="138">
        <v>10</v>
      </c>
      <c r="E1201" s="139" t="str">
        <v/>
      </c>
      <c r="F1201" s="140" t="str">
        <f t="shared" si="70"/>
        <v/>
      </c>
    </row>
    <row r="1202" spans="1:7" ht="12.4" customHeight="1">
      <c r="A1202" s="247"/>
      <c r="B1202" s="243"/>
      <c r="C1202" s="137" t="str">
        <v>Math</v>
      </c>
      <c r="D1202" s="138">
        <v>10</v>
      </c>
      <c r="E1202" s="139" t="str">
        <v/>
      </c>
      <c r="F1202" s="140" t="str">
        <f t="shared" si="70"/>
        <v/>
      </c>
    </row>
    <row r="1203" spans="1:7" ht="12.4" customHeight="1">
      <c r="A1203" s="247"/>
      <c r="B1203" s="243"/>
      <c r="C1203" s="137" t="str">
        <v>Shape</v>
      </c>
      <c r="D1203" s="138">
        <v>10</v>
      </c>
      <c r="E1203" s="139" t="str">
        <v/>
      </c>
      <c r="F1203" s="140" t="str">
        <f t="shared" si="70"/>
        <v/>
      </c>
    </row>
    <row r="1204" spans="1:7" ht="12.4" customHeight="1">
      <c r="A1204" s="247"/>
      <c r="B1204" s="243"/>
      <c r="C1204" s="137" t="str">
        <v>Science</v>
      </c>
      <c r="D1204" s="138">
        <v>10</v>
      </c>
      <c r="E1204" s="139" t="str">
        <v/>
      </c>
      <c r="F1204" s="140" t="str">
        <f t="shared" si="70"/>
        <v/>
      </c>
    </row>
    <row r="1205" spans="1:7" ht="12.4" customHeight="1">
      <c r="A1205" s="247"/>
      <c r="B1205" s="244"/>
      <c r="C1205" s="141" t="str">
        <v>Tracing</v>
      </c>
      <c r="D1205" s="142">
        <v>10</v>
      </c>
      <c r="E1205" s="143" t="str">
        <v/>
      </c>
      <c r="F1205" s="144" t="str">
        <f t="shared" si="70"/>
        <v/>
      </c>
    </row>
    <row r="1206" spans="1:7" ht="12.4" customHeight="1">
      <c r="A1206" s="248"/>
      <c r="B1206" s="240" t="s">
        <v>133</v>
      </c>
      <c r="C1206" s="241"/>
      <c r="D1206" s="103">
        <f>D1195*20%+SUM(D1196:D1205)*80%</f>
        <v>100</v>
      </c>
      <c r="E1206" s="110" t="str">
        <v/>
      </c>
      <c r="F1206" s="104" t="str">
        <f t="shared" si="70"/>
        <v/>
      </c>
    </row>
    <row r="1208" spans="1:7" ht="12.4" customHeight="1">
      <c r="A1208" s="230" t="s">
        <v>121</v>
      </c>
      <c r="B1208" s="231"/>
      <c r="C1208" s="231"/>
      <c r="D1208" s="107" t="s">
        <v>123</v>
      </c>
      <c r="E1208" s="232" t="str">
        <f>I90</f>
        <v/>
      </c>
      <c r="F1208" s="233"/>
      <c r="G1208" s="101">
        <v>90</v>
      </c>
    </row>
    <row r="1209" spans="1:7" ht="12.4" customHeight="1">
      <c r="A1209" s="105" t="s">
        <v>122</v>
      </c>
      <c r="B1209" s="234" t="str">
        <f>$K$74</f>
        <v>FEBRUARY - JULY 2026</v>
      </c>
      <c r="C1209" s="234"/>
      <c r="D1209" s="106" t="s">
        <v>124</v>
      </c>
      <c r="E1209" s="235" t="str">
        <f>$I$74</f>
        <v/>
      </c>
      <c r="F1209" s="236"/>
    </row>
    <row r="1210" spans="1:7" ht="12.4" customHeight="1">
      <c r="A1210" s="237" t="s">
        <v>130</v>
      </c>
      <c r="B1210" s="238"/>
      <c r="C1210" s="238"/>
      <c r="D1210" s="238"/>
      <c r="E1210" s="238"/>
      <c r="F1210" s="239"/>
    </row>
    <row r="1211" spans="1:7" ht="12.4" customHeight="1">
      <c r="A1211" s="245" t="s">
        <v>14</v>
      </c>
      <c r="B1211" s="240" t="s">
        <v>125</v>
      </c>
      <c r="C1211" s="241"/>
      <c r="D1211" s="102" t="s">
        <v>126</v>
      </c>
      <c r="E1211" s="109" t="s">
        <v>127</v>
      </c>
      <c r="F1211" s="102" t="s">
        <v>128</v>
      </c>
    </row>
    <row r="1212" spans="1:7" ht="12.4" customHeight="1">
      <c r="A1212" s="246"/>
      <c r="B1212" s="240" t="s">
        <v>129</v>
      </c>
      <c r="C1212" s="241"/>
      <c r="D1212" s="102">
        <v>100</v>
      </c>
      <c r="E1212" s="110" t="str" cm="1">
        <f t="array" ref="E1212:E1223">TRANSPOSE(K90:V90)</f>
        <v/>
      </c>
      <c r="F1212" s="104" t="str">
        <f>IF(E1212="","",IF(E1212&lt;D1212*60%,"Try harder",""))</f>
        <v/>
      </c>
    </row>
    <row r="1213" spans="1:7" ht="12.4" customHeight="1">
      <c r="A1213" s="246"/>
      <c r="B1213" s="242" t="s">
        <v>132</v>
      </c>
      <c r="C1213" s="133" t="str" cm="1">
        <f t="array" ref="C1213:C1222">TRANSPOSE($L$77:$U$77)</f>
        <v>Up-Low C</v>
      </c>
      <c r="D1213" s="134">
        <v>10</v>
      </c>
      <c r="E1213" s="135" t="str">
        <v/>
      </c>
      <c r="F1213" s="136" t="str">
        <f t="shared" ref="F1213:F1223" si="71">IF(E1213="","",IF(E1213&lt;D1213*60%,"Try harder",""))</f>
        <v/>
      </c>
    </row>
    <row r="1214" spans="1:7" ht="12.4" customHeight="1">
      <c r="A1214" s="246"/>
      <c r="B1214" s="243"/>
      <c r="C1214" s="137" t="str">
        <v>Alphabet N</v>
      </c>
      <c r="D1214" s="138">
        <v>10</v>
      </c>
      <c r="E1214" s="139" t="str">
        <v/>
      </c>
      <c r="F1214" s="140" t="str">
        <f t="shared" si="71"/>
        <v/>
      </c>
    </row>
    <row r="1215" spans="1:7" ht="12.4" customHeight="1">
      <c r="A1215" s="246"/>
      <c r="B1215" s="243"/>
      <c r="C1215" s="137" t="str">
        <v>Alphabet S</v>
      </c>
      <c r="D1215" s="138">
        <v>10</v>
      </c>
      <c r="E1215" s="139" t="str">
        <v/>
      </c>
      <c r="F1215" s="140" t="str">
        <f t="shared" si="71"/>
        <v/>
      </c>
    </row>
    <row r="1216" spans="1:7" ht="12.4" customHeight="1">
      <c r="A1216" s="246"/>
      <c r="B1216" s="243"/>
      <c r="C1216" s="137" t="str">
        <v>Vocabulary</v>
      </c>
      <c r="D1216" s="138">
        <v>10</v>
      </c>
      <c r="E1216" s="139" t="str">
        <v/>
      </c>
      <c r="F1216" s="140" t="str">
        <f t="shared" si="71"/>
        <v/>
      </c>
    </row>
    <row r="1217" spans="1:7" ht="12.4" customHeight="1">
      <c r="A1217" s="247" t="s">
        <v>131</v>
      </c>
      <c r="B1217" s="243"/>
      <c r="C1217" s="137" t="str">
        <v>Sprouts</v>
      </c>
      <c r="D1217" s="138">
        <v>10</v>
      </c>
      <c r="E1217" s="139" t="str">
        <v/>
      </c>
      <c r="F1217" s="140" t="str">
        <f t="shared" si="71"/>
        <v/>
      </c>
    </row>
    <row r="1218" spans="1:7" ht="12.4" customHeight="1">
      <c r="A1218" s="247"/>
      <c r="B1218" s="243"/>
      <c r="C1218" s="137" t="str">
        <v>Phonics</v>
      </c>
      <c r="D1218" s="138">
        <v>10</v>
      </c>
      <c r="E1218" s="139" t="str">
        <v/>
      </c>
      <c r="F1218" s="140" t="str">
        <f t="shared" si="71"/>
        <v/>
      </c>
    </row>
    <row r="1219" spans="1:7" ht="12.4" customHeight="1">
      <c r="A1219" s="247"/>
      <c r="B1219" s="243"/>
      <c r="C1219" s="137" t="str">
        <v>Math</v>
      </c>
      <c r="D1219" s="138">
        <v>10</v>
      </c>
      <c r="E1219" s="139" t="str">
        <v/>
      </c>
      <c r="F1219" s="140" t="str">
        <f t="shared" si="71"/>
        <v/>
      </c>
    </row>
    <row r="1220" spans="1:7" ht="12.4" customHeight="1">
      <c r="A1220" s="247"/>
      <c r="B1220" s="243"/>
      <c r="C1220" s="137" t="str">
        <v>Shape</v>
      </c>
      <c r="D1220" s="138">
        <v>10</v>
      </c>
      <c r="E1220" s="139" t="str">
        <v/>
      </c>
      <c r="F1220" s="140" t="str">
        <f t="shared" si="71"/>
        <v/>
      </c>
    </row>
    <row r="1221" spans="1:7" ht="12.4" customHeight="1">
      <c r="A1221" s="247"/>
      <c r="B1221" s="243"/>
      <c r="C1221" s="137" t="str">
        <v>Science</v>
      </c>
      <c r="D1221" s="138">
        <v>10</v>
      </c>
      <c r="E1221" s="139" t="str">
        <v/>
      </c>
      <c r="F1221" s="140" t="str">
        <f t="shared" si="71"/>
        <v/>
      </c>
    </row>
    <row r="1222" spans="1:7" ht="12.4" customHeight="1">
      <c r="A1222" s="247"/>
      <c r="B1222" s="244"/>
      <c r="C1222" s="141" t="str">
        <v>Tracing</v>
      </c>
      <c r="D1222" s="142">
        <v>10</v>
      </c>
      <c r="E1222" s="143" t="str">
        <v/>
      </c>
      <c r="F1222" s="144" t="str">
        <f t="shared" si="71"/>
        <v/>
      </c>
    </row>
    <row r="1223" spans="1:7" ht="12.4" customHeight="1">
      <c r="A1223" s="248"/>
      <c r="B1223" s="240" t="s">
        <v>133</v>
      </c>
      <c r="C1223" s="241"/>
      <c r="D1223" s="103">
        <f>D1212*20%+SUM(D1213:D1222)*80%</f>
        <v>100</v>
      </c>
      <c r="E1223" s="110" t="str">
        <v/>
      </c>
      <c r="F1223" s="104" t="str">
        <f t="shared" si="71"/>
        <v/>
      </c>
    </row>
    <row r="1225" spans="1:7" ht="12.4" customHeight="1">
      <c r="A1225" s="230" t="s">
        <v>121</v>
      </c>
      <c r="B1225" s="231"/>
      <c r="C1225" s="231"/>
      <c r="D1225" s="107" t="s">
        <v>123</v>
      </c>
      <c r="E1225" s="232" t="str">
        <f>I91</f>
        <v/>
      </c>
      <c r="F1225" s="233"/>
      <c r="G1225" s="101">
        <v>91</v>
      </c>
    </row>
    <row r="1226" spans="1:7" ht="12.4" customHeight="1">
      <c r="A1226" s="105" t="s">
        <v>122</v>
      </c>
      <c r="B1226" s="234" t="str">
        <f>$K$74</f>
        <v>FEBRUARY - JULY 2026</v>
      </c>
      <c r="C1226" s="234"/>
      <c r="D1226" s="106" t="s">
        <v>124</v>
      </c>
      <c r="E1226" s="235" t="str">
        <f>$I$74</f>
        <v/>
      </c>
      <c r="F1226" s="236"/>
    </row>
    <row r="1227" spans="1:7" ht="12.4" customHeight="1">
      <c r="A1227" s="237" t="s">
        <v>130</v>
      </c>
      <c r="B1227" s="238"/>
      <c r="C1227" s="238"/>
      <c r="D1227" s="238"/>
      <c r="E1227" s="238"/>
      <c r="F1227" s="239"/>
    </row>
    <row r="1228" spans="1:7" ht="12.4" customHeight="1">
      <c r="A1228" s="245" t="s">
        <v>14</v>
      </c>
      <c r="B1228" s="240" t="s">
        <v>125</v>
      </c>
      <c r="C1228" s="241"/>
      <c r="D1228" s="102" t="s">
        <v>126</v>
      </c>
      <c r="E1228" s="109" t="s">
        <v>127</v>
      </c>
      <c r="F1228" s="102" t="s">
        <v>128</v>
      </c>
    </row>
    <row r="1229" spans="1:7" ht="12.4" customHeight="1">
      <c r="A1229" s="246"/>
      <c r="B1229" s="240" t="s">
        <v>129</v>
      </c>
      <c r="C1229" s="241"/>
      <c r="D1229" s="102">
        <v>100</v>
      </c>
      <c r="E1229" s="110" t="str" cm="1">
        <f t="array" ref="E1229:E1240">TRANSPOSE(K91:V91)</f>
        <v/>
      </c>
      <c r="F1229" s="104" t="str">
        <f>IF(E1229="","",IF(E1229&lt;D1229*60%,"Try harder",""))</f>
        <v/>
      </c>
    </row>
    <row r="1230" spans="1:7" ht="12.4" customHeight="1">
      <c r="A1230" s="246"/>
      <c r="B1230" s="242" t="s">
        <v>132</v>
      </c>
      <c r="C1230" s="133" t="str" cm="1">
        <f t="array" ref="C1230:C1239">TRANSPOSE($L$77:$U$77)</f>
        <v>Up-Low C</v>
      </c>
      <c r="D1230" s="134">
        <v>10</v>
      </c>
      <c r="E1230" s="135" t="str">
        <v/>
      </c>
      <c r="F1230" s="136" t="str">
        <f t="shared" ref="F1230:F1240" si="72">IF(E1230="","",IF(E1230&lt;D1230*60%,"Try harder",""))</f>
        <v/>
      </c>
    </row>
    <row r="1231" spans="1:7" ht="12.4" customHeight="1">
      <c r="A1231" s="246"/>
      <c r="B1231" s="243"/>
      <c r="C1231" s="137" t="str">
        <v>Alphabet N</v>
      </c>
      <c r="D1231" s="138">
        <v>10</v>
      </c>
      <c r="E1231" s="139" t="str">
        <v/>
      </c>
      <c r="F1231" s="140" t="str">
        <f t="shared" si="72"/>
        <v/>
      </c>
    </row>
    <row r="1232" spans="1:7" ht="12.4" customHeight="1">
      <c r="A1232" s="246"/>
      <c r="B1232" s="243"/>
      <c r="C1232" s="137" t="str">
        <v>Alphabet S</v>
      </c>
      <c r="D1232" s="138">
        <v>10</v>
      </c>
      <c r="E1232" s="139" t="str">
        <v/>
      </c>
      <c r="F1232" s="140" t="str">
        <f t="shared" si="72"/>
        <v/>
      </c>
    </row>
    <row r="1233" spans="1:7" ht="12.4" customHeight="1">
      <c r="A1233" s="246"/>
      <c r="B1233" s="243"/>
      <c r="C1233" s="137" t="str">
        <v>Vocabulary</v>
      </c>
      <c r="D1233" s="138">
        <v>10</v>
      </c>
      <c r="E1233" s="139" t="str">
        <v/>
      </c>
      <c r="F1233" s="140" t="str">
        <f t="shared" si="72"/>
        <v/>
      </c>
    </row>
    <row r="1234" spans="1:7" ht="12.4" customHeight="1">
      <c r="A1234" s="247" t="s">
        <v>131</v>
      </c>
      <c r="B1234" s="243"/>
      <c r="C1234" s="137" t="str">
        <v>Sprouts</v>
      </c>
      <c r="D1234" s="138">
        <v>10</v>
      </c>
      <c r="E1234" s="139" t="str">
        <v/>
      </c>
      <c r="F1234" s="140" t="str">
        <f t="shared" si="72"/>
        <v/>
      </c>
    </row>
    <row r="1235" spans="1:7" ht="12.4" customHeight="1">
      <c r="A1235" s="247"/>
      <c r="B1235" s="243"/>
      <c r="C1235" s="137" t="str">
        <v>Phonics</v>
      </c>
      <c r="D1235" s="138">
        <v>10</v>
      </c>
      <c r="E1235" s="139" t="str">
        <v/>
      </c>
      <c r="F1235" s="140" t="str">
        <f t="shared" si="72"/>
        <v/>
      </c>
    </row>
    <row r="1236" spans="1:7" ht="12.4" customHeight="1">
      <c r="A1236" s="247"/>
      <c r="B1236" s="243"/>
      <c r="C1236" s="137" t="str">
        <v>Math</v>
      </c>
      <c r="D1236" s="138">
        <v>10</v>
      </c>
      <c r="E1236" s="139" t="str">
        <v/>
      </c>
      <c r="F1236" s="140" t="str">
        <f t="shared" si="72"/>
        <v/>
      </c>
    </row>
    <row r="1237" spans="1:7" ht="12.4" customHeight="1">
      <c r="A1237" s="247"/>
      <c r="B1237" s="243"/>
      <c r="C1237" s="137" t="str">
        <v>Shape</v>
      </c>
      <c r="D1237" s="138">
        <v>10</v>
      </c>
      <c r="E1237" s="139" t="str">
        <v/>
      </c>
      <c r="F1237" s="140" t="str">
        <f t="shared" si="72"/>
        <v/>
      </c>
    </row>
    <row r="1238" spans="1:7" ht="12.4" customHeight="1">
      <c r="A1238" s="247"/>
      <c r="B1238" s="243"/>
      <c r="C1238" s="137" t="str">
        <v>Science</v>
      </c>
      <c r="D1238" s="138">
        <v>10</v>
      </c>
      <c r="E1238" s="139" t="str">
        <v/>
      </c>
      <c r="F1238" s="140" t="str">
        <f t="shared" si="72"/>
        <v/>
      </c>
    </row>
    <row r="1239" spans="1:7" ht="12.4" customHeight="1">
      <c r="A1239" s="247"/>
      <c r="B1239" s="244"/>
      <c r="C1239" s="141" t="str">
        <v>Tracing</v>
      </c>
      <c r="D1239" s="142">
        <v>10</v>
      </c>
      <c r="E1239" s="143" t="str">
        <v/>
      </c>
      <c r="F1239" s="144" t="str">
        <f t="shared" si="72"/>
        <v/>
      </c>
    </row>
    <row r="1240" spans="1:7" ht="12.4" customHeight="1">
      <c r="A1240" s="248"/>
      <c r="B1240" s="240" t="s">
        <v>133</v>
      </c>
      <c r="C1240" s="241"/>
      <c r="D1240" s="103">
        <f>D1229*20%+SUM(D1230:D1239)*80%</f>
        <v>100</v>
      </c>
      <c r="E1240" s="110" t="str">
        <v/>
      </c>
      <c r="F1240" s="104" t="str">
        <f t="shared" si="72"/>
        <v/>
      </c>
    </row>
    <row r="1242" spans="1:7" ht="12.4" customHeight="1">
      <c r="A1242" s="230" t="s">
        <v>121</v>
      </c>
      <c r="B1242" s="231"/>
      <c r="C1242" s="231"/>
      <c r="D1242" s="107" t="s">
        <v>123</v>
      </c>
      <c r="E1242" s="232" t="str">
        <f>I92</f>
        <v/>
      </c>
      <c r="F1242" s="233"/>
      <c r="G1242" s="101">
        <v>92</v>
      </c>
    </row>
    <row r="1243" spans="1:7" ht="12.4" customHeight="1">
      <c r="A1243" s="105" t="s">
        <v>122</v>
      </c>
      <c r="B1243" s="234" t="str">
        <f>$K$74</f>
        <v>FEBRUARY - JULY 2026</v>
      </c>
      <c r="C1243" s="234"/>
      <c r="D1243" s="106" t="s">
        <v>124</v>
      </c>
      <c r="E1243" s="235" t="str">
        <f>$I$74</f>
        <v/>
      </c>
      <c r="F1243" s="236"/>
    </row>
    <row r="1244" spans="1:7" ht="12.4" customHeight="1">
      <c r="A1244" s="237" t="s">
        <v>130</v>
      </c>
      <c r="B1244" s="238"/>
      <c r="C1244" s="238"/>
      <c r="D1244" s="238"/>
      <c r="E1244" s="238"/>
      <c r="F1244" s="239"/>
    </row>
    <row r="1245" spans="1:7" ht="12.4" customHeight="1">
      <c r="A1245" s="245" t="s">
        <v>14</v>
      </c>
      <c r="B1245" s="240" t="s">
        <v>125</v>
      </c>
      <c r="C1245" s="241"/>
      <c r="D1245" s="102" t="s">
        <v>126</v>
      </c>
      <c r="E1245" s="109" t="s">
        <v>127</v>
      </c>
      <c r="F1245" s="102" t="s">
        <v>128</v>
      </c>
    </row>
    <row r="1246" spans="1:7" ht="12.4" customHeight="1">
      <c r="A1246" s="246"/>
      <c r="B1246" s="240" t="s">
        <v>129</v>
      </c>
      <c r="C1246" s="241"/>
      <c r="D1246" s="102">
        <v>100</v>
      </c>
      <c r="E1246" s="110" t="str" cm="1">
        <f t="array" ref="E1246:E1257">TRANSPOSE(K92:V92)</f>
        <v/>
      </c>
      <c r="F1246" s="104" t="str">
        <f>IF(E1246="","",IF(E1246&lt;D1246*60%,"Try harder",""))</f>
        <v/>
      </c>
    </row>
    <row r="1247" spans="1:7" ht="12.4" customHeight="1">
      <c r="A1247" s="246"/>
      <c r="B1247" s="242" t="s">
        <v>132</v>
      </c>
      <c r="C1247" s="133" t="str" cm="1">
        <f t="array" ref="C1247:C1256">TRANSPOSE($L$77:$U$77)</f>
        <v>Up-Low C</v>
      </c>
      <c r="D1247" s="134">
        <v>10</v>
      </c>
      <c r="E1247" s="135" t="str">
        <v/>
      </c>
      <c r="F1247" s="136" t="str">
        <f t="shared" ref="F1247:F1257" si="73">IF(E1247="","",IF(E1247&lt;D1247*60%,"Try harder",""))</f>
        <v/>
      </c>
    </row>
    <row r="1248" spans="1:7" ht="12.4" customHeight="1">
      <c r="A1248" s="246"/>
      <c r="B1248" s="243"/>
      <c r="C1248" s="137" t="str">
        <v>Alphabet N</v>
      </c>
      <c r="D1248" s="138">
        <v>10</v>
      </c>
      <c r="E1248" s="139" t="str">
        <v/>
      </c>
      <c r="F1248" s="140" t="str">
        <f t="shared" si="73"/>
        <v/>
      </c>
    </row>
    <row r="1249" spans="1:7" ht="12.4" customHeight="1">
      <c r="A1249" s="246"/>
      <c r="B1249" s="243"/>
      <c r="C1249" s="137" t="str">
        <v>Alphabet S</v>
      </c>
      <c r="D1249" s="138">
        <v>10</v>
      </c>
      <c r="E1249" s="139" t="str">
        <v/>
      </c>
      <c r="F1249" s="140" t="str">
        <f t="shared" si="73"/>
        <v/>
      </c>
    </row>
    <row r="1250" spans="1:7" ht="12.4" customHeight="1">
      <c r="A1250" s="246"/>
      <c r="B1250" s="243"/>
      <c r="C1250" s="137" t="str">
        <v>Vocabulary</v>
      </c>
      <c r="D1250" s="138">
        <v>10</v>
      </c>
      <c r="E1250" s="139" t="str">
        <v/>
      </c>
      <c r="F1250" s="140" t="str">
        <f t="shared" si="73"/>
        <v/>
      </c>
    </row>
    <row r="1251" spans="1:7" ht="12.4" customHeight="1">
      <c r="A1251" s="247" t="s">
        <v>131</v>
      </c>
      <c r="B1251" s="243"/>
      <c r="C1251" s="137" t="str">
        <v>Sprouts</v>
      </c>
      <c r="D1251" s="138">
        <v>10</v>
      </c>
      <c r="E1251" s="139" t="str">
        <v/>
      </c>
      <c r="F1251" s="140" t="str">
        <f t="shared" si="73"/>
        <v/>
      </c>
    </row>
    <row r="1252" spans="1:7" ht="12.4" customHeight="1">
      <c r="A1252" s="247"/>
      <c r="B1252" s="243"/>
      <c r="C1252" s="137" t="str">
        <v>Phonics</v>
      </c>
      <c r="D1252" s="138">
        <v>10</v>
      </c>
      <c r="E1252" s="139" t="str">
        <v/>
      </c>
      <c r="F1252" s="140" t="str">
        <f t="shared" si="73"/>
        <v/>
      </c>
    </row>
    <row r="1253" spans="1:7" ht="12.4" customHeight="1">
      <c r="A1253" s="247"/>
      <c r="B1253" s="243"/>
      <c r="C1253" s="137" t="str">
        <v>Math</v>
      </c>
      <c r="D1253" s="138">
        <v>10</v>
      </c>
      <c r="E1253" s="139" t="str">
        <v/>
      </c>
      <c r="F1253" s="140" t="str">
        <f t="shared" si="73"/>
        <v/>
      </c>
    </row>
    <row r="1254" spans="1:7" ht="12.4" customHeight="1">
      <c r="A1254" s="247"/>
      <c r="B1254" s="243"/>
      <c r="C1254" s="137" t="str">
        <v>Shape</v>
      </c>
      <c r="D1254" s="138">
        <v>10</v>
      </c>
      <c r="E1254" s="139" t="str">
        <v/>
      </c>
      <c r="F1254" s="140" t="str">
        <f t="shared" si="73"/>
        <v/>
      </c>
    </row>
    <row r="1255" spans="1:7" ht="12.4" customHeight="1">
      <c r="A1255" s="247"/>
      <c r="B1255" s="243"/>
      <c r="C1255" s="137" t="str">
        <v>Science</v>
      </c>
      <c r="D1255" s="138">
        <v>10</v>
      </c>
      <c r="E1255" s="139" t="str">
        <v/>
      </c>
      <c r="F1255" s="140" t="str">
        <f t="shared" si="73"/>
        <v/>
      </c>
    </row>
    <row r="1256" spans="1:7" ht="12.4" customHeight="1">
      <c r="A1256" s="247"/>
      <c r="B1256" s="244"/>
      <c r="C1256" s="141" t="str">
        <v>Tracing</v>
      </c>
      <c r="D1256" s="142">
        <v>10</v>
      </c>
      <c r="E1256" s="143" t="str">
        <v/>
      </c>
      <c r="F1256" s="144" t="str">
        <f t="shared" si="73"/>
        <v/>
      </c>
    </row>
    <row r="1257" spans="1:7" ht="12.4" customHeight="1">
      <c r="A1257" s="248"/>
      <c r="B1257" s="240" t="s">
        <v>133</v>
      </c>
      <c r="C1257" s="241"/>
      <c r="D1257" s="103">
        <f>D1246*20%+SUM(D1247:D1256)*80%</f>
        <v>100</v>
      </c>
      <c r="E1257" s="110" t="str">
        <v/>
      </c>
      <c r="F1257" s="104" t="str">
        <f t="shared" si="73"/>
        <v/>
      </c>
    </row>
    <row r="1259" spans="1:7" ht="12.4" customHeight="1">
      <c r="A1259" s="230" t="s">
        <v>121</v>
      </c>
      <c r="B1259" s="231"/>
      <c r="C1259" s="231"/>
      <c r="D1259" s="107" t="s">
        <v>123</v>
      </c>
      <c r="E1259" s="232" t="str">
        <f>I93</f>
        <v/>
      </c>
      <c r="F1259" s="233"/>
      <c r="G1259" s="101">
        <v>93</v>
      </c>
    </row>
    <row r="1260" spans="1:7" ht="12.4" customHeight="1">
      <c r="A1260" s="105" t="s">
        <v>122</v>
      </c>
      <c r="B1260" s="234" t="str">
        <f>$K$74</f>
        <v>FEBRUARY - JULY 2026</v>
      </c>
      <c r="C1260" s="234"/>
      <c r="D1260" s="106" t="s">
        <v>124</v>
      </c>
      <c r="E1260" s="235" t="str">
        <f>$I$74</f>
        <v/>
      </c>
      <c r="F1260" s="236"/>
    </row>
    <row r="1261" spans="1:7" ht="12.4" customHeight="1">
      <c r="A1261" s="237" t="s">
        <v>130</v>
      </c>
      <c r="B1261" s="238"/>
      <c r="C1261" s="238"/>
      <c r="D1261" s="238"/>
      <c r="E1261" s="238"/>
      <c r="F1261" s="239"/>
    </row>
    <row r="1262" spans="1:7" ht="12.4" customHeight="1">
      <c r="A1262" s="245" t="s">
        <v>14</v>
      </c>
      <c r="B1262" s="240" t="s">
        <v>125</v>
      </c>
      <c r="C1262" s="241"/>
      <c r="D1262" s="102" t="s">
        <v>126</v>
      </c>
      <c r="E1262" s="109" t="s">
        <v>127</v>
      </c>
      <c r="F1262" s="102" t="s">
        <v>128</v>
      </c>
    </row>
    <row r="1263" spans="1:7" ht="12.4" customHeight="1">
      <c r="A1263" s="246"/>
      <c r="B1263" s="240" t="s">
        <v>129</v>
      </c>
      <c r="C1263" s="241"/>
      <c r="D1263" s="102">
        <v>100</v>
      </c>
      <c r="E1263" s="110" t="str" cm="1">
        <f t="array" ref="E1263:E1274">TRANSPOSE(K93:V93)</f>
        <v/>
      </c>
      <c r="F1263" s="104" t="str">
        <f>IF(E1263="","",IF(E1263&lt;D1263*60%,"Try harder",""))</f>
        <v/>
      </c>
    </row>
    <row r="1264" spans="1:7" ht="12.4" customHeight="1">
      <c r="A1264" s="246"/>
      <c r="B1264" s="242" t="s">
        <v>132</v>
      </c>
      <c r="C1264" s="133" t="str" cm="1">
        <f t="array" ref="C1264:C1273">TRANSPOSE($L$77:$U$77)</f>
        <v>Up-Low C</v>
      </c>
      <c r="D1264" s="134">
        <v>10</v>
      </c>
      <c r="E1264" s="135" t="str">
        <v/>
      </c>
      <c r="F1264" s="136" t="str">
        <f t="shared" ref="F1264:F1274" si="74">IF(E1264="","",IF(E1264&lt;D1264*60%,"Try harder",""))</f>
        <v/>
      </c>
    </row>
    <row r="1265" spans="1:7" ht="12.4" customHeight="1">
      <c r="A1265" s="246"/>
      <c r="B1265" s="243"/>
      <c r="C1265" s="137" t="str">
        <v>Alphabet N</v>
      </c>
      <c r="D1265" s="138">
        <v>10</v>
      </c>
      <c r="E1265" s="139" t="str">
        <v/>
      </c>
      <c r="F1265" s="140" t="str">
        <f t="shared" si="74"/>
        <v/>
      </c>
    </row>
    <row r="1266" spans="1:7" ht="12.4" customHeight="1">
      <c r="A1266" s="246"/>
      <c r="B1266" s="243"/>
      <c r="C1266" s="137" t="str">
        <v>Alphabet S</v>
      </c>
      <c r="D1266" s="138">
        <v>10</v>
      </c>
      <c r="E1266" s="139" t="str">
        <v/>
      </c>
      <c r="F1266" s="140" t="str">
        <f t="shared" si="74"/>
        <v/>
      </c>
    </row>
    <row r="1267" spans="1:7" ht="12.4" customHeight="1">
      <c r="A1267" s="246"/>
      <c r="B1267" s="243"/>
      <c r="C1267" s="137" t="str">
        <v>Vocabulary</v>
      </c>
      <c r="D1267" s="138">
        <v>10</v>
      </c>
      <c r="E1267" s="139" t="str">
        <v/>
      </c>
      <c r="F1267" s="140" t="str">
        <f t="shared" si="74"/>
        <v/>
      </c>
    </row>
    <row r="1268" spans="1:7" ht="12.4" customHeight="1">
      <c r="A1268" s="247" t="s">
        <v>131</v>
      </c>
      <c r="B1268" s="243"/>
      <c r="C1268" s="137" t="str">
        <v>Sprouts</v>
      </c>
      <c r="D1268" s="138">
        <v>10</v>
      </c>
      <c r="E1268" s="139" t="str">
        <v/>
      </c>
      <c r="F1268" s="140" t="str">
        <f t="shared" si="74"/>
        <v/>
      </c>
    </row>
    <row r="1269" spans="1:7" ht="12.4" customHeight="1">
      <c r="A1269" s="247"/>
      <c r="B1269" s="243"/>
      <c r="C1269" s="137" t="str">
        <v>Phonics</v>
      </c>
      <c r="D1269" s="138">
        <v>10</v>
      </c>
      <c r="E1269" s="139" t="str">
        <v/>
      </c>
      <c r="F1269" s="140" t="str">
        <f t="shared" si="74"/>
        <v/>
      </c>
    </row>
    <row r="1270" spans="1:7" ht="12.4" customHeight="1">
      <c r="A1270" s="247"/>
      <c r="B1270" s="243"/>
      <c r="C1270" s="137" t="str">
        <v>Math</v>
      </c>
      <c r="D1270" s="138">
        <v>10</v>
      </c>
      <c r="E1270" s="139" t="str">
        <v/>
      </c>
      <c r="F1270" s="140" t="str">
        <f t="shared" si="74"/>
        <v/>
      </c>
    </row>
    <row r="1271" spans="1:7" ht="12.4" customHeight="1">
      <c r="A1271" s="247"/>
      <c r="B1271" s="243"/>
      <c r="C1271" s="137" t="str">
        <v>Shape</v>
      </c>
      <c r="D1271" s="138">
        <v>10</v>
      </c>
      <c r="E1271" s="139" t="str">
        <v/>
      </c>
      <c r="F1271" s="140" t="str">
        <f t="shared" si="74"/>
        <v/>
      </c>
    </row>
    <row r="1272" spans="1:7" ht="12.4" customHeight="1">
      <c r="A1272" s="247"/>
      <c r="B1272" s="243"/>
      <c r="C1272" s="137" t="str">
        <v>Science</v>
      </c>
      <c r="D1272" s="138">
        <v>10</v>
      </c>
      <c r="E1272" s="139" t="str">
        <v/>
      </c>
      <c r="F1272" s="140" t="str">
        <f t="shared" si="74"/>
        <v/>
      </c>
    </row>
    <row r="1273" spans="1:7" ht="12.4" customHeight="1">
      <c r="A1273" s="247"/>
      <c r="B1273" s="244"/>
      <c r="C1273" s="141" t="str">
        <v>Tracing</v>
      </c>
      <c r="D1273" s="142">
        <v>10</v>
      </c>
      <c r="E1273" s="143" t="str">
        <v/>
      </c>
      <c r="F1273" s="144" t="str">
        <f t="shared" si="74"/>
        <v/>
      </c>
    </row>
    <row r="1274" spans="1:7" ht="12.4" customHeight="1">
      <c r="A1274" s="248"/>
      <c r="B1274" s="240" t="s">
        <v>133</v>
      </c>
      <c r="C1274" s="241"/>
      <c r="D1274" s="103">
        <f>D1263*20%+SUM(D1264:D1273)*80%</f>
        <v>100</v>
      </c>
      <c r="E1274" s="110" t="str">
        <v/>
      </c>
      <c r="F1274" s="104" t="str">
        <f t="shared" si="74"/>
        <v/>
      </c>
    </row>
    <row r="1276" spans="1:7" ht="12.4" customHeight="1">
      <c r="A1276" s="230" t="s">
        <v>121</v>
      </c>
      <c r="B1276" s="231"/>
      <c r="C1276" s="231"/>
      <c r="D1276" s="107" t="s">
        <v>123</v>
      </c>
      <c r="E1276" s="232" t="str">
        <f>I94</f>
        <v/>
      </c>
      <c r="F1276" s="233"/>
      <c r="G1276" s="101">
        <v>94</v>
      </c>
    </row>
    <row r="1277" spans="1:7" ht="12.4" customHeight="1">
      <c r="A1277" s="105" t="s">
        <v>122</v>
      </c>
      <c r="B1277" s="234" t="str">
        <f>$K$74</f>
        <v>FEBRUARY - JULY 2026</v>
      </c>
      <c r="C1277" s="234"/>
      <c r="D1277" s="106" t="s">
        <v>124</v>
      </c>
      <c r="E1277" s="235" t="str">
        <f>$I$74</f>
        <v/>
      </c>
      <c r="F1277" s="236"/>
    </row>
    <row r="1278" spans="1:7" ht="12.4" customHeight="1">
      <c r="A1278" s="237" t="s">
        <v>130</v>
      </c>
      <c r="B1278" s="238"/>
      <c r="C1278" s="238"/>
      <c r="D1278" s="238"/>
      <c r="E1278" s="238"/>
      <c r="F1278" s="239"/>
    </row>
    <row r="1279" spans="1:7" ht="12.4" customHeight="1">
      <c r="A1279" s="245" t="s">
        <v>14</v>
      </c>
      <c r="B1279" s="240" t="s">
        <v>125</v>
      </c>
      <c r="C1279" s="241"/>
      <c r="D1279" s="102" t="s">
        <v>126</v>
      </c>
      <c r="E1279" s="109" t="s">
        <v>127</v>
      </c>
      <c r="F1279" s="102" t="s">
        <v>128</v>
      </c>
    </row>
    <row r="1280" spans="1:7" ht="12.4" customHeight="1">
      <c r="A1280" s="246"/>
      <c r="B1280" s="240" t="s">
        <v>129</v>
      </c>
      <c r="C1280" s="241"/>
      <c r="D1280" s="102">
        <v>100</v>
      </c>
      <c r="E1280" s="110" t="str" cm="1">
        <f t="array" ref="E1280:E1291">TRANSPOSE(K94:V94)</f>
        <v/>
      </c>
      <c r="F1280" s="104" t="str">
        <f>IF(E1280="","",IF(E1280&lt;D1280*60%,"Try harder",""))</f>
        <v/>
      </c>
    </row>
    <row r="1281" spans="1:7" ht="12.4" customHeight="1">
      <c r="A1281" s="246"/>
      <c r="B1281" s="242" t="s">
        <v>132</v>
      </c>
      <c r="C1281" s="133" t="str" cm="1">
        <f t="array" ref="C1281:C1290">TRANSPOSE($L$77:$U$77)</f>
        <v>Up-Low C</v>
      </c>
      <c r="D1281" s="134">
        <v>10</v>
      </c>
      <c r="E1281" s="135" t="str">
        <v/>
      </c>
      <c r="F1281" s="136" t="str">
        <f t="shared" ref="F1281:F1291" si="75">IF(E1281="","",IF(E1281&lt;D1281*60%,"Try harder",""))</f>
        <v/>
      </c>
    </row>
    <row r="1282" spans="1:7" ht="12.4" customHeight="1">
      <c r="A1282" s="246"/>
      <c r="B1282" s="243"/>
      <c r="C1282" s="137" t="str">
        <v>Alphabet N</v>
      </c>
      <c r="D1282" s="138">
        <v>10</v>
      </c>
      <c r="E1282" s="139" t="str">
        <v/>
      </c>
      <c r="F1282" s="140" t="str">
        <f t="shared" si="75"/>
        <v/>
      </c>
    </row>
    <row r="1283" spans="1:7" ht="12.4" customHeight="1">
      <c r="A1283" s="246"/>
      <c r="B1283" s="243"/>
      <c r="C1283" s="137" t="str">
        <v>Alphabet S</v>
      </c>
      <c r="D1283" s="138">
        <v>10</v>
      </c>
      <c r="E1283" s="139" t="str">
        <v/>
      </c>
      <c r="F1283" s="140" t="str">
        <f t="shared" si="75"/>
        <v/>
      </c>
    </row>
    <row r="1284" spans="1:7" ht="12.4" customHeight="1">
      <c r="A1284" s="246"/>
      <c r="B1284" s="243"/>
      <c r="C1284" s="137" t="str">
        <v>Vocabulary</v>
      </c>
      <c r="D1284" s="138">
        <v>10</v>
      </c>
      <c r="E1284" s="139" t="str">
        <v/>
      </c>
      <c r="F1284" s="140" t="str">
        <f t="shared" si="75"/>
        <v/>
      </c>
    </row>
    <row r="1285" spans="1:7" ht="12.4" customHeight="1">
      <c r="A1285" s="247" t="s">
        <v>131</v>
      </c>
      <c r="B1285" s="243"/>
      <c r="C1285" s="137" t="str">
        <v>Sprouts</v>
      </c>
      <c r="D1285" s="138">
        <v>10</v>
      </c>
      <c r="E1285" s="139" t="str">
        <v/>
      </c>
      <c r="F1285" s="140" t="str">
        <f t="shared" si="75"/>
        <v/>
      </c>
    </row>
    <row r="1286" spans="1:7" ht="12.4" customHeight="1">
      <c r="A1286" s="247"/>
      <c r="B1286" s="243"/>
      <c r="C1286" s="137" t="str">
        <v>Phonics</v>
      </c>
      <c r="D1286" s="138">
        <v>10</v>
      </c>
      <c r="E1286" s="139" t="str">
        <v/>
      </c>
      <c r="F1286" s="140" t="str">
        <f t="shared" si="75"/>
        <v/>
      </c>
    </row>
    <row r="1287" spans="1:7" ht="12.4" customHeight="1">
      <c r="A1287" s="247"/>
      <c r="B1287" s="243"/>
      <c r="C1287" s="137" t="str">
        <v>Math</v>
      </c>
      <c r="D1287" s="138">
        <v>10</v>
      </c>
      <c r="E1287" s="139" t="str">
        <v/>
      </c>
      <c r="F1287" s="140" t="str">
        <f t="shared" si="75"/>
        <v/>
      </c>
    </row>
    <row r="1288" spans="1:7" ht="12.4" customHeight="1">
      <c r="A1288" s="247"/>
      <c r="B1288" s="243"/>
      <c r="C1288" s="137" t="str">
        <v>Shape</v>
      </c>
      <c r="D1288" s="138">
        <v>10</v>
      </c>
      <c r="E1288" s="139" t="str">
        <v/>
      </c>
      <c r="F1288" s="140" t="str">
        <f t="shared" si="75"/>
        <v/>
      </c>
    </row>
    <row r="1289" spans="1:7" ht="12.4" customHeight="1">
      <c r="A1289" s="247"/>
      <c r="B1289" s="243"/>
      <c r="C1289" s="137" t="str">
        <v>Science</v>
      </c>
      <c r="D1289" s="138">
        <v>10</v>
      </c>
      <c r="E1289" s="139" t="str">
        <v/>
      </c>
      <c r="F1289" s="140" t="str">
        <f t="shared" si="75"/>
        <v/>
      </c>
    </row>
    <row r="1290" spans="1:7" ht="12.4" customHeight="1">
      <c r="A1290" s="247"/>
      <c r="B1290" s="244"/>
      <c r="C1290" s="141" t="str">
        <v>Tracing</v>
      </c>
      <c r="D1290" s="142">
        <v>10</v>
      </c>
      <c r="E1290" s="143" t="str">
        <v/>
      </c>
      <c r="F1290" s="144" t="str">
        <f t="shared" si="75"/>
        <v/>
      </c>
    </row>
    <row r="1291" spans="1:7" ht="12.4" customHeight="1">
      <c r="A1291" s="248"/>
      <c r="B1291" s="240" t="s">
        <v>133</v>
      </c>
      <c r="C1291" s="241"/>
      <c r="D1291" s="103">
        <f>D1280*20%+SUM(D1281:D1290)*80%</f>
        <v>100</v>
      </c>
      <c r="E1291" s="110" t="str">
        <v/>
      </c>
      <c r="F1291" s="104" t="str">
        <f t="shared" si="75"/>
        <v/>
      </c>
    </row>
    <row r="1293" spans="1:7" ht="12.4" customHeight="1">
      <c r="A1293" s="230" t="s">
        <v>121</v>
      </c>
      <c r="B1293" s="231"/>
      <c r="C1293" s="231"/>
      <c r="D1293" s="107" t="s">
        <v>123</v>
      </c>
      <c r="E1293" s="232" t="str">
        <f>I95</f>
        <v/>
      </c>
      <c r="F1293" s="233"/>
      <c r="G1293" s="101">
        <v>95</v>
      </c>
    </row>
    <row r="1294" spans="1:7" ht="12.4" customHeight="1">
      <c r="A1294" s="105" t="s">
        <v>122</v>
      </c>
      <c r="B1294" s="234" t="str">
        <f>$K$74</f>
        <v>FEBRUARY - JULY 2026</v>
      </c>
      <c r="C1294" s="234"/>
      <c r="D1294" s="106" t="s">
        <v>124</v>
      </c>
      <c r="E1294" s="235" t="str">
        <f>$I$74</f>
        <v/>
      </c>
      <c r="F1294" s="236"/>
    </row>
    <row r="1295" spans="1:7" ht="12.4" customHeight="1">
      <c r="A1295" s="237" t="s">
        <v>130</v>
      </c>
      <c r="B1295" s="238"/>
      <c r="C1295" s="238"/>
      <c r="D1295" s="238"/>
      <c r="E1295" s="238"/>
      <c r="F1295" s="239"/>
    </row>
    <row r="1296" spans="1:7" ht="12.4" customHeight="1">
      <c r="A1296" s="245" t="s">
        <v>14</v>
      </c>
      <c r="B1296" s="240" t="s">
        <v>125</v>
      </c>
      <c r="C1296" s="241"/>
      <c r="D1296" s="102" t="s">
        <v>126</v>
      </c>
      <c r="E1296" s="109" t="s">
        <v>127</v>
      </c>
      <c r="F1296" s="102" t="s">
        <v>128</v>
      </c>
    </row>
    <row r="1297" spans="1:7" ht="12.4" customHeight="1">
      <c r="A1297" s="246"/>
      <c r="B1297" s="240" t="s">
        <v>129</v>
      </c>
      <c r="C1297" s="241"/>
      <c r="D1297" s="102">
        <v>100</v>
      </c>
      <c r="E1297" s="110" t="str" cm="1">
        <f t="array" ref="E1297:E1308">TRANSPOSE(K95:V95)</f>
        <v/>
      </c>
      <c r="F1297" s="104" t="str">
        <f>IF(E1297="","",IF(E1297&lt;D1297*60%,"Try harder",""))</f>
        <v/>
      </c>
    </row>
    <row r="1298" spans="1:7" ht="12.4" customHeight="1">
      <c r="A1298" s="246"/>
      <c r="B1298" s="242" t="s">
        <v>132</v>
      </c>
      <c r="C1298" s="133" t="str" cm="1">
        <f t="array" ref="C1298:C1307">TRANSPOSE($L$77:$U$77)</f>
        <v>Up-Low C</v>
      </c>
      <c r="D1298" s="134">
        <v>10</v>
      </c>
      <c r="E1298" s="135" t="str">
        <v/>
      </c>
      <c r="F1298" s="136" t="str">
        <f t="shared" ref="F1298:F1308" si="76">IF(E1298="","",IF(E1298&lt;D1298*60%,"Try harder",""))</f>
        <v/>
      </c>
    </row>
    <row r="1299" spans="1:7" ht="12.4" customHeight="1">
      <c r="A1299" s="246"/>
      <c r="B1299" s="243"/>
      <c r="C1299" s="137" t="str">
        <v>Alphabet N</v>
      </c>
      <c r="D1299" s="138">
        <v>10</v>
      </c>
      <c r="E1299" s="139" t="str">
        <v/>
      </c>
      <c r="F1299" s="140" t="str">
        <f t="shared" si="76"/>
        <v/>
      </c>
    </row>
    <row r="1300" spans="1:7" ht="12.4" customHeight="1">
      <c r="A1300" s="246"/>
      <c r="B1300" s="243"/>
      <c r="C1300" s="137" t="str">
        <v>Alphabet S</v>
      </c>
      <c r="D1300" s="138">
        <v>10</v>
      </c>
      <c r="E1300" s="139" t="str">
        <v/>
      </c>
      <c r="F1300" s="140" t="str">
        <f t="shared" si="76"/>
        <v/>
      </c>
    </row>
    <row r="1301" spans="1:7" ht="12.4" customHeight="1">
      <c r="A1301" s="246"/>
      <c r="B1301" s="243"/>
      <c r="C1301" s="137" t="str">
        <v>Vocabulary</v>
      </c>
      <c r="D1301" s="138">
        <v>10</v>
      </c>
      <c r="E1301" s="139" t="str">
        <v/>
      </c>
      <c r="F1301" s="140" t="str">
        <f t="shared" si="76"/>
        <v/>
      </c>
    </row>
    <row r="1302" spans="1:7" ht="12.4" customHeight="1">
      <c r="A1302" s="247" t="s">
        <v>131</v>
      </c>
      <c r="B1302" s="243"/>
      <c r="C1302" s="137" t="str">
        <v>Sprouts</v>
      </c>
      <c r="D1302" s="138">
        <v>10</v>
      </c>
      <c r="E1302" s="139" t="str">
        <v/>
      </c>
      <c r="F1302" s="140" t="str">
        <f t="shared" si="76"/>
        <v/>
      </c>
    </row>
    <row r="1303" spans="1:7" ht="12.4" customHeight="1">
      <c r="A1303" s="247"/>
      <c r="B1303" s="243"/>
      <c r="C1303" s="137" t="str">
        <v>Phonics</v>
      </c>
      <c r="D1303" s="138">
        <v>10</v>
      </c>
      <c r="E1303" s="139" t="str">
        <v/>
      </c>
      <c r="F1303" s="140" t="str">
        <f t="shared" si="76"/>
        <v/>
      </c>
    </row>
    <row r="1304" spans="1:7" ht="12.4" customHeight="1">
      <c r="A1304" s="247"/>
      <c r="B1304" s="243"/>
      <c r="C1304" s="137" t="str">
        <v>Math</v>
      </c>
      <c r="D1304" s="138">
        <v>10</v>
      </c>
      <c r="E1304" s="139" t="str">
        <v/>
      </c>
      <c r="F1304" s="140" t="str">
        <f t="shared" si="76"/>
        <v/>
      </c>
    </row>
    <row r="1305" spans="1:7" ht="12.4" customHeight="1">
      <c r="A1305" s="247"/>
      <c r="B1305" s="243"/>
      <c r="C1305" s="137" t="str">
        <v>Shape</v>
      </c>
      <c r="D1305" s="138">
        <v>10</v>
      </c>
      <c r="E1305" s="139" t="str">
        <v/>
      </c>
      <c r="F1305" s="140" t="str">
        <f t="shared" si="76"/>
        <v/>
      </c>
    </row>
    <row r="1306" spans="1:7" ht="12.4" customHeight="1">
      <c r="A1306" s="247"/>
      <c r="B1306" s="243"/>
      <c r="C1306" s="137" t="str">
        <v>Science</v>
      </c>
      <c r="D1306" s="138">
        <v>10</v>
      </c>
      <c r="E1306" s="139" t="str">
        <v/>
      </c>
      <c r="F1306" s="140" t="str">
        <f t="shared" si="76"/>
        <v/>
      </c>
    </row>
    <row r="1307" spans="1:7" ht="12.4" customHeight="1">
      <c r="A1307" s="247"/>
      <c r="B1307" s="244"/>
      <c r="C1307" s="141" t="str">
        <v>Tracing</v>
      </c>
      <c r="D1307" s="142">
        <v>10</v>
      </c>
      <c r="E1307" s="143" t="str">
        <v/>
      </c>
      <c r="F1307" s="144" t="str">
        <f t="shared" si="76"/>
        <v/>
      </c>
    </row>
    <row r="1308" spans="1:7" ht="12.4" customHeight="1">
      <c r="A1308" s="248"/>
      <c r="B1308" s="240" t="s">
        <v>133</v>
      </c>
      <c r="C1308" s="241"/>
      <c r="D1308" s="103">
        <f>D1297*20%+SUM(D1298:D1307)*80%</f>
        <v>100</v>
      </c>
      <c r="E1308" s="110" t="str">
        <v/>
      </c>
      <c r="F1308" s="104" t="str">
        <f t="shared" si="76"/>
        <v/>
      </c>
    </row>
    <row r="1310" spans="1:7" ht="12.4" customHeight="1">
      <c r="A1310" s="230" t="s">
        <v>121</v>
      </c>
      <c r="B1310" s="231"/>
      <c r="C1310" s="231"/>
      <c r="D1310" s="107" t="s">
        <v>123</v>
      </c>
      <c r="E1310" s="232" t="str">
        <f>I96</f>
        <v/>
      </c>
      <c r="F1310" s="233"/>
      <c r="G1310" s="101">
        <v>96</v>
      </c>
    </row>
    <row r="1311" spans="1:7" ht="12.4" customHeight="1">
      <c r="A1311" s="105" t="s">
        <v>122</v>
      </c>
      <c r="B1311" s="234" t="str">
        <f>$K$74</f>
        <v>FEBRUARY - JULY 2026</v>
      </c>
      <c r="C1311" s="234"/>
      <c r="D1311" s="106" t="s">
        <v>124</v>
      </c>
      <c r="E1311" s="235" t="str">
        <f>$I$74</f>
        <v/>
      </c>
      <c r="F1311" s="236"/>
    </row>
    <row r="1312" spans="1:7" ht="12.4" customHeight="1">
      <c r="A1312" s="237" t="s">
        <v>130</v>
      </c>
      <c r="B1312" s="238"/>
      <c r="C1312" s="238"/>
      <c r="D1312" s="238"/>
      <c r="E1312" s="238"/>
      <c r="F1312" s="239"/>
    </row>
    <row r="1313" spans="1:7" ht="12.4" customHeight="1">
      <c r="A1313" s="245" t="s">
        <v>14</v>
      </c>
      <c r="B1313" s="240" t="s">
        <v>125</v>
      </c>
      <c r="C1313" s="241"/>
      <c r="D1313" s="102" t="s">
        <v>126</v>
      </c>
      <c r="E1313" s="109" t="s">
        <v>127</v>
      </c>
      <c r="F1313" s="102" t="s">
        <v>128</v>
      </c>
    </row>
    <row r="1314" spans="1:7" ht="12.4" customHeight="1">
      <c r="A1314" s="246"/>
      <c r="B1314" s="240" t="s">
        <v>129</v>
      </c>
      <c r="C1314" s="241"/>
      <c r="D1314" s="102">
        <v>100</v>
      </c>
      <c r="E1314" s="110" t="str" cm="1">
        <f t="array" ref="E1314:E1325">TRANSPOSE(K96:V96)</f>
        <v/>
      </c>
      <c r="F1314" s="104" t="str">
        <f>IF(E1314="","",IF(E1314&lt;D1314*60%,"Try harder",""))</f>
        <v/>
      </c>
    </row>
    <row r="1315" spans="1:7" ht="12.4" customHeight="1">
      <c r="A1315" s="246"/>
      <c r="B1315" s="242" t="s">
        <v>132</v>
      </c>
      <c r="C1315" s="133" t="str" cm="1">
        <f t="array" ref="C1315:C1324">TRANSPOSE($L$77:$U$77)</f>
        <v>Up-Low C</v>
      </c>
      <c r="D1315" s="134">
        <v>10</v>
      </c>
      <c r="E1315" s="135" t="str">
        <v/>
      </c>
      <c r="F1315" s="136" t="str">
        <f t="shared" ref="F1315:F1325" si="77">IF(E1315="","",IF(E1315&lt;D1315*60%,"Try harder",""))</f>
        <v/>
      </c>
    </row>
    <row r="1316" spans="1:7" ht="12.4" customHeight="1">
      <c r="A1316" s="246"/>
      <c r="B1316" s="243"/>
      <c r="C1316" s="137" t="str">
        <v>Alphabet N</v>
      </c>
      <c r="D1316" s="138">
        <v>10</v>
      </c>
      <c r="E1316" s="139" t="str">
        <v/>
      </c>
      <c r="F1316" s="140" t="str">
        <f t="shared" si="77"/>
        <v/>
      </c>
    </row>
    <row r="1317" spans="1:7" ht="12.4" customHeight="1">
      <c r="A1317" s="246"/>
      <c r="B1317" s="243"/>
      <c r="C1317" s="137" t="str">
        <v>Alphabet S</v>
      </c>
      <c r="D1317" s="138">
        <v>10</v>
      </c>
      <c r="E1317" s="139" t="str">
        <v/>
      </c>
      <c r="F1317" s="140" t="str">
        <f t="shared" si="77"/>
        <v/>
      </c>
    </row>
    <row r="1318" spans="1:7" ht="12.4" customHeight="1">
      <c r="A1318" s="246"/>
      <c r="B1318" s="243"/>
      <c r="C1318" s="137" t="str">
        <v>Vocabulary</v>
      </c>
      <c r="D1318" s="138">
        <v>10</v>
      </c>
      <c r="E1318" s="139" t="str">
        <v/>
      </c>
      <c r="F1318" s="140" t="str">
        <f t="shared" si="77"/>
        <v/>
      </c>
    </row>
    <row r="1319" spans="1:7" ht="12.4" customHeight="1">
      <c r="A1319" s="247" t="s">
        <v>131</v>
      </c>
      <c r="B1319" s="243"/>
      <c r="C1319" s="137" t="str">
        <v>Sprouts</v>
      </c>
      <c r="D1319" s="138">
        <v>10</v>
      </c>
      <c r="E1319" s="139" t="str">
        <v/>
      </c>
      <c r="F1319" s="140" t="str">
        <f t="shared" si="77"/>
        <v/>
      </c>
    </row>
    <row r="1320" spans="1:7" ht="12.4" customHeight="1">
      <c r="A1320" s="247"/>
      <c r="B1320" s="243"/>
      <c r="C1320" s="137" t="str">
        <v>Phonics</v>
      </c>
      <c r="D1320" s="138">
        <v>10</v>
      </c>
      <c r="E1320" s="139" t="str">
        <v/>
      </c>
      <c r="F1320" s="140" t="str">
        <f t="shared" si="77"/>
        <v/>
      </c>
    </row>
    <row r="1321" spans="1:7" ht="12.4" customHeight="1">
      <c r="A1321" s="247"/>
      <c r="B1321" s="243"/>
      <c r="C1321" s="137" t="str">
        <v>Math</v>
      </c>
      <c r="D1321" s="138">
        <v>10</v>
      </c>
      <c r="E1321" s="139" t="str">
        <v/>
      </c>
      <c r="F1321" s="140" t="str">
        <f t="shared" si="77"/>
        <v/>
      </c>
    </row>
    <row r="1322" spans="1:7" ht="12.4" customHeight="1">
      <c r="A1322" s="247"/>
      <c r="B1322" s="243"/>
      <c r="C1322" s="137" t="str">
        <v>Shape</v>
      </c>
      <c r="D1322" s="138">
        <v>10</v>
      </c>
      <c r="E1322" s="139" t="str">
        <v/>
      </c>
      <c r="F1322" s="140" t="str">
        <f t="shared" si="77"/>
        <v/>
      </c>
    </row>
    <row r="1323" spans="1:7" ht="12.4" customHeight="1">
      <c r="A1323" s="247"/>
      <c r="B1323" s="243"/>
      <c r="C1323" s="137" t="str">
        <v>Science</v>
      </c>
      <c r="D1323" s="138">
        <v>10</v>
      </c>
      <c r="E1323" s="139" t="str">
        <v/>
      </c>
      <c r="F1323" s="140" t="str">
        <f t="shared" si="77"/>
        <v/>
      </c>
    </row>
    <row r="1324" spans="1:7" ht="12.4" customHeight="1">
      <c r="A1324" s="247"/>
      <c r="B1324" s="244"/>
      <c r="C1324" s="141" t="str">
        <v>Tracing</v>
      </c>
      <c r="D1324" s="142">
        <v>10</v>
      </c>
      <c r="E1324" s="143" t="str">
        <v/>
      </c>
      <c r="F1324" s="144" t="str">
        <f t="shared" si="77"/>
        <v/>
      </c>
    </row>
    <row r="1325" spans="1:7" ht="12.4" customHeight="1">
      <c r="A1325" s="248"/>
      <c r="B1325" s="240" t="s">
        <v>133</v>
      </c>
      <c r="C1325" s="241"/>
      <c r="D1325" s="103">
        <f>D1314*20%+SUM(D1315:D1324)*80%</f>
        <v>100</v>
      </c>
      <c r="E1325" s="110" t="str">
        <v/>
      </c>
      <c r="F1325" s="104" t="str">
        <f t="shared" si="77"/>
        <v/>
      </c>
    </row>
    <row r="1327" spans="1:7" ht="12.4" customHeight="1">
      <c r="A1327" s="230" t="s">
        <v>121</v>
      </c>
      <c r="B1327" s="231"/>
      <c r="C1327" s="231"/>
      <c r="D1327" s="107" t="s">
        <v>123</v>
      </c>
      <c r="E1327" s="232" t="str">
        <f>I97</f>
        <v/>
      </c>
      <c r="F1327" s="233"/>
      <c r="G1327" s="101">
        <v>97</v>
      </c>
    </row>
    <row r="1328" spans="1:7" ht="12.4" customHeight="1">
      <c r="A1328" s="105" t="s">
        <v>122</v>
      </c>
      <c r="B1328" s="234" t="str">
        <f>$K$74</f>
        <v>FEBRUARY - JULY 2026</v>
      </c>
      <c r="C1328" s="234"/>
      <c r="D1328" s="106" t="s">
        <v>124</v>
      </c>
      <c r="E1328" s="235" t="str">
        <f>$I$74</f>
        <v/>
      </c>
      <c r="F1328" s="236"/>
    </row>
    <row r="1329" spans="1:7" ht="12.4" customHeight="1">
      <c r="A1329" s="237" t="s">
        <v>130</v>
      </c>
      <c r="B1329" s="238"/>
      <c r="C1329" s="238"/>
      <c r="D1329" s="238"/>
      <c r="E1329" s="238"/>
      <c r="F1329" s="239"/>
    </row>
    <row r="1330" spans="1:7" ht="12.4" customHeight="1">
      <c r="A1330" s="245" t="s">
        <v>14</v>
      </c>
      <c r="B1330" s="240" t="s">
        <v>125</v>
      </c>
      <c r="C1330" s="241"/>
      <c r="D1330" s="102" t="s">
        <v>126</v>
      </c>
      <c r="E1330" s="109" t="s">
        <v>127</v>
      </c>
      <c r="F1330" s="102" t="s">
        <v>128</v>
      </c>
    </row>
    <row r="1331" spans="1:7" ht="12.4" customHeight="1">
      <c r="A1331" s="246"/>
      <c r="B1331" s="240" t="s">
        <v>129</v>
      </c>
      <c r="C1331" s="241"/>
      <c r="D1331" s="102">
        <v>100</v>
      </c>
      <c r="E1331" s="110" t="str" cm="1">
        <f t="array" ref="E1331:E1342">TRANSPOSE(K97:V97)</f>
        <v/>
      </c>
      <c r="F1331" s="104" t="str">
        <f>IF(E1331="","",IF(E1331&lt;D1331*60%,"Try harder",""))</f>
        <v/>
      </c>
    </row>
    <row r="1332" spans="1:7" ht="12.4" customHeight="1">
      <c r="A1332" s="246"/>
      <c r="B1332" s="242" t="s">
        <v>132</v>
      </c>
      <c r="C1332" s="133" t="str" cm="1">
        <f t="array" ref="C1332:C1341">TRANSPOSE($L$77:$U$77)</f>
        <v>Up-Low C</v>
      </c>
      <c r="D1332" s="134">
        <v>10</v>
      </c>
      <c r="E1332" s="135" t="str">
        <v/>
      </c>
      <c r="F1332" s="136" t="str">
        <f t="shared" ref="F1332:F1342" si="78">IF(E1332="","",IF(E1332&lt;D1332*60%,"Try harder",""))</f>
        <v/>
      </c>
    </row>
    <row r="1333" spans="1:7" ht="12.4" customHeight="1">
      <c r="A1333" s="246"/>
      <c r="B1333" s="243"/>
      <c r="C1333" s="137" t="str">
        <v>Alphabet N</v>
      </c>
      <c r="D1333" s="138">
        <v>10</v>
      </c>
      <c r="E1333" s="139" t="str">
        <v/>
      </c>
      <c r="F1333" s="140" t="str">
        <f t="shared" si="78"/>
        <v/>
      </c>
    </row>
    <row r="1334" spans="1:7" ht="12.4" customHeight="1">
      <c r="A1334" s="246"/>
      <c r="B1334" s="243"/>
      <c r="C1334" s="137" t="str">
        <v>Alphabet S</v>
      </c>
      <c r="D1334" s="138">
        <v>10</v>
      </c>
      <c r="E1334" s="139" t="str">
        <v/>
      </c>
      <c r="F1334" s="140" t="str">
        <f t="shared" si="78"/>
        <v/>
      </c>
    </row>
    <row r="1335" spans="1:7" ht="12.4" customHeight="1">
      <c r="A1335" s="246"/>
      <c r="B1335" s="243"/>
      <c r="C1335" s="137" t="str">
        <v>Vocabulary</v>
      </c>
      <c r="D1335" s="138">
        <v>10</v>
      </c>
      <c r="E1335" s="139" t="str">
        <v/>
      </c>
      <c r="F1335" s="140" t="str">
        <f t="shared" si="78"/>
        <v/>
      </c>
    </row>
    <row r="1336" spans="1:7" ht="12.4" customHeight="1">
      <c r="A1336" s="247" t="s">
        <v>131</v>
      </c>
      <c r="B1336" s="243"/>
      <c r="C1336" s="137" t="str">
        <v>Sprouts</v>
      </c>
      <c r="D1336" s="138">
        <v>10</v>
      </c>
      <c r="E1336" s="139" t="str">
        <v/>
      </c>
      <c r="F1336" s="140" t="str">
        <f t="shared" si="78"/>
        <v/>
      </c>
    </row>
    <row r="1337" spans="1:7" ht="12.4" customHeight="1">
      <c r="A1337" s="247"/>
      <c r="B1337" s="243"/>
      <c r="C1337" s="137" t="str">
        <v>Phonics</v>
      </c>
      <c r="D1337" s="138">
        <v>10</v>
      </c>
      <c r="E1337" s="139" t="str">
        <v/>
      </c>
      <c r="F1337" s="140" t="str">
        <f t="shared" si="78"/>
        <v/>
      </c>
    </row>
    <row r="1338" spans="1:7" ht="12.4" customHeight="1">
      <c r="A1338" s="247"/>
      <c r="B1338" s="243"/>
      <c r="C1338" s="137" t="str">
        <v>Math</v>
      </c>
      <c r="D1338" s="138">
        <v>10</v>
      </c>
      <c r="E1338" s="139" t="str">
        <v/>
      </c>
      <c r="F1338" s="140" t="str">
        <f t="shared" si="78"/>
        <v/>
      </c>
    </row>
    <row r="1339" spans="1:7" ht="12.4" customHeight="1">
      <c r="A1339" s="247"/>
      <c r="B1339" s="243"/>
      <c r="C1339" s="137" t="str">
        <v>Shape</v>
      </c>
      <c r="D1339" s="138">
        <v>10</v>
      </c>
      <c r="E1339" s="139" t="str">
        <v/>
      </c>
      <c r="F1339" s="140" t="str">
        <f t="shared" si="78"/>
        <v/>
      </c>
    </row>
    <row r="1340" spans="1:7" ht="12.4" customHeight="1">
      <c r="A1340" s="247"/>
      <c r="B1340" s="243"/>
      <c r="C1340" s="137" t="str">
        <v>Science</v>
      </c>
      <c r="D1340" s="138">
        <v>10</v>
      </c>
      <c r="E1340" s="139" t="str">
        <v/>
      </c>
      <c r="F1340" s="140" t="str">
        <f t="shared" si="78"/>
        <v/>
      </c>
    </row>
    <row r="1341" spans="1:7" ht="12.4" customHeight="1">
      <c r="A1341" s="247"/>
      <c r="B1341" s="244"/>
      <c r="C1341" s="141" t="str">
        <v>Tracing</v>
      </c>
      <c r="D1341" s="142">
        <v>10</v>
      </c>
      <c r="E1341" s="143" t="str">
        <v/>
      </c>
      <c r="F1341" s="144" t="str">
        <f t="shared" si="78"/>
        <v/>
      </c>
    </row>
    <row r="1342" spans="1:7" ht="12.4" customHeight="1">
      <c r="A1342" s="248"/>
      <c r="B1342" s="240" t="s">
        <v>133</v>
      </c>
      <c r="C1342" s="241"/>
      <c r="D1342" s="103">
        <f>D1331*20%+SUM(D1332:D1341)*80%</f>
        <v>100</v>
      </c>
      <c r="E1342" s="110" t="str">
        <v/>
      </c>
      <c r="F1342" s="104" t="str">
        <f t="shared" si="78"/>
        <v/>
      </c>
    </row>
    <row r="1344" spans="1:7" ht="12.4" customHeight="1">
      <c r="A1344" s="230" t="s">
        <v>121</v>
      </c>
      <c r="B1344" s="231"/>
      <c r="C1344" s="231"/>
      <c r="D1344" s="107" t="s">
        <v>123</v>
      </c>
      <c r="E1344" s="232" t="str">
        <f>I98</f>
        <v/>
      </c>
      <c r="F1344" s="233"/>
      <c r="G1344" s="101">
        <v>98</v>
      </c>
    </row>
    <row r="1345" spans="1:6" ht="12.4" customHeight="1">
      <c r="A1345" s="105" t="s">
        <v>122</v>
      </c>
      <c r="B1345" s="234" t="str">
        <f>$K$74</f>
        <v>FEBRUARY - JULY 2026</v>
      </c>
      <c r="C1345" s="234"/>
      <c r="D1345" s="106" t="s">
        <v>124</v>
      </c>
      <c r="E1345" s="235" t="str">
        <f>$I$74</f>
        <v/>
      </c>
      <c r="F1345" s="236"/>
    </row>
    <row r="1346" spans="1:6" ht="12.4" customHeight="1">
      <c r="A1346" s="237" t="s">
        <v>130</v>
      </c>
      <c r="B1346" s="238"/>
      <c r="C1346" s="238"/>
      <c r="D1346" s="238"/>
      <c r="E1346" s="238"/>
      <c r="F1346" s="239"/>
    </row>
    <row r="1347" spans="1:6" ht="12.4" customHeight="1">
      <c r="A1347" s="245" t="s">
        <v>14</v>
      </c>
      <c r="B1347" s="240" t="s">
        <v>125</v>
      </c>
      <c r="C1347" s="241"/>
      <c r="D1347" s="102" t="s">
        <v>126</v>
      </c>
      <c r="E1347" s="109" t="s">
        <v>127</v>
      </c>
      <c r="F1347" s="102" t="s">
        <v>128</v>
      </c>
    </row>
    <row r="1348" spans="1:6" ht="12.4" customHeight="1">
      <c r="A1348" s="246"/>
      <c r="B1348" s="240" t="s">
        <v>129</v>
      </c>
      <c r="C1348" s="241"/>
      <c r="D1348" s="102">
        <v>100</v>
      </c>
      <c r="E1348" s="110" t="str" cm="1">
        <f t="array" ref="E1348:E1359">TRANSPOSE(K98:V98)</f>
        <v/>
      </c>
      <c r="F1348" s="104" t="str">
        <f>IF(E1348="","",IF(E1348&lt;D1348*60%,"Try harder",""))</f>
        <v/>
      </c>
    </row>
    <row r="1349" spans="1:6" ht="12.4" customHeight="1">
      <c r="A1349" s="246"/>
      <c r="B1349" s="242" t="s">
        <v>132</v>
      </c>
      <c r="C1349" s="133" t="str" cm="1">
        <f t="array" ref="C1349:C1358">TRANSPOSE($L$77:$U$77)</f>
        <v>Up-Low C</v>
      </c>
      <c r="D1349" s="134">
        <v>10</v>
      </c>
      <c r="E1349" s="135" t="str">
        <v/>
      </c>
      <c r="F1349" s="136" t="str">
        <f t="shared" ref="F1349:F1359" si="79">IF(E1349="","",IF(E1349&lt;D1349*60%,"Try harder",""))</f>
        <v/>
      </c>
    </row>
    <row r="1350" spans="1:6" ht="12.4" customHeight="1">
      <c r="A1350" s="246"/>
      <c r="B1350" s="243"/>
      <c r="C1350" s="137" t="str">
        <v>Alphabet N</v>
      </c>
      <c r="D1350" s="138">
        <v>10</v>
      </c>
      <c r="E1350" s="139" t="str">
        <v/>
      </c>
      <c r="F1350" s="140" t="str">
        <f t="shared" si="79"/>
        <v/>
      </c>
    </row>
    <row r="1351" spans="1:6" ht="12.4" customHeight="1">
      <c r="A1351" s="246"/>
      <c r="B1351" s="243"/>
      <c r="C1351" s="137" t="str">
        <v>Alphabet S</v>
      </c>
      <c r="D1351" s="138">
        <v>10</v>
      </c>
      <c r="E1351" s="139" t="str">
        <v/>
      </c>
      <c r="F1351" s="140" t="str">
        <f t="shared" si="79"/>
        <v/>
      </c>
    </row>
    <row r="1352" spans="1:6" ht="12.4" customHeight="1">
      <c r="A1352" s="246"/>
      <c r="B1352" s="243"/>
      <c r="C1352" s="137" t="str">
        <v>Vocabulary</v>
      </c>
      <c r="D1352" s="138">
        <v>10</v>
      </c>
      <c r="E1352" s="139" t="str">
        <v/>
      </c>
      <c r="F1352" s="140" t="str">
        <f t="shared" si="79"/>
        <v/>
      </c>
    </row>
    <row r="1353" spans="1:6" ht="12.4" customHeight="1">
      <c r="A1353" s="247" t="s">
        <v>131</v>
      </c>
      <c r="B1353" s="243"/>
      <c r="C1353" s="137" t="str">
        <v>Sprouts</v>
      </c>
      <c r="D1353" s="138">
        <v>10</v>
      </c>
      <c r="E1353" s="139" t="str">
        <v/>
      </c>
      <c r="F1353" s="140" t="str">
        <f t="shared" si="79"/>
        <v/>
      </c>
    </row>
    <row r="1354" spans="1:6" ht="12.4" customHeight="1">
      <c r="A1354" s="247"/>
      <c r="B1354" s="243"/>
      <c r="C1354" s="137" t="str">
        <v>Phonics</v>
      </c>
      <c r="D1354" s="138">
        <v>10</v>
      </c>
      <c r="E1354" s="139" t="str">
        <v/>
      </c>
      <c r="F1354" s="140" t="str">
        <f t="shared" si="79"/>
        <v/>
      </c>
    </row>
    <row r="1355" spans="1:6" ht="12.4" customHeight="1">
      <c r="A1355" s="247"/>
      <c r="B1355" s="243"/>
      <c r="C1355" s="137" t="str">
        <v>Math</v>
      </c>
      <c r="D1355" s="138">
        <v>10</v>
      </c>
      <c r="E1355" s="139" t="str">
        <v/>
      </c>
      <c r="F1355" s="140" t="str">
        <f t="shared" si="79"/>
        <v/>
      </c>
    </row>
    <row r="1356" spans="1:6" ht="12.4" customHeight="1">
      <c r="A1356" s="247"/>
      <c r="B1356" s="243"/>
      <c r="C1356" s="137" t="str">
        <v>Shape</v>
      </c>
      <c r="D1356" s="138">
        <v>10</v>
      </c>
      <c r="E1356" s="139" t="str">
        <v/>
      </c>
      <c r="F1356" s="140" t="str">
        <f t="shared" si="79"/>
        <v/>
      </c>
    </row>
    <row r="1357" spans="1:6" ht="12.4" customHeight="1">
      <c r="A1357" s="247"/>
      <c r="B1357" s="243"/>
      <c r="C1357" s="137" t="str">
        <v>Science</v>
      </c>
      <c r="D1357" s="138">
        <v>10</v>
      </c>
      <c r="E1357" s="139" t="str">
        <v/>
      </c>
      <c r="F1357" s="140" t="str">
        <f t="shared" si="79"/>
        <v/>
      </c>
    </row>
    <row r="1358" spans="1:6" ht="12.4" customHeight="1">
      <c r="A1358" s="247"/>
      <c r="B1358" s="244"/>
      <c r="C1358" s="141" t="str">
        <v>Tracing</v>
      </c>
      <c r="D1358" s="142">
        <v>10</v>
      </c>
      <c r="E1358" s="143" t="str">
        <v/>
      </c>
      <c r="F1358" s="144" t="str">
        <f t="shared" si="79"/>
        <v/>
      </c>
    </row>
    <row r="1359" spans="1:6" ht="12.4" customHeight="1">
      <c r="A1359" s="248"/>
      <c r="B1359" s="240" t="s">
        <v>133</v>
      </c>
      <c r="C1359" s="241"/>
      <c r="D1359" s="103">
        <f>D1348*20%+SUM(D1349:D1358)*80%</f>
        <v>100</v>
      </c>
      <c r="E1359" s="110" t="str">
        <v/>
      </c>
      <c r="F1359" s="104" t="str">
        <f t="shared" si="79"/>
        <v/>
      </c>
    </row>
    <row r="1361" spans="1:7" ht="12.4" customHeight="1">
      <c r="A1361" s="230" t="s">
        <v>121</v>
      </c>
      <c r="B1361" s="231"/>
      <c r="C1361" s="231"/>
      <c r="D1361" s="107" t="s">
        <v>123</v>
      </c>
      <c r="E1361" s="232" t="str">
        <f>I99</f>
        <v/>
      </c>
      <c r="F1361" s="233"/>
      <c r="G1361" s="101">
        <v>99</v>
      </c>
    </row>
    <row r="1362" spans="1:7" ht="12.4" customHeight="1">
      <c r="A1362" s="105" t="s">
        <v>122</v>
      </c>
      <c r="B1362" s="234" t="str">
        <f>$K$74</f>
        <v>FEBRUARY - JULY 2026</v>
      </c>
      <c r="C1362" s="234"/>
      <c r="D1362" s="106" t="s">
        <v>124</v>
      </c>
      <c r="E1362" s="235" t="str">
        <f>$I$74</f>
        <v/>
      </c>
      <c r="F1362" s="236"/>
    </row>
    <row r="1363" spans="1:7" ht="12.4" customHeight="1">
      <c r="A1363" s="237" t="s">
        <v>130</v>
      </c>
      <c r="B1363" s="238"/>
      <c r="C1363" s="238"/>
      <c r="D1363" s="238"/>
      <c r="E1363" s="238"/>
      <c r="F1363" s="239"/>
    </row>
    <row r="1364" spans="1:7" ht="12.4" customHeight="1">
      <c r="A1364" s="245" t="s">
        <v>14</v>
      </c>
      <c r="B1364" s="240" t="s">
        <v>125</v>
      </c>
      <c r="C1364" s="241"/>
      <c r="D1364" s="102" t="s">
        <v>126</v>
      </c>
      <c r="E1364" s="109" t="s">
        <v>127</v>
      </c>
      <c r="F1364" s="102" t="s">
        <v>128</v>
      </c>
    </row>
    <row r="1365" spans="1:7" ht="12.4" customHeight="1">
      <c r="A1365" s="246"/>
      <c r="B1365" s="240" t="s">
        <v>129</v>
      </c>
      <c r="C1365" s="241"/>
      <c r="D1365" s="102">
        <v>100</v>
      </c>
      <c r="E1365" s="110" t="str" cm="1">
        <f t="array" ref="E1365:E1376">TRANSPOSE(K99:V99)</f>
        <v/>
      </c>
      <c r="F1365" s="104" t="str">
        <f>IF(E1365="","",IF(E1365&lt;D1365*60%,"Try harder",""))</f>
        <v/>
      </c>
    </row>
    <row r="1366" spans="1:7" ht="12.4" customHeight="1">
      <c r="A1366" s="246"/>
      <c r="B1366" s="242" t="s">
        <v>132</v>
      </c>
      <c r="C1366" s="133" t="str" cm="1">
        <f t="array" ref="C1366:C1375">TRANSPOSE($L$77:$U$77)</f>
        <v>Up-Low C</v>
      </c>
      <c r="D1366" s="134">
        <v>10</v>
      </c>
      <c r="E1366" s="135" t="str">
        <v/>
      </c>
      <c r="F1366" s="136" t="str">
        <f t="shared" ref="F1366:F1376" si="80">IF(E1366="","",IF(E1366&lt;D1366*60%,"Try harder",""))</f>
        <v/>
      </c>
    </row>
    <row r="1367" spans="1:7" ht="12.4" customHeight="1">
      <c r="A1367" s="246"/>
      <c r="B1367" s="243"/>
      <c r="C1367" s="137" t="str">
        <v>Alphabet N</v>
      </c>
      <c r="D1367" s="138">
        <v>10</v>
      </c>
      <c r="E1367" s="139" t="str">
        <v/>
      </c>
      <c r="F1367" s="140" t="str">
        <f t="shared" si="80"/>
        <v/>
      </c>
    </row>
    <row r="1368" spans="1:7" ht="12.4" customHeight="1">
      <c r="A1368" s="246"/>
      <c r="B1368" s="243"/>
      <c r="C1368" s="137" t="str">
        <v>Alphabet S</v>
      </c>
      <c r="D1368" s="138">
        <v>10</v>
      </c>
      <c r="E1368" s="139" t="str">
        <v/>
      </c>
      <c r="F1368" s="140" t="str">
        <f t="shared" si="80"/>
        <v/>
      </c>
    </row>
    <row r="1369" spans="1:7" ht="12.4" customHeight="1">
      <c r="A1369" s="246"/>
      <c r="B1369" s="243"/>
      <c r="C1369" s="137" t="str">
        <v>Vocabulary</v>
      </c>
      <c r="D1369" s="138">
        <v>10</v>
      </c>
      <c r="E1369" s="139" t="str">
        <v/>
      </c>
      <c r="F1369" s="140" t="str">
        <f t="shared" si="80"/>
        <v/>
      </c>
    </row>
    <row r="1370" spans="1:7" ht="12.4" customHeight="1">
      <c r="A1370" s="247" t="s">
        <v>131</v>
      </c>
      <c r="B1370" s="243"/>
      <c r="C1370" s="137" t="str">
        <v>Sprouts</v>
      </c>
      <c r="D1370" s="138">
        <v>10</v>
      </c>
      <c r="E1370" s="139" t="str">
        <v/>
      </c>
      <c r="F1370" s="140" t="str">
        <f t="shared" si="80"/>
        <v/>
      </c>
    </row>
    <row r="1371" spans="1:7" ht="12.4" customHeight="1">
      <c r="A1371" s="247"/>
      <c r="B1371" s="243"/>
      <c r="C1371" s="137" t="str">
        <v>Phonics</v>
      </c>
      <c r="D1371" s="138">
        <v>10</v>
      </c>
      <c r="E1371" s="139" t="str">
        <v/>
      </c>
      <c r="F1371" s="140" t="str">
        <f t="shared" si="80"/>
        <v/>
      </c>
    </row>
    <row r="1372" spans="1:7" ht="12.4" customHeight="1">
      <c r="A1372" s="247"/>
      <c r="B1372" s="243"/>
      <c r="C1372" s="137" t="str">
        <v>Math</v>
      </c>
      <c r="D1372" s="138">
        <v>10</v>
      </c>
      <c r="E1372" s="139" t="str">
        <v/>
      </c>
      <c r="F1372" s="140" t="str">
        <f t="shared" si="80"/>
        <v/>
      </c>
    </row>
    <row r="1373" spans="1:7" ht="12.4" customHeight="1">
      <c r="A1373" s="247"/>
      <c r="B1373" s="243"/>
      <c r="C1373" s="137" t="str">
        <v>Shape</v>
      </c>
      <c r="D1373" s="138">
        <v>10</v>
      </c>
      <c r="E1373" s="139" t="str">
        <v/>
      </c>
      <c r="F1373" s="140" t="str">
        <f t="shared" si="80"/>
        <v/>
      </c>
    </row>
    <row r="1374" spans="1:7" ht="12.4" customHeight="1">
      <c r="A1374" s="247"/>
      <c r="B1374" s="243"/>
      <c r="C1374" s="137" t="str">
        <v>Science</v>
      </c>
      <c r="D1374" s="138">
        <v>10</v>
      </c>
      <c r="E1374" s="139" t="str">
        <v/>
      </c>
      <c r="F1374" s="140" t="str">
        <f t="shared" si="80"/>
        <v/>
      </c>
    </row>
    <row r="1375" spans="1:7" ht="12.4" customHeight="1">
      <c r="A1375" s="247"/>
      <c r="B1375" s="244"/>
      <c r="C1375" s="141" t="str">
        <v>Tracing</v>
      </c>
      <c r="D1375" s="142">
        <v>10</v>
      </c>
      <c r="E1375" s="143" t="str">
        <v/>
      </c>
      <c r="F1375" s="144" t="str">
        <f t="shared" si="80"/>
        <v/>
      </c>
    </row>
    <row r="1376" spans="1:7" ht="12.4" customHeight="1">
      <c r="A1376" s="248"/>
      <c r="B1376" s="240" t="s">
        <v>133</v>
      </c>
      <c r="C1376" s="241"/>
      <c r="D1376" s="103">
        <f>D1365*20%+SUM(D1366:D1375)*80%</f>
        <v>100</v>
      </c>
      <c r="E1376" s="110" t="str">
        <v/>
      </c>
      <c r="F1376" s="104" t="str">
        <f t="shared" si="80"/>
        <v/>
      </c>
    </row>
    <row r="1378" spans="1:7" ht="12.4" customHeight="1">
      <c r="A1378" s="230" t="s">
        <v>121</v>
      </c>
      <c r="B1378" s="231"/>
      <c r="C1378" s="231"/>
      <c r="D1378" s="107" t="s">
        <v>123</v>
      </c>
      <c r="E1378" s="232" t="str">
        <f>I100</f>
        <v/>
      </c>
      <c r="F1378" s="233"/>
      <c r="G1378" s="101">
        <v>100</v>
      </c>
    </row>
    <row r="1379" spans="1:7" ht="12.4" customHeight="1">
      <c r="A1379" s="105" t="s">
        <v>122</v>
      </c>
      <c r="B1379" s="234" t="str">
        <f>$K$74</f>
        <v>FEBRUARY - JULY 2026</v>
      </c>
      <c r="C1379" s="234"/>
      <c r="D1379" s="106" t="s">
        <v>124</v>
      </c>
      <c r="E1379" s="235" t="str">
        <f>$I$74</f>
        <v/>
      </c>
      <c r="F1379" s="236"/>
    </row>
    <row r="1380" spans="1:7" ht="12.4" customHeight="1">
      <c r="A1380" s="237" t="s">
        <v>130</v>
      </c>
      <c r="B1380" s="238"/>
      <c r="C1380" s="238"/>
      <c r="D1380" s="238"/>
      <c r="E1380" s="238"/>
      <c r="F1380" s="239"/>
    </row>
    <row r="1381" spans="1:7" ht="12.4" customHeight="1">
      <c r="A1381" s="245" t="s">
        <v>14</v>
      </c>
      <c r="B1381" s="240" t="s">
        <v>125</v>
      </c>
      <c r="C1381" s="241"/>
      <c r="D1381" s="102" t="s">
        <v>126</v>
      </c>
      <c r="E1381" s="109" t="s">
        <v>127</v>
      </c>
      <c r="F1381" s="102" t="s">
        <v>128</v>
      </c>
    </row>
    <row r="1382" spans="1:7" ht="12.4" customHeight="1">
      <c r="A1382" s="246"/>
      <c r="B1382" s="240" t="s">
        <v>129</v>
      </c>
      <c r="C1382" s="241"/>
      <c r="D1382" s="102">
        <v>100</v>
      </c>
      <c r="E1382" s="110" t="str" cm="1">
        <f t="array" ref="E1382:E1393">TRANSPOSE(K100:V100)</f>
        <v/>
      </c>
      <c r="F1382" s="104" t="str">
        <f>IF(E1382="","",IF(E1382&lt;D1382*60%,"Try harder",""))</f>
        <v/>
      </c>
    </row>
    <row r="1383" spans="1:7" ht="12.4" customHeight="1">
      <c r="A1383" s="246"/>
      <c r="B1383" s="242" t="s">
        <v>132</v>
      </c>
      <c r="C1383" s="133" t="str" cm="1">
        <f t="array" ref="C1383:C1392">TRANSPOSE($L$77:$U$77)</f>
        <v>Up-Low C</v>
      </c>
      <c r="D1383" s="134">
        <v>10</v>
      </c>
      <c r="E1383" s="135" t="str">
        <v/>
      </c>
      <c r="F1383" s="136" t="str">
        <f t="shared" ref="F1383:F1393" si="81">IF(E1383="","",IF(E1383&lt;D1383*60%,"Try harder",""))</f>
        <v/>
      </c>
    </row>
    <row r="1384" spans="1:7" ht="12.4" customHeight="1">
      <c r="A1384" s="246"/>
      <c r="B1384" s="243"/>
      <c r="C1384" s="137" t="str">
        <v>Alphabet N</v>
      </c>
      <c r="D1384" s="138">
        <v>10</v>
      </c>
      <c r="E1384" s="139" t="str">
        <v/>
      </c>
      <c r="F1384" s="140" t="str">
        <f t="shared" si="81"/>
        <v/>
      </c>
    </row>
    <row r="1385" spans="1:7" ht="12.4" customHeight="1">
      <c r="A1385" s="246"/>
      <c r="B1385" s="243"/>
      <c r="C1385" s="137" t="str">
        <v>Alphabet S</v>
      </c>
      <c r="D1385" s="138">
        <v>10</v>
      </c>
      <c r="E1385" s="139" t="str">
        <v/>
      </c>
      <c r="F1385" s="140" t="str">
        <f t="shared" si="81"/>
        <v/>
      </c>
    </row>
    <row r="1386" spans="1:7" ht="12.4" customHeight="1">
      <c r="A1386" s="246"/>
      <c r="B1386" s="243"/>
      <c r="C1386" s="137" t="str">
        <v>Vocabulary</v>
      </c>
      <c r="D1386" s="138">
        <v>10</v>
      </c>
      <c r="E1386" s="139" t="str">
        <v/>
      </c>
      <c r="F1386" s="140" t="str">
        <f t="shared" si="81"/>
        <v/>
      </c>
    </row>
    <row r="1387" spans="1:7" ht="12.4" customHeight="1">
      <c r="A1387" s="247" t="s">
        <v>131</v>
      </c>
      <c r="B1387" s="243"/>
      <c r="C1387" s="137" t="str">
        <v>Sprouts</v>
      </c>
      <c r="D1387" s="138">
        <v>10</v>
      </c>
      <c r="E1387" s="139" t="str">
        <v/>
      </c>
      <c r="F1387" s="140" t="str">
        <f t="shared" si="81"/>
        <v/>
      </c>
    </row>
    <row r="1388" spans="1:7" ht="12.4" customHeight="1">
      <c r="A1388" s="247"/>
      <c r="B1388" s="243"/>
      <c r="C1388" s="137" t="str">
        <v>Phonics</v>
      </c>
      <c r="D1388" s="138">
        <v>10</v>
      </c>
      <c r="E1388" s="139" t="str">
        <v/>
      </c>
      <c r="F1388" s="140" t="str">
        <f t="shared" si="81"/>
        <v/>
      </c>
    </row>
    <row r="1389" spans="1:7" ht="12.4" customHeight="1">
      <c r="A1389" s="247"/>
      <c r="B1389" s="243"/>
      <c r="C1389" s="137" t="str">
        <v>Math</v>
      </c>
      <c r="D1389" s="138">
        <v>10</v>
      </c>
      <c r="E1389" s="139" t="str">
        <v/>
      </c>
      <c r="F1389" s="140" t="str">
        <f t="shared" si="81"/>
        <v/>
      </c>
    </row>
    <row r="1390" spans="1:7" ht="12.4" customHeight="1">
      <c r="A1390" s="247"/>
      <c r="B1390" s="243"/>
      <c r="C1390" s="137" t="str">
        <v>Shape</v>
      </c>
      <c r="D1390" s="138">
        <v>10</v>
      </c>
      <c r="E1390" s="139" t="str">
        <v/>
      </c>
      <c r="F1390" s="140" t="str">
        <f t="shared" si="81"/>
        <v/>
      </c>
    </row>
    <row r="1391" spans="1:7" ht="12.4" customHeight="1">
      <c r="A1391" s="247"/>
      <c r="B1391" s="243"/>
      <c r="C1391" s="137" t="str">
        <v>Science</v>
      </c>
      <c r="D1391" s="138">
        <v>10</v>
      </c>
      <c r="E1391" s="139" t="str">
        <v/>
      </c>
      <c r="F1391" s="140" t="str">
        <f t="shared" si="81"/>
        <v/>
      </c>
    </row>
    <row r="1392" spans="1:7" ht="12.4" customHeight="1">
      <c r="A1392" s="247"/>
      <c r="B1392" s="244"/>
      <c r="C1392" s="141" t="str">
        <v>Tracing</v>
      </c>
      <c r="D1392" s="142">
        <v>10</v>
      </c>
      <c r="E1392" s="143" t="str">
        <v/>
      </c>
      <c r="F1392" s="144" t="str">
        <f t="shared" si="81"/>
        <v/>
      </c>
    </row>
    <row r="1393" spans="1:7" ht="12.4" customHeight="1">
      <c r="A1393" s="248"/>
      <c r="B1393" s="240" t="s">
        <v>133</v>
      </c>
      <c r="C1393" s="241"/>
      <c r="D1393" s="103">
        <f>D1382*20%+SUM(D1383:D1392)*80%</f>
        <v>100</v>
      </c>
      <c r="E1393" s="110" t="str">
        <v/>
      </c>
      <c r="F1393" s="104" t="str">
        <f t="shared" si="81"/>
        <v/>
      </c>
    </row>
    <row r="1395" spans="1:7" ht="12.4" customHeight="1">
      <c r="A1395" s="230" t="s">
        <v>121</v>
      </c>
      <c r="B1395" s="231"/>
      <c r="C1395" s="231"/>
      <c r="D1395" s="107" t="s">
        <v>123</v>
      </c>
      <c r="E1395" s="232" t="str">
        <f>I101</f>
        <v/>
      </c>
      <c r="F1395" s="233"/>
      <c r="G1395" s="101">
        <v>101</v>
      </c>
    </row>
    <row r="1396" spans="1:7" ht="12.4" customHeight="1">
      <c r="A1396" s="105" t="s">
        <v>122</v>
      </c>
      <c r="B1396" s="234" t="str">
        <f>$K$74</f>
        <v>FEBRUARY - JULY 2026</v>
      </c>
      <c r="C1396" s="234"/>
      <c r="D1396" s="106" t="s">
        <v>124</v>
      </c>
      <c r="E1396" s="235" t="str">
        <f>$I$74</f>
        <v/>
      </c>
      <c r="F1396" s="236"/>
    </row>
    <row r="1397" spans="1:7" ht="12.4" customHeight="1">
      <c r="A1397" s="237" t="s">
        <v>130</v>
      </c>
      <c r="B1397" s="238"/>
      <c r="C1397" s="238"/>
      <c r="D1397" s="238"/>
      <c r="E1397" s="238"/>
      <c r="F1397" s="239"/>
    </row>
    <row r="1398" spans="1:7" ht="12.4" customHeight="1">
      <c r="A1398" s="245" t="s">
        <v>14</v>
      </c>
      <c r="B1398" s="240" t="s">
        <v>125</v>
      </c>
      <c r="C1398" s="241"/>
      <c r="D1398" s="102" t="s">
        <v>126</v>
      </c>
      <c r="E1398" s="109" t="s">
        <v>127</v>
      </c>
      <c r="F1398" s="102" t="s">
        <v>128</v>
      </c>
    </row>
    <row r="1399" spans="1:7" ht="12.4" customHeight="1">
      <c r="A1399" s="246"/>
      <c r="B1399" s="240" t="s">
        <v>129</v>
      </c>
      <c r="C1399" s="241"/>
      <c r="D1399" s="102">
        <v>100</v>
      </c>
      <c r="E1399" s="110" t="str" cm="1">
        <f t="array" ref="E1399:E1410">TRANSPOSE(K101:V101)</f>
        <v/>
      </c>
      <c r="F1399" s="104" t="str">
        <f>IF(E1399="","",IF(E1399&lt;D1399*60%,"Try harder",""))</f>
        <v/>
      </c>
    </row>
    <row r="1400" spans="1:7" ht="12.4" customHeight="1">
      <c r="A1400" s="246"/>
      <c r="B1400" s="242" t="s">
        <v>132</v>
      </c>
      <c r="C1400" s="133" t="str" cm="1">
        <f t="array" ref="C1400:C1409">TRANSPOSE($L$77:$U$77)</f>
        <v>Up-Low C</v>
      </c>
      <c r="D1400" s="134">
        <v>10</v>
      </c>
      <c r="E1400" s="135" t="str">
        <v/>
      </c>
      <c r="F1400" s="136" t="str">
        <f t="shared" ref="F1400:F1410" si="82">IF(E1400="","",IF(E1400&lt;D1400*60%,"Try harder",""))</f>
        <v/>
      </c>
    </row>
    <row r="1401" spans="1:7" ht="12.4" customHeight="1">
      <c r="A1401" s="246"/>
      <c r="B1401" s="243"/>
      <c r="C1401" s="137" t="str">
        <v>Alphabet N</v>
      </c>
      <c r="D1401" s="138">
        <v>10</v>
      </c>
      <c r="E1401" s="139" t="str">
        <v/>
      </c>
      <c r="F1401" s="140" t="str">
        <f t="shared" si="82"/>
        <v/>
      </c>
    </row>
    <row r="1402" spans="1:7" ht="12.4" customHeight="1">
      <c r="A1402" s="246"/>
      <c r="B1402" s="243"/>
      <c r="C1402" s="137" t="str">
        <v>Alphabet S</v>
      </c>
      <c r="D1402" s="138">
        <v>10</v>
      </c>
      <c r="E1402" s="139" t="str">
        <v/>
      </c>
      <c r="F1402" s="140" t="str">
        <f t="shared" si="82"/>
        <v/>
      </c>
    </row>
    <row r="1403" spans="1:7" ht="12.4" customHeight="1">
      <c r="A1403" s="246"/>
      <c r="B1403" s="243"/>
      <c r="C1403" s="137" t="str">
        <v>Vocabulary</v>
      </c>
      <c r="D1403" s="138">
        <v>10</v>
      </c>
      <c r="E1403" s="139" t="str">
        <v/>
      </c>
      <c r="F1403" s="140" t="str">
        <f t="shared" si="82"/>
        <v/>
      </c>
    </row>
    <row r="1404" spans="1:7" ht="12.4" customHeight="1">
      <c r="A1404" s="247" t="s">
        <v>131</v>
      </c>
      <c r="B1404" s="243"/>
      <c r="C1404" s="137" t="str">
        <v>Sprouts</v>
      </c>
      <c r="D1404" s="138">
        <v>10</v>
      </c>
      <c r="E1404" s="139" t="str">
        <v/>
      </c>
      <c r="F1404" s="140" t="str">
        <f t="shared" si="82"/>
        <v/>
      </c>
    </row>
    <row r="1405" spans="1:7" ht="12.4" customHeight="1">
      <c r="A1405" s="247"/>
      <c r="B1405" s="243"/>
      <c r="C1405" s="137" t="str">
        <v>Phonics</v>
      </c>
      <c r="D1405" s="138">
        <v>10</v>
      </c>
      <c r="E1405" s="139" t="str">
        <v/>
      </c>
      <c r="F1405" s="140" t="str">
        <f t="shared" si="82"/>
        <v/>
      </c>
    </row>
    <row r="1406" spans="1:7" ht="12.4" customHeight="1">
      <c r="A1406" s="247"/>
      <c r="B1406" s="243"/>
      <c r="C1406" s="137" t="str">
        <v>Math</v>
      </c>
      <c r="D1406" s="138">
        <v>10</v>
      </c>
      <c r="E1406" s="139" t="str">
        <v/>
      </c>
      <c r="F1406" s="140" t="str">
        <f t="shared" si="82"/>
        <v/>
      </c>
    </row>
    <row r="1407" spans="1:7" ht="12.4" customHeight="1">
      <c r="A1407" s="247"/>
      <c r="B1407" s="243"/>
      <c r="C1407" s="137" t="str">
        <v>Shape</v>
      </c>
      <c r="D1407" s="138">
        <v>10</v>
      </c>
      <c r="E1407" s="139" t="str">
        <v/>
      </c>
      <c r="F1407" s="140" t="str">
        <f t="shared" si="82"/>
        <v/>
      </c>
    </row>
    <row r="1408" spans="1:7" ht="12.4" customHeight="1">
      <c r="A1408" s="247"/>
      <c r="B1408" s="243"/>
      <c r="C1408" s="137" t="str">
        <v>Science</v>
      </c>
      <c r="D1408" s="138">
        <v>10</v>
      </c>
      <c r="E1408" s="139" t="str">
        <v/>
      </c>
      <c r="F1408" s="140" t="str">
        <f t="shared" si="82"/>
        <v/>
      </c>
    </row>
    <row r="1409" spans="1:7" ht="12.4" customHeight="1">
      <c r="A1409" s="247"/>
      <c r="B1409" s="244"/>
      <c r="C1409" s="141" t="str">
        <v>Tracing</v>
      </c>
      <c r="D1409" s="142">
        <v>10</v>
      </c>
      <c r="E1409" s="143" t="str">
        <v/>
      </c>
      <c r="F1409" s="144" t="str">
        <f t="shared" si="82"/>
        <v/>
      </c>
    </row>
    <row r="1410" spans="1:7" ht="12.4" customHeight="1">
      <c r="A1410" s="248"/>
      <c r="B1410" s="240" t="s">
        <v>133</v>
      </c>
      <c r="C1410" s="241"/>
      <c r="D1410" s="103">
        <f>D1399*20%+SUM(D1400:D1409)*80%</f>
        <v>100</v>
      </c>
      <c r="E1410" s="110" t="str">
        <v/>
      </c>
      <c r="F1410" s="104" t="str">
        <f t="shared" si="82"/>
        <v/>
      </c>
    </row>
    <row r="1412" spans="1:7" ht="12.4" customHeight="1">
      <c r="A1412" s="230" t="s">
        <v>121</v>
      </c>
      <c r="B1412" s="231"/>
      <c r="C1412" s="231"/>
      <c r="D1412" s="107" t="s">
        <v>123</v>
      </c>
      <c r="E1412" s="232" t="str">
        <f>I102</f>
        <v/>
      </c>
      <c r="F1412" s="233"/>
      <c r="G1412" s="101">
        <v>102</v>
      </c>
    </row>
    <row r="1413" spans="1:7" ht="12.4" customHeight="1">
      <c r="A1413" s="105" t="s">
        <v>122</v>
      </c>
      <c r="B1413" s="234" t="str">
        <f>$K$74</f>
        <v>FEBRUARY - JULY 2026</v>
      </c>
      <c r="C1413" s="234"/>
      <c r="D1413" s="106" t="s">
        <v>124</v>
      </c>
      <c r="E1413" s="235" t="str">
        <f>$I$74</f>
        <v/>
      </c>
      <c r="F1413" s="236"/>
    </row>
    <row r="1414" spans="1:7" ht="12.4" customHeight="1">
      <c r="A1414" s="237" t="s">
        <v>130</v>
      </c>
      <c r="B1414" s="238"/>
      <c r="C1414" s="238"/>
      <c r="D1414" s="238"/>
      <c r="E1414" s="238"/>
      <c r="F1414" s="239"/>
    </row>
    <row r="1415" spans="1:7" ht="12.4" customHeight="1">
      <c r="A1415" s="245" t="s">
        <v>14</v>
      </c>
      <c r="B1415" s="240" t="s">
        <v>125</v>
      </c>
      <c r="C1415" s="241"/>
      <c r="D1415" s="102" t="s">
        <v>126</v>
      </c>
      <c r="E1415" s="109" t="s">
        <v>127</v>
      </c>
      <c r="F1415" s="102" t="s">
        <v>128</v>
      </c>
    </row>
    <row r="1416" spans="1:7" ht="12.4" customHeight="1">
      <c r="A1416" s="246"/>
      <c r="B1416" s="240" t="s">
        <v>129</v>
      </c>
      <c r="C1416" s="241"/>
      <c r="D1416" s="102">
        <v>100</v>
      </c>
      <c r="E1416" s="110" t="str" cm="1">
        <f t="array" ref="E1416:E1427">TRANSPOSE(K102:V102)</f>
        <v/>
      </c>
      <c r="F1416" s="104" t="str">
        <f>IF(E1416="","",IF(E1416&lt;D1416*60%,"Try harder",""))</f>
        <v/>
      </c>
    </row>
    <row r="1417" spans="1:7" ht="12.4" customHeight="1">
      <c r="A1417" s="246"/>
      <c r="B1417" s="242" t="s">
        <v>132</v>
      </c>
      <c r="C1417" s="133" t="str" cm="1">
        <f t="array" ref="C1417:C1426">TRANSPOSE($L$77:$U$77)</f>
        <v>Up-Low C</v>
      </c>
      <c r="D1417" s="134">
        <v>10</v>
      </c>
      <c r="E1417" s="135" t="str">
        <v/>
      </c>
      <c r="F1417" s="136" t="str">
        <f t="shared" ref="F1417:F1427" si="83">IF(E1417="","",IF(E1417&lt;D1417*60%,"Try harder",""))</f>
        <v/>
      </c>
    </row>
    <row r="1418" spans="1:7" ht="12.4" customHeight="1">
      <c r="A1418" s="246"/>
      <c r="B1418" s="243"/>
      <c r="C1418" s="137" t="str">
        <v>Alphabet N</v>
      </c>
      <c r="D1418" s="138">
        <v>10</v>
      </c>
      <c r="E1418" s="139" t="str">
        <v/>
      </c>
      <c r="F1418" s="140" t="str">
        <f t="shared" si="83"/>
        <v/>
      </c>
    </row>
    <row r="1419" spans="1:7" ht="12.4" customHeight="1">
      <c r="A1419" s="246"/>
      <c r="B1419" s="243"/>
      <c r="C1419" s="137" t="str">
        <v>Alphabet S</v>
      </c>
      <c r="D1419" s="138">
        <v>10</v>
      </c>
      <c r="E1419" s="139" t="str">
        <v/>
      </c>
      <c r="F1419" s="140" t="str">
        <f t="shared" si="83"/>
        <v/>
      </c>
    </row>
    <row r="1420" spans="1:7" ht="12.4" customHeight="1">
      <c r="A1420" s="246"/>
      <c r="B1420" s="243"/>
      <c r="C1420" s="137" t="str">
        <v>Vocabulary</v>
      </c>
      <c r="D1420" s="138">
        <v>10</v>
      </c>
      <c r="E1420" s="139" t="str">
        <v/>
      </c>
      <c r="F1420" s="140" t="str">
        <f t="shared" si="83"/>
        <v/>
      </c>
    </row>
    <row r="1421" spans="1:7" ht="12.4" customHeight="1">
      <c r="A1421" s="247" t="s">
        <v>131</v>
      </c>
      <c r="B1421" s="243"/>
      <c r="C1421" s="137" t="str">
        <v>Sprouts</v>
      </c>
      <c r="D1421" s="138">
        <v>10</v>
      </c>
      <c r="E1421" s="139" t="str">
        <v/>
      </c>
      <c r="F1421" s="140" t="str">
        <f t="shared" si="83"/>
        <v/>
      </c>
    </row>
    <row r="1422" spans="1:7" ht="12.4" customHeight="1">
      <c r="A1422" s="247"/>
      <c r="B1422" s="243"/>
      <c r="C1422" s="137" t="str">
        <v>Phonics</v>
      </c>
      <c r="D1422" s="138">
        <v>10</v>
      </c>
      <c r="E1422" s="139" t="str">
        <v/>
      </c>
      <c r="F1422" s="140" t="str">
        <f t="shared" si="83"/>
        <v/>
      </c>
    </row>
    <row r="1423" spans="1:7" ht="12.4" customHeight="1">
      <c r="A1423" s="247"/>
      <c r="B1423" s="243"/>
      <c r="C1423" s="137" t="str">
        <v>Math</v>
      </c>
      <c r="D1423" s="138">
        <v>10</v>
      </c>
      <c r="E1423" s="139" t="str">
        <v/>
      </c>
      <c r="F1423" s="140" t="str">
        <f t="shared" si="83"/>
        <v/>
      </c>
    </row>
    <row r="1424" spans="1:7" ht="12.4" customHeight="1">
      <c r="A1424" s="247"/>
      <c r="B1424" s="243"/>
      <c r="C1424" s="137" t="str">
        <v>Shape</v>
      </c>
      <c r="D1424" s="138">
        <v>10</v>
      </c>
      <c r="E1424" s="139" t="str">
        <v/>
      </c>
      <c r="F1424" s="140" t="str">
        <f t="shared" si="83"/>
        <v/>
      </c>
    </row>
    <row r="1425" spans="1:7" ht="12.4" customHeight="1">
      <c r="A1425" s="247"/>
      <c r="B1425" s="243"/>
      <c r="C1425" s="137" t="str">
        <v>Science</v>
      </c>
      <c r="D1425" s="138">
        <v>10</v>
      </c>
      <c r="E1425" s="139" t="str">
        <v/>
      </c>
      <c r="F1425" s="140" t="str">
        <f t="shared" si="83"/>
        <v/>
      </c>
    </row>
    <row r="1426" spans="1:7" ht="12.4" customHeight="1">
      <c r="A1426" s="247"/>
      <c r="B1426" s="244"/>
      <c r="C1426" s="141" t="str">
        <v>Tracing</v>
      </c>
      <c r="D1426" s="142">
        <v>10</v>
      </c>
      <c r="E1426" s="143" t="str">
        <v/>
      </c>
      <c r="F1426" s="144" t="str">
        <f t="shared" si="83"/>
        <v/>
      </c>
    </row>
    <row r="1427" spans="1:7" ht="12.4" customHeight="1">
      <c r="A1427" s="248"/>
      <c r="B1427" s="240" t="s">
        <v>133</v>
      </c>
      <c r="C1427" s="241"/>
      <c r="D1427" s="103">
        <f>D1416*20%+SUM(D1417:D1426)*80%</f>
        <v>100</v>
      </c>
      <c r="E1427" s="110" t="str">
        <v/>
      </c>
      <c r="F1427" s="104" t="str">
        <f t="shared" si="83"/>
        <v/>
      </c>
    </row>
    <row r="1429" spans="1:7" ht="12.4" customHeight="1">
      <c r="A1429" s="230" t="s">
        <v>121</v>
      </c>
      <c r="B1429" s="231"/>
      <c r="C1429" s="231"/>
      <c r="D1429" s="107" t="s">
        <v>123</v>
      </c>
      <c r="E1429" s="232" t="str">
        <f>I103</f>
        <v/>
      </c>
      <c r="F1429" s="233"/>
      <c r="G1429" s="101">
        <v>103</v>
      </c>
    </row>
    <row r="1430" spans="1:7" ht="12.4" customHeight="1">
      <c r="A1430" s="105" t="s">
        <v>122</v>
      </c>
      <c r="B1430" s="234" t="str">
        <f>$K$74</f>
        <v>FEBRUARY - JULY 2026</v>
      </c>
      <c r="C1430" s="234"/>
      <c r="D1430" s="106" t="s">
        <v>124</v>
      </c>
      <c r="E1430" s="235" t="str">
        <f>$I$74</f>
        <v/>
      </c>
      <c r="F1430" s="236"/>
    </row>
    <row r="1431" spans="1:7" ht="12.4" customHeight="1">
      <c r="A1431" s="237" t="s">
        <v>130</v>
      </c>
      <c r="B1431" s="238"/>
      <c r="C1431" s="238"/>
      <c r="D1431" s="238"/>
      <c r="E1431" s="238"/>
      <c r="F1431" s="239"/>
    </row>
    <row r="1432" spans="1:7" ht="12.4" customHeight="1">
      <c r="A1432" s="245" t="s">
        <v>14</v>
      </c>
      <c r="B1432" s="240" t="s">
        <v>125</v>
      </c>
      <c r="C1432" s="241"/>
      <c r="D1432" s="102" t="s">
        <v>126</v>
      </c>
      <c r="E1432" s="109" t="s">
        <v>127</v>
      </c>
      <c r="F1432" s="102" t="s">
        <v>128</v>
      </c>
    </row>
    <row r="1433" spans="1:7" ht="12.4" customHeight="1">
      <c r="A1433" s="246"/>
      <c r="B1433" s="240" t="s">
        <v>129</v>
      </c>
      <c r="C1433" s="241"/>
      <c r="D1433" s="102">
        <v>100</v>
      </c>
      <c r="E1433" s="110" t="str" cm="1">
        <f t="array" ref="E1433:E1444">TRANSPOSE(K103:V103)</f>
        <v/>
      </c>
      <c r="F1433" s="104" t="str">
        <f>IF(E1433="","",IF(E1433&lt;D1433*60%,"Try harder",""))</f>
        <v/>
      </c>
    </row>
    <row r="1434" spans="1:7" ht="12.4" customHeight="1">
      <c r="A1434" s="246"/>
      <c r="B1434" s="242" t="s">
        <v>132</v>
      </c>
      <c r="C1434" s="133" t="str" cm="1">
        <f t="array" ref="C1434:C1443">TRANSPOSE($L$77:$U$77)</f>
        <v>Up-Low C</v>
      </c>
      <c r="D1434" s="134">
        <v>10</v>
      </c>
      <c r="E1434" s="135" t="str">
        <v/>
      </c>
      <c r="F1434" s="136" t="str">
        <f t="shared" ref="F1434:F1444" si="84">IF(E1434="","",IF(E1434&lt;D1434*60%,"Try harder",""))</f>
        <v/>
      </c>
    </row>
    <row r="1435" spans="1:7" ht="12.4" customHeight="1">
      <c r="A1435" s="246"/>
      <c r="B1435" s="243"/>
      <c r="C1435" s="137" t="str">
        <v>Alphabet N</v>
      </c>
      <c r="D1435" s="138">
        <v>10</v>
      </c>
      <c r="E1435" s="139" t="str">
        <v/>
      </c>
      <c r="F1435" s="140" t="str">
        <f t="shared" si="84"/>
        <v/>
      </c>
    </row>
    <row r="1436" spans="1:7" ht="12.4" customHeight="1">
      <c r="A1436" s="246"/>
      <c r="B1436" s="243"/>
      <c r="C1436" s="137" t="str">
        <v>Alphabet S</v>
      </c>
      <c r="D1436" s="138">
        <v>10</v>
      </c>
      <c r="E1436" s="139" t="str">
        <v/>
      </c>
      <c r="F1436" s="140" t="str">
        <f t="shared" si="84"/>
        <v/>
      </c>
    </row>
    <row r="1437" spans="1:7" ht="12.4" customHeight="1">
      <c r="A1437" s="246"/>
      <c r="B1437" s="243"/>
      <c r="C1437" s="137" t="str">
        <v>Vocabulary</v>
      </c>
      <c r="D1437" s="138">
        <v>10</v>
      </c>
      <c r="E1437" s="139" t="str">
        <v/>
      </c>
      <c r="F1437" s="140" t="str">
        <f t="shared" si="84"/>
        <v/>
      </c>
    </row>
    <row r="1438" spans="1:7" ht="12.4" customHeight="1">
      <c r="A1438" s="247" t="s">
        <v>131</v>
      </c>
      <c r="B1438" s="243"/>
      <c r="C1438" s="137" t="str">
        <v>Sprouts</v>
      </c>
      <c r="D1438" s="138">
        <v>10</v>
      </c>
      <c r="E1438" s="139" t="str">
        <v/>
      </c>
      <c r="F1438" s="140" t="str">
        <f t="shared" si="84"/>
        <v/>
      </c>
    </row>
    <row r="1439" spans="1:7" ht="12.4" customHeight="1">
      <c r="A1439" s="247"/>
      <c r="B1439" s="243"/>
      <c r="C1439" s="137" t="str">
        <v>Phonics</v>
      </c>
      <c r="D1439" s="138">
        <v>10</v>
      </c>
      <c r="E1439" s="139" t="str">
        <v/>
      </c>
      <c r="F1439" s="140" t="str">
        <f t="shared" si="84"/>
        <v/>
      </c>
    </row>
    <row r="1440" spans="1:7" ht="12.4" customHeight="1">
      <c r="A1440" s="247"/>
      <c r="B1440" s="243"/>
      <c r="C1440" s="137" t="str">
        <v>Math</v>
      </c>
      <c r="D1440" s="138">
        <v>10</v>
      </c>
      <c r="E1440" s="139" t="str">
        <v/>
      </c>
      <c r="F1440" s="140" t="str">
        <f t="shared" si="84"/>
        <v/>
      </c>
    </row>
    <row r="1441" spans="1:7" ht="12.4" customHeight="1">
      <c r="A1441" s="247"/>
      <c r="B1441" s="243"/>
      <c r="C1441" s="137" t="str">
        <v>Shape</v>
      </c>
      <c r="D1441" s="138">
        <v>10</v>
      </c>
      <c r="E1441" s="139" t="str">
        <v/>
      </c>
      <c r="F1441" s="140" t="str">
        <f t="shared" si="84"/>
        <v/>
      </c>
    </row>
    <row r="1442" spans="1:7" ht="12.4" customHeight="1">
      <c r="A1442" s="247"/>
      <c r="B1442" s="243"/>
      <c r="C1442" s="137" t="str">
        <v>Science</v>
      </c>
      <c r="D1442" s="138">
        <v>10</v>
      </c>
      <c r="E1442" s="139" t="str">
        <v/>
      </c>
      <c r="F1442" s="140" t="str">
        <f t="shared" si="84"/>
        <v/>
      </c>
    </row>
    <row r="1443" spans="1:7" ht="12.4" customHeight="1">
      <c r="A1443" s="247"/>
      <c r="B1443" s="244"/>
      <c r="C1443" s="141" t="str">
        <v>Tracing</v>
      </c>
      <c r="D1443" s="142">
        <v>10</v>
      </c>
      <c r="E1443" s="143" t="str">
        <v/>
      </c>
      <c r="F1443" s="144" t="str">
        <f t="shared" si="84"/>
        <v/>
      </c>
    </row>
    <row r="1444" spans="1:7" ht="12.4" customHeight="1">
      <c r="A1444" s="248"/>
      <c r="B1444" s="240" t="s">
        <v>133</v>
      </c>
      <c r="C1444" s="241"/>
      <c r="D1444" s="103">
        <f>D1433*20%+SUM(D1434:D1443)*80%</f>
        <v>100</v>
      </c>
      <c r="E1444" s="110" t="str">
        <v/>
      </c>
      <c r="F1444" s="104" t="str">
        <f t="shared" si="84"/>
        <v/>
      </c>
    </row>
    <row r="1446" spans="1:7" ht="12.4" customHeight="1">
      <c r="A1446" s="230" t="s">
        <v>121</v>
      </c>
      <c r="B1446" s="231"/>
      <c r="C1446" s="231"/>
      <c r="D1446" s="107" t="s">
        <v>123</v>
      </c>
      <c r="E1446" s="232" t="str">
        <f>I104</f>
        <v/>
      </c>
      <c r="F1446" s="233"/>
      <c r="G1446" s="101">
        <v>104</v>
      </c>
    </row>
    <row r="1447" spans="1:7" ht="12.4" customHeight="1">
      <c r="A1447" s="105" t="s">
        <v>122</v>
      </c>
      <c r="B1447" s="234" t="str">
        <f>$K$74</f>
        <v>FEBRUARY - JULY 2026</v>
      </c>
      <c r="C1447" s="234"/>
      <c r="D1447" s="106" t="s">
        <v>124</v>
      </c>
      <c r="E1447" s="235" t="str">
        <f>$I$74</f>
        <v/>
      </c>
      <c r="F1447" s="236"/>
    </row>
    <row r="1448" spans="1:7" ht="12.4" customHeight="1">
      <c r="A1448" s="237" t="s">
        <v>130</v>
      </c>
      <c r="B1448" s="238"/>
      <c r="C1448" s="238"/>
      <c r="D1448" s="238"/>
      <c r="E1448" s="238"/>
      <c r="F1448" s="239"/>
    </row>
    <row r="1449" spans="1:7" ht="12.4" customHeight="1">
      <c r="A1449" s="245" t="s">
        <v>14</v>
      </c>
      <c r="B1449" s="240" t="s">
        <v>125</v>
      </c>
      <c r="C1449" s="241"/>
      <c r="D1449" s="102" t="s">
        <v>126</v>
      </c>
      <c r="E1449" s="109" t="s">
        <v>127</v>
      </c>
      <c r="F1449" s="102" t="s">
        <v>128</v>
      </c>
    </row>
    <row r="1450" spans="1:7" ht="12.4" customHeight="1">
      <c r="A1450" s="246"/>
      <c r="B1450" s="240" t="s">
        <v>129</v>
      </c>
      <c r="C1450" s="241"/>
      <c r="D1450" s="102">
        <v>100</v>
      </c>
      <c r="E1450" s="110" t="str" cm="1">
        <f t="array" ref="E1450:E1461">TRANSPOSE(K104:V104)</f>
        <v/>
      </c>
      <c r="F1450" s="104" t="str">
        <f>IF(E1450="","",IF(E1450&lt;D1450*60%,"Try harder",""))</f>
        <v/>
      </c>
    </row>
    <row r="1451" spans="1:7" ht="12.4" customHeight="1">
      <c r="A1451" s="246"/>
      <c r="B1451" s="242" t="s">
        <v>132</v>
      </c>
      <c r="C1451" s="133" t="str" cm="1">
        <f t="array" ref="C1451:C1460">TRANSPOSE($L$77:$U$77)</f>
        <v>Up-Low C</v>
      </c>
      <c r="D1451" s="134">
        <v>10</v>
      </c>
      <c r="E1451" s="135" t="str">
        <v/>
      </c>
      <c r="F1451" s="136" t="str">
        <f t="shared" ref="F1451:F1461" si="85">IF(E1451="","",IF(E1451&lt;D1451*60%,"Try harder",""))</f>
        <v/>
      </c>
    </row>
    <row r="1452" spans="1:7" ht="12.4" customHeight="1">
      <c r="A1452" s="246"/>
      <c r="B1452" s="243"/>
      <c r="C1452" s="137" t="str">
        <v>Alphabet N</v>
      </c>
      <c r="D1452" s="138">
        <v>10</v>
      </c>
      <c r="E1452" s="139" t="str">
        <v/>
      </c>
      <c r="F1452" s="140" t="str">
        <f t="shared" si="85"/>
        <v/>
      </c>
    </row>
    <row r="1453" spans="1:7" ht="12.4" customHeight="1">
      <c r="A1453" s="246"/>
      <c r="B1453" s="243"/>
      <c r="C1453" s="137" t="str">
        <v>Alphabet S</v>
      </c>
      <c r="D1453" s="138">
        <v>10</v>
      </c>
      <c r="E1453" s="139" t="str">
        <v/>
      </c>
      <c r="F1453" s="140" t="str">
        <f t="shared" si="85"/>
        <v/>
      </c>
    </row>
    <row r="1454" spans="1:7" ht="12.4" customHeight="1">
      <c r="A1454" s="246"/>
      <c r="B1454" s="243"/>
      <c r="C1454" s="137" t="str">
        <v>Vocabulary</v>
      </c>
      <c r="D1454" s="138">
        <v>10</v>
      </c>
      <c r="E1454" s="139" t="str">
        <v/>
      </c>
      <c r="F1454" s="140" t="str">
        <f t="shared" si="85"/>
        <v/>
      </c>
    </row>
    <row r="1455" spans="1:7" ht="12.4" customHeight="1">
      <c r="A1455" s="247" t="s">
        <v>131</v>
      </c>
      <c r="B1455" s="243"/>
      <c r="C1455" s="137" t="str">
        <v>Sprouts</v>
      </c>
      <c r="D1455" s="138">
        <v>10</v>
      </c>
      <c r="E1455" s="139" t="str">
        <v/>
      </c>
      <c r="F1455" s="140" t="str">
        <f t="shared" si="85"/>
        <v/>
      </c>
    </row>
    <row r="1456" spans="1:7" ht="12.4" customHeight="1">
      <c r="A1456" s="247"/>
      <c r="B1456" s="243"/>
      <c r="C1456" s="137" t="str">
        <v>Phonics</v>
      </c>
      <c r="D1456" s="138">
        <v>10</v>
      </c>
      <c r="E1456" s="139" t="str">
        <v/>
      </c>
      <c r="F1456" s="140" t="str">
        <f t="shared" si="85"/>
        <v/>
      </c>
    </row>
    <row r="1457" spans="1:7" ht="12.4" customHeight="1">
      <c r="A1457" s="247"/>
      <c r="B1457" s="243"/>
      <c r="C1457" s="137" t="str">
        <v>Math</v>
      </c>
      <c r="D1457" s="138">
        <v>10</v>
      </c>
      <c r="E1457" s="139" t="str">
        <v/>
      </c>
      <c r="F1457" s="140" t="str">
        <f t="shared" si="85"/>
        <v/>
      </c>
    </row>
    <row r="1458" spans="1:7" ht="12.4" customHeight="1">
      <c r="A1458" s="247"/>
      <c r="B1458" s="243"/>
      <c r="C1458" s="137" t="str">
        <v>Shape</v>
      </c>
      <c r="D1458" s="138">
        <v>10</v>
      </c>
      <c r="E1458" s="139" t="str">
        <v/>
      </c>
      <c r="F1458" s="140" t="str">
        <f t="shared" si="85"/>
        <v/>
      </c>
    </row>
    <row r="1459" spans="1:7" ht="12.4" customHeight="1">
      <c r="A1459" s="247"/>
      <c r="B1459" s="243"/>
      <c r="C1459" s="137" t="str">
        <v>Science</v>
      </c>
      <c r="D1459" s="138">
        <v>10</v>
      </c>
      <c r="E1459" s="139" t="str">
        <v/>
      </c>
      <c r="F1459" s="140" t="str">
        <f t="shared" si="85"/>
        <v/>
      </c>
    </row>
    <row r="1460" spans="1:7" ht="12.4" customHeight="1">
      <c r="A1460" s="247"/>
      <c r="B1460" s="244"/>
      <c r="C1460" s="141" t="str">
        <v>Tracing</v>
      </c>
      <c r="D1460" s="142">
        <v>10</v>
      </c>
      <c r="E1460" s="143" t="str">
        <v/>
      </c>
      <c r="F1460" s="144" t="str">
        <f t="shared" si="85"/>
        <v/>
      </c>
    </row>
    <row r="1461" spans="1:7" ht="12.4" customHeight="1">
      <c r="A1461" s="248"/>
      <c r="B1461" s="240" t="s">
        <v>133</v>
      </c>
      <c r="C1461" s="241"/>
      <c r="D1461" s="103">
        <f>D1450*20%+SUM(D1451:D1460)*80%</f>
        <v>100</v>
      </c>
      <c r="E1461" s="110" t="str">
        <v/>
      </c>
      <c r="F1461" s="104" t="str">
        <f t="shared" si="85"/>
        <v/>
      </c>
    </row>
    <row r="1463" spans="1:7" ht="12.4" customHeight="1">
      <c r="A1463" s="230" t="s">
        <v>121</v>
      </c>
      <c r="B1463" s="231"/>
      <c r="C1463" s="231"/>
      <c r="D1463" s="107" t="s">
        <v>123</v>
      </c>
      <c r="E1463" s="232" t="str">
        <f>I105</f>
        <v/>
      </c>
      <c r="F1463" s="233"/>
      <c r="G1463" s="101">
        <v>105</v>
      </c>
    </row>
    <row r="1464" spans="1:7" ht="12.4" customHeight="1">
      <c r="A1464" s="105" t="s">
        <v>122</v>
      </c>
      <c r="B1464" s="234" t="str">
        <f>$K$74</f>
        <v>FEBRUARY - JULY 2026</v>
      </c>
      <c r="C1464" s="234"/>
      <c r="D1464" s="106" t="s">
        <v>124</v>
      </c>
      <c r="E1464" s="235" t="str">
        <f>$I$74</f>
        <v/>
      </c>
      <c r="F1464" s="236"/>
    </row>
    <row r="1465" spans="1:7" ht="12.4" customHeight="1">
      <c r="A1465" s="237" t="s">
        <v>130</v>
      </c>
      <c r="B1465" s="238"/>
      <c r="C1465" s="238"/>
      <c r="D1465" s="238"/>
      <c r="E1465" s="238"/>
      <c r="F1465" s="239"/>
    </row>
    <row r="1466" spans="1:7" ht="12.4" customHeight="1">
      <c r="A1466" s="245" t="s">
        <v>14</v>
      </c>
      <c r="B1466" s="240" t="s">
        <v>125</v>
      </c>
      <c r="C1466" s="241"/>
      <c r="D1466" s="102" t="s">
        <v>126</v>
      </c>
      <c r="E1466" s="109" t="s">
        <v>127</v>
      </c>
      <c r="F1466" s="102" t="s">
        <v>128</v>
      </c>
    </row>
    <row r="1467" spans="1:7" ht="12.4" customHeight="1">
      <c r="A1467" s="246"/>
      <c r="B1467" s="240" t="s">
        <v>129</v>
      </c>
      <c r="C1467" s="241"/>
      <c r="D1467" s="102">
        <v>100</v>
      </c>
      <c r="E1467" s="110" t="str" cm="1">
        <f t="array" ref="E1467:E1478">TRANSPOSE(K105:V105)</f>
        <v/>
      </c>
      <c r="F1467" s="104" t="str">
        <f>IF(E1467="","",IF(E1467&lt;D1467*60%,"Try harder",""))</f>
        <v/>
      </c>
    </row>
    <row r="1468" spans="1:7" ht="12.4" customHeight="1">
      <c r="A1468" s="246"/>
      <c r="B1468" s="242" t="s">
        <v>132</v>
      </c>
      <c r="C1468" s="133" t="str" cm="1">
        <f t="array" ref="C1468:C1477">TRANSPOSE($L$77:$U$77)</f>
        <v>Up-Low C</v>
      </c>
      <c r="D1468" s="134">
        <v>10</v>
      </c>
      <c r="E1468" s="135" t="str">
        <v/>
      </c>
      <c r="F1468" s="136" t="str">
        <f t="shared" ref="F1468:F1478" si="86">IF(E1468="","",IF(E1468&lt;D1468*60%,"Try harder",""))</f>
        <v/>
      </c>
    </row>
    <row r="1469" spans="1:7" ht="12.4" customHeight="1">
      <c r="A1469" s="246"/>
      <c r="B1469" s="243"/>
      <c r="C1469" s="137" t="str">
        <v>Alphabet N</v>
      </c>
      <c r="D1469" s="138">
        <v>10</v>
      </c>
      <c r="E1469" s="139" t="str">
        <v/>
      </c>
      <c r="F1469" s="140" t="str">
        <f t="shared" si="86"/>
        <v/>
      </c>
    </row>
    <row r="1470" spans="1:7" ht="12.4" customHeight="1">
      <c r="A1470" s="246"/>
      <c r="B1470" s="243"/>
      <c r="C1470" s="137" t="str">
        <v>Alphabet S</v>
      </c>
      <c r="D1470" s="138">
        <v>10</v>
      </c>
      <c r="E1470" s="139" t="str">
        <v/>
      </c>
      <c r="F1470" s="140" t="str">
        <f t="shared" si="86"/>
        <v/>
      </c>
    </row>
    <row r="1471" spans="1:7" ht="12.4" customHeight="1">
      <c r="A1471" s="246"/>
      <c r="B1471" s="243"/>
      <c r="C1471" s="137" t="str">
        <v>Vocabulary</v>
      </c>
      <c r="D1471" s="138">
        <v>10</v>
      </c>
      <c r="E1471" s="139" t="str">
        <v/>
      </c>
      <c r="F1471" s="140" t="str">
        <f t="shared" si="86"/>
        <v/>
      </c>
    </row>
    <row r="1472" spans="1:7" ht="12.4" customHeight="1">
      <c r="A1472" s="247" t="s">
        <v>131</v>
      </c>
      <c r="B1472" s="243"/>
      <c r="C1472" s="137" t="str">
        <v>Sprouts</v>
      </c>
      <c r="D1472" s="138">
        <v>10</v>
      </c>
      <c r="E1472" s="139" t="str">
        <v/>
      </c>
      <c r="F1472" s="140" t="str">
        <f t="shared" si="86"/>
        <v/>
      </c>
    </row>
    <row r="1473" spans="1:7" ht="12.4" customHeight="1">
      <c r="A1473" s="247"/>
      <c r="B1473" s="243"/>
      <c r="C1473" s="137" t="str">
        <v>Phonics</v>
      </c>
      <c r="D1473" s="138">
        <v>10</v>
      </c>
      <c r="E1473" s="139" t="str">
        <v/>
      </c>
      <c r="F1473" s="140" t="str">
        <f t="shared" si="86"/>
        <v/>
      </c>
    </row>
    <row r="1474" spans="1:7" ht="12.4" customHeight="1">
      <c r="A1474" s="247"/>
      <c r="B1474" s="243"/>
      <c r="C1474" s="137" t="str">
        <v>Math</v>
      </c>
      <c r="D1474" s="138">
        <v>10</v>
      </c>
      <c r="E1474" s="139" t="str">
        <v/>
      </c>
      <c r="F1474" s="140" t="str">
        <f t="shared" si="86"/>
        <v/>
      </c>
    </row>
    <row r="1475" spans="1:7" ht="12.4" customHeight="1">
      <c r="A1475" s="247"/>
      <c r="B1475" s="243"/>
      <c r="C1475" s="137" t="str">
        <v>Shape</v>
      </c>
      <c r="D1475" s="138">
        <v>10</v>
      </c>
      <c r="E1475" s="139" t="str">
        <v/>
      </c>
      <c r="F1475" s="140" t="str">
        <f t="shared" si="86"/>
        <v/>
      </c>
    </row>
    <row r="1476" spans="1:7" ht="12.4" customHeight="1">
      <c r="A1476" s="247"/>
      <c r="B1476" s="243"/>
      <c r="C1476" s="137" t="str">
        <v>Science</v>
      </c>
      <c r="D1476" s="138">
        <v>10</v>
      </c>
      <c r="E1476" s="139" t="str">
        <v/>
      </c>
      <c r="F1476" s="140" t="str">
        <f t="shared" si="86"/>
        <v/>
      </c>
    </row>
    <row r="1477" spans="1:7" ht="12.4" customHeight="1">
      <c r="A1477" s="247"/>
      <c r="B1477" s="244"/>
      <c r="C1477" s="141" t="str">
        <v>Tracing</v>
      </c>
      <c r="D1477" s="142">
        <v>10</v>
      </c>
      <c r="E1477" s="143" t="str">
        <v/>
      </c>
      <c r="F1477" s="144" t="str">
        <f t="shared" si="86"/>
        <v/>
      </c>
    </row>
    <row r="1478" spans="1:7" ht="12.4" customHeight="1">
      <c r="A1478" s="248"/>
      <c r="B1478" s="240" t="s">
        <v>133</v>
      </c>
      <c r="C1478" s="241"/>
      <c r="D1478" s="103">
        <f>D1467*20%+SUM(D1468:D1477)*80%</f>
        <v>100</v>
      </c>
      <c r="E1478" s="110" t="str">
        <v/>
      </c>
      <c r="F1478" s="104" t="str">
        <f t="shared" si="86"/>
        <v/>
      </c>
    </row>
    <row r="1480" spans="1:7" ht="12.4" customHeight="1">
      <c r="A1480" s="230" t="s">
        <v>121</v>
      </c>
      <c r="B1480" s="231"/>
      <c r="C1480" s="231"/>
      <c r="D1480" s="107" t="s">
        <v>123</v>
      </c>
      <c r="E1480" s="232" t="str">
        <f>I106</f>
        <v/>
      </c>
      <c r="F1480" s="233"/>
      <c r="G1480" s="101">
        <v>106</v>
      </c>
    </row>
    <row r="1481" spans="1:7" ht="12.4" customHeight="1">
      <c r="A1481" s="105" t="s">
        <v>122</v>
      </c>
      <c r="B1481" s="235" t="str">
        <f>$K$74</f>
        <v>FEBRUARY - JULY 2026</v>
      </c>
      <c r="C1481" s="235"/>
      <c r="D1481" s="106" t="s">
        <v>124</v>
      </c>
      <c r="E1481" s="235" t="str">
        <f>$I$74</f>
        <v/>
      </c>
      <c r="F1481" s="236"/>
    </row>
    <row r="1482" spans="1:7" ht="12.4" customHeight="1">
      <c r="A1482" s="237" t="s">
        <v>130</v>
      </c>
      <c r="B1482" s="238"/>
      <c r="C1482" s="238"/>
      <c r="D1482" s="238"/>
      <c r="E1482" s="238"/>
      <c r="F1482" s="239"/>
    </row>
    <row r="1483" spans="1:7" ht="12.4" customHeight="1">
      <c r="A1483" s="245" t="s">
        <v>14</v>
      </c>
      <c r="B1483" s="240" t="s">
        <v>125</v>
      </c>
      <c r="C1483" s="241"/>
      <c r="D1483" s="102" t="s">
        <v>126</v>
      </c>
      <c r="E1483" s="109" t="s">
        <v>127</v>
      </c>
      <c r="F1483" s="102" t="s">
        <v>128</v>
      </c>
    </row>
    <row r="1484" spans="1:7" ht="12.4" customHeight="1">
      <c r="A1484" s="246"/>
      <c r="B1484" s="240" t="s">
        <v>129</v>
      </c>
      <c r="C1484" s="241"/>
      <c r="D1484" s="102">
        <v>100</v>
      </c>
      <c r="E1484" s="110" t="str" cm="1">
        <f t="array" ref="E1484:E1495">TRANSPOSE(K106:V106)</f>
        <v/>
      </c>
      <c r="F1484" s="104" t="str">
        <f>IF(E1484="","",IF(E1484&lt;D1484*60%,"Try harder",""))</f>
        <v/>
      </c>
    </row>
    <row r="1485" spans="1:7" ht="12.4" customHeight="1">
      <c r="A1485" s="246"/>
      <c r="B1485" s="242" t="s">
        <v>132</v>
      </c>
      <c r="C1485" s="133" t="str" cm="1">
        <f t="array" ref="C1485:C1494">TRANSPOSE($L$77:$U$77)</f>
        <v>Up-Low C</v>
      </c>
      <c r="D1485" s="134">
        <v>10</v>
      </c>
      <c r="E1485" s="135" t="str">
        <v/>
      </c>
      <c r="F1485" s="136" t="str">
        <f t="shared" ref="F1485:F1495" si="87">IF(E1485="","",IF(E1485&lt;D1485*60%,"Try harder",""))</f>
        <v/>
      </c>
    </row>
    <row r="1486" spans="1:7" ht="12.4" customHeight="1">
      <c r="A1486" s="246"/>
      <c r="B1486" s="243"/>
      <c r="C1486" s="137" t="str">
        <v>Alphabet N</v>
      </c>
      <c r="D1486" s="138">
        <v>10</v>
      </c>
      <c r="E1486" s="139" t="str">
        <v/>
      </c>
      <c r="F1486" s="140" t="str">
        <f t="shared" si="87"/>
        <v/>
      </c>
    </row>
    <row r="1487" spans="1:7" ht="12.4" customHeight="1">
      <c r="A1487" s="246"/>
      <c r="B1487" s="243"/>
      <c r="C1487" s="137" t="str">
        <v>Alphabet S</v>
      </c>
      <c r="D1487" s="138">
        <v>10</v>
      </c>
      <c r="E1487" s="139" t="str">
        <v/>
      </c>
      <c r="F1487" s="140" t="str">
        <f t="shared" si="87"/>
        <v/>
      </c>
    </row>
    <row r="1488" spans="1:7" ht="12.4" customHeight="1">
      <c r="A1488" s="246"/>
      <c r="B1488" s="243"/>
      <c r="C1488" s="137" t="str">
        <v>Vocabulary</v>
      </c>
      <c r="D1488" s="138">
        <v>10</v>
      </c>
      <c r="E1488" s="139" t="str">
        <v/>
      </c>
      <c r="F1488" s="140" t="str">
        <f t="shared" si="87"/>
        <v/>
      </c>
    </row>
    <row r="1489" spans="1:7" ht="12.4" customHeight="1">
      <c r="A1489" s="247" t="s">
        <v>131</v>
      </c>
      <c r="B1489" s="243"/>
      <c r="C1489" s="137" t="str">
        <v>Sprouts</v>
      </c>
      <c r="D1489" s="138">
        <v>10</v>
      </c>
      <c r="E1489" s="139" t="str">
        <v/>
      </c>
      <c r="F1489" s="140" t="str">
        <f t="shared" si="87"/>
        <v/>
      </c>
    </row>
    <row r="1490" spans="1:7" ht="12.4" customHeight="1">
      <c r="A1490" s="247"/>
      <c r="B1490" s="243"/>
      <c r="C1490" s="137" t="str">
        <v>Phonics</v>
      </c>
      <c r="D1490" s="138">
        <v>10</v>
      </c>
      <c r="E1490" s="139" t="str">
        <v/>
      </c>
      <c r="F1490" s="140" t="str">
        <f t="shared" si="87"/>
        <v/>
      </c>
    </row>
    <row r="1491" spans="1:7" ht="12.4" customHeight="1">
      <c r="A1491" s="247"/>
      <c r="B1491" s="243"/>
      <c r="C1491" s="137" t="str">
        <v>Math</v>
      </c>
      <c r="D1491" s="138">
        <v>10</v>
      </c>
      <c r="E1491" s="139" t="str">
        <v/>
      </c>
      <c r="F1491" s="140" t="str">
        <f t="shared" si="87"/>
        <v/>
      </c>
    </row>
    <row r="1492" spans="1:7" ht="12.4" customHeight="1">
      <c r="A1492" s="247"/>
      <c r="B1492" s="243"/>
      <c r="C1492" s="137" t="str">
        <v>Shape</v>
      </c>
      <c r="D1492" s="138">
        <v>10</v>
      </c>
      <c r="E1492" s="139" t="str">
        <v/>
      </c>
      <c r="F1492" s="140" t="str">
        <f t="shared" si="87"/>
        <v/>
      </c>
    </row>
    <row r="1493" spans="1:7" ht="12.4" customHeight="1">
      <c r="A1493" s="247"/>
      <c r="B1493" s="243"/>
      <c r="C1493" s="137" t="str">
        <v>Science</v>
      </c>
      <c r="D1493" s="138">
        <v>10</v>
      </c>
      <c r="E1493" s="139" t="str">
        <v/>
      </c>
      <c r="F1493" s="140" t="str">
        <f t="shared" si="87"/>
        <v/>
      </c>
    </row>
    <row r="1494" spans="1:7" ht="12.4" customHeight="1">
      <c r="A1494" s="247"/>
      <c r="B1494" s="244"/>
      <c r="C1494" s="141" t="str">
        <v>Tracing</v>
      </c>
      <c r="D1494" s="142">
        <v>10</v>
      </c>
      <c r="E1494" s="143" t="str">
        <v/>
      </c>
      <c r="F1494" s="144" t="str">
        <f t="shared" si="87"/>
        <v/>
      </c>
    </row>
    <row r="1495" spans="1:7" ht="12.4" customHeight="1">
      <c r="A1495" s="248"/>
      <c r="B1495" s="240" t="s">
        <v>133</v>
      </c>
      <c r="C1495" s="241"/>
      <c r="D1495" s="103">
        <f>D1484*20%+SUM(D1485:D1494)*80%</f>
        <v>100</v>
      </c>
      <c r="E1495" s="110" t="str">
        <v/>
      </c>
      <c r="F1495" s="104" t="str">
        <f t="shared" si="87"/>
        <v/>
      </c>
    </row>
    <row r="1497" spans="1:7" ht="12.4" customHeight="1">
      <c r="A1497" s="230" t="s">
        <v>121</v>
      </c>
      <c r="B1497" s="231"/>
      <c r="C1497" s="231"/>
      <c r="D1497" s="107" t="s">
        <v>123</v>
      </c>
      <c r="E1497" s="232" t="str">
        <f>I107</f>
        <v/>
      </c>
      <c r="F1497" s="233"/>
      <c r="G1497" s="101">
        <v>107</v>
      </c>
    </row>
    <row r="1498" spans="1:7" ht="12.4" customHeight="1">
      <c r="A1498" s="105" t="s">
        <v>122</v>
      </c>
      <c r="B1498" s="235" t="str">
        <f>$K$74</f>
        <v>FEBRUARY - JULY 2026</v>
      </c>
      <c r="C1498" s="235"/>
      <c r="D1498" s="106" t="s">
        <v>124</v>
      </c>
      <c r="E1498" s="235" t="str">
        <f>$I$74</f>
        <v/>
      </c>
      <c r="F1498" s="236"/>
    </row>
    <row r="1499" spans="1:7" ht="12.4" customHeight="1">
      <c r="A1499" s="237" t="s">
        <v>130</v>
      </c>
      <c r="B1499" s="238"/>
      <c r="C1499" s="238"/>
      <c r="D1499" s="238"/>
      <c r="E1499" s="238"/>
      <c r="F1499" s="239"/>
    </row>
    <row r="1500" spans="1:7" ht="12.4" customHeight="1">
      <c r="A1500" s="245" t="s">
        <v>14</v>
      </c>
      <c r="B1500" s="240" t="s">
        <v>125</v>
      </c>
      <c r="C1500" s="241"/>
      <c r="D1500" s="102" t="s">
        <v>126</v>
      </c>
      <c r="E1500" s="109" t="s">
        <v>127</v>
      </c>
      <c r="F1500" s="102" t="s">
        <v>128</v>
      </c>
    </row>
    <row r="1501" spans="1:7" ht="12.4" customHeight="1">
      <c r="A1501" s="246"/>
      <c r="B1501" s="240" t="s">
        <v>129</v>
      </c>
      <c r="C1501" s="241"/>
      <c r="D1501" s="102">
        <v>100</v>
      </c>
      <c r="E1501" s="110" t="str" cm="1">
        <f t="array" ref="E1501:E1512">TRANSPOSE(K107:V107)</f>
        <v/>
      </c>
      <c r="F1501" s="104" t="str">
        <f>IF(E1501="","",IF(E1501&lt;D1501*60%,"Try harder",""))</f>
        <v/>
      </c>
    </row>
    <row r="1502" spans="1:7" ht="12.4" customHeight="1">
      <c r="A1502" s="246"/>
      <c r="B1502" s="242" t="s">
        <v>132</v>
      </c>
      <c r="C1502" s="133" t="str" cm="1">
        <f t="array" ref="C1502:C1511">TRANSPOSE($L$77:$U$77)</f>
        <v>Up-Low C</v>
      </c>
      <c r="D1502" s="134">
        <v>10</v>
      </c>
      <c r="E1502" s="135" t="str">
        <v/>
      </c>
      <c r="F1502" s="136" t="str">
        <f t="shared" ref="F1502:F1512" si="88">IF(E1502="","",IF(E1502&lt;D1502*60%,"Try harder",""))</f>
        <v/>
      </c>
    </row>
    <row r="1503" spans="1:7" ht="12.4" customHeight="1">
      <c r="A1503" s="246"/>
      <c r="B1503" s="243"/>
      <c r="C1503" s="137" t="str">
        <v>Alphabet N</v>
      </c>
      <c r="D1503" s="138">
        <v>10</v>
      </c>
      <c r="E1503" s="139" t="str">
        <v/>
      </c>
      <c r="F1503" s="140" t="str">
        <f t="shared" si="88"/>
        <v/>
      </c>
    </row>
    <row r="1504" spans="1:7" ht="12.4" customHeight="1">
      <c r="A1504" s="246"/>
      <c r="B1504" s="243"/>
      <c r="C1504" s="137" t="str">
        <v>Alphabet S</v>
      </c>
      <c r="D1504" s="138">
        <v>10</v>
      </c>
      <c r="E1504" s="139" t="str">
        <v/>
      </c>
      <c r="F1504" s="140" t="str">
        <f t="shared" si="88"/>
        <v/>
      </c>
    </row>
    <row r="1505" spans="1:7" ht="12.4" customHeight="1">
      <c r="A1505" s="246"/>
      <c r="B1505" s="243"/>
      <c r="C1505" s="137" t="str">
        <v>Vocabulary</v>
      </c>
      <c r="D1505" s="138">
        <v>10</v>
      </c>
      <c r="E1505" s="139" t="str">
        <v/>
      </c>
      <c r="F1505" s="140" t="str">
        <f t="shared" si="88"/>
        <v/>
      </c>
    </row>
    <row r="1506" spans="1:7" ht="12.4" customHeight="1">
      <c r="A1506" s="247" t="s">
        <v>131</v>
      </c>
      <c r="B1506" s="243"/>
      <c r="C1506" s="137" t="str">
        <v>Sprouts</v>
      </c>
      <c r="D1506" s="138">
        <v>10</v>
      </c>
      <c r="E1506" s="139" t="str">
        <v/>
      </c>
      <c r="F1506" s="140" t="str">
        <f t="shared" si="88"/>
        <v/>
      </c>
    </row>
    <row r="1507" spans="1:7" ht="12.4" customHeight="1">
      <c r="A1507" s="247"/>
      <c r="B1507" s="243"/>
      <c r="C1507" s="137" t="str">
        <v>Phonics</v>
      </c>
      <c r="D1507" s="138">
        <v>10</v>
      </c>
      <c r="E1507" s="139" t="str">
        <v/>
      </c>
      <c r="F1507" s="140" t="str">
        <f t="shared" si="88"/>
        <v/>
      </c>
    </row>
    <row r="1508" spans="1:7" ht="12.4" customHeight="1">
      <c r="A1508" s="247"/>
      <c r="B1508" s="243"/>
      <c r="C1508" s="137" t="str">
        <v>Math</v>
      </c>
      <c r="D1508" s="138">
        <v>10</v>
      </c>
      <c r="E1508" s="139" t="str">
        <v/>
      </c>
      <c r="F1508" s="140" t="str">
        <f t="shared" si="88"/>
        <v/>
      </c>
    </row>
    <row r="1509" spans="1:7" ht="12.4" customHeight="1">
      <c r="A1509" s="247"/>
      <c r="B1509" s="243"/>
      <c r="C1509" s="137" t="str">
        <v>Shape</v>
      </c>
      <c r="D1509" s="138">
        <v>10</v>
      </c>
      <c r="E1509" s="139" t="str">
        <v/>
      </c>
      <c r="F1509" s="140" t="str">
        <f t="shared" si="88"/>
        <v/>
      </c>
    </row>
    <row r="1510" spans="1:7" ht="12.4" customHeight="1">
      <c r="A1510" s="247"/>
      <c r="B1510" s="243"/>
      <c r="C1510" s="137" t="str">
        <v>Science</v>
      </c>
      <c r="D1510" s="138">
        <v>10</v>
      </c>
      <c r="E1510" s="139" t="str">
        <v/>
      </c>
      <c r="F1510" s="140" t="str">
        <f t="shared" si="88"/>
        <v/>
      </c>
    </row>
    <row r="1511" spans="1:7" ht="12.4" customHeight="1">
      <c r="A1511" s="247"/>
      <c r="B1511" s="244"/>
      <c r="C1511" s="141" t="str">
        <v>Tracing</v>
      </c>
      <c r="D1511" s="142">
        <v>10</v>
      </c>
      <c r="E1511" s="143" t="str">
        <v/>
      </c>
      <c r="F1511" s="144" t="str">
        <f t="shared" si="88"/>
        <v/>
      </c>
    </row>
    <row r="1512" spans="1:7" ht="12.4" customHeight="1">
      <c r="A1512" s="248"/>
      <c r="B1512" s="240" t="s">
        <v>133</v>
      </c>
      <c r="C1512" s="241"/>
      <c r="D1512" s="103">
        <f>D1501*20%+SUM(D1502:D1511)*80%</f>
        <v>100</v>
      </c>
      <c r="E1512" s="110" t="str">
        <v/>
      </c>
      <c r="F1512" s="104" t="str">
        <f t="shared" si="88"/>
        <v/>
      </c>
    </row>
    <row r="1514" spans="1:7" ht="12.4" customHeight="1">
      <c r="A1514" s="230" t="s">
        <v>121</v>
      </c>
      <c r="B1514" s="231"/>
      <c r="C1514" s="231"/>
      <c r="D1514" s="107" t="s">
        <v>123</v>
      </c>
      <c r="E1514" s="232" t="str">
        <f>I108</f>
        <v/>
      </c>
      <c r="F1514" s="233"/>
      <c r="G1514" s="101">
        <v>108</v>
      </c>
    </row>
    <row r="1515" spans="1:7" ht="12.4" customHeight="1">
      <c r="A1515" s="105" t="s">
        <v>122</v>
      </c>
      <c r="B1515" s="235" t="str">
        <f>$K$74</f>
        <v>FEBRUARY - JULY 2026</v>
      </c>
      <c r="C1515" s="235"/>
      <c r="D1515" s="106" t="s">
        <v>124</v>
      </c>
      <c r="E1515" s="235" t="str">
        <f>$I$74</f>
        <v/>
      </c>
      <c r="F1515" s="236"/>
    </row>
    <row r="1516" spans="1:7" ht="12.4" customHeight="1">
      <c r="A1516" s="237" t="s">
        <v>130</v>
      </c>
      <c r="B1516" s="238"/>
      <c r="C1516" s="238"/>
      <c r="D1516" s="238"/>
      <c r="E1516" s="238"/>
      <c r="F1516" s="239"/>
    </row>
    <row r="1517" spans="1:7" ht="12.4" customHeight="1">
      <c r="A1517" s="245" t="s">
        <v>14</v>
      </c>
      <c r="B1517" s="240" t="s">
        <v>125</v>
      </c>
      <c r="C1517" s="241"/>
      <c r="D1517" s="102" t="s">
        <v>126</v>
      </c>
      <c r="E1517" s="109" t="s">
        <v>127</v>
      </c>
      <c r="F1517" s="102" t="s">
        <v>128</v>
      </c>
    </row>
    <row r="1518" spans="1:7" ht="12.4" customHeight="1">
      <c r="A1518" s="246"/>
      <c r="B1518" s="240" t="s">
        <v>129</v>
      </c>
      <c r="C1518" s="241"/>
      <c r="D1518" s="102">
        <v>100</v>
      </c>
      <c r="E1518" s="110" t="str" cm="1">
        <f t="array" ref="E1518:E1529">TRANSPOSE(K108:V108)</f>
        <v/>
      </c>
      <c r="F1518" s="104" t="str">
        <f>IF(E1518="","",IF(E1518&lt;D1518*60%,"Try harder",""))</f>
        <v/>
      </c>
    </row>
    <row r="1519" spans="1:7" ht="12.4" customHeight="1">
      <c r="A1519" s="246"/>
      <c r="B1519" s="242" t="s">
        <v>132</v>
      </c>
      <c r="C1519" s="133" t="str" cm="1">
        <f t="array" ref="C1519:C1528">TRANSPOSE($L$77:$U$77)</f>
        <v>Up-Low C</v>
      </c>
      <c r="D1519" s="134">
        <v>10</v>
      </c>
      <c r="E1519" s="135" t="str">
        <v/>
      </c>
      <c r="F1519" s="136" t="str">
        <f t="shared" ref="F1519:F1529" si="89">IF(E1519="","",IF(E1519&lt;D1519*60%,"Try harder",""))</f>
        <v/>
      </c>
    </row>
    <row r="1520" spans="1:7" ht="12.4" customHeight="1">
      <c r="A1520" s="246"/>
      <c r="B1520" s="243"/>
      <c r="C1520" s="137" t="str">
        <v>Alphabet N</v>
      </c>
      <c r="D1520" s="138">
        <v>10</v>
      </c>
      <c r="E1520" s="139" t="str">
        <v/>
      </c>
      <c r="F1520" s="140" t="str">
        <f t="shared" si="89"/>
        <v/>
      </c>
    </row>
    <row r="1521" spans="1:7" ht="12.4" customHeight="1">
      <c r="A1521" s="246"/>
      <c r="B1521" s="243"/>
      <c r="C1521" s="137" t="str">
        <v>Alphabet S</v>
      </c>
      <c r="D1521" s="138">
        <v>10</v>
      </c>
      <c r="E1521" s="139" t="str">
        <v/>
      </c>
      <c r="F1521" s="140" t="str">
        <f t="shared" si="89"/>
        <v/>
      </c>
    </row>
    <row r="1522" spans="1:7" ht="12.4" customHeight="1">
      <c r="A1522" s="246"/>
      <c r="B1522" s="243"/>
      <c r="C1522" s="137" t="str">
        <v>Vocabulary</v>
      </c>
      <c r="D1522" s="138">
        <v>10</v>
      </c>
      <c r="E1522" s="139" t="str">
        <v/>
      </c>
      <c r="F1522" s="140" t="str">
        <f t="shared" si="89"/>
        <v/>
      </c>
    </row>
    <row r="1523" spans="1:7" ht="12.4" customHeight="1">
      <c r="A1523" s="247" t="s">
        <v>131</v>
      </c>
      <c r="B1523" s="243"/>
      <c r="C1523" s="137" t="str">
        <v>Sprouts</v>
      </c>
      <c r="D1523" s="138">
        <v>10</v>
      </c>
      <c r="E1523" s="139" t="str">
        <v/>
      </c>
      <c r="F1523" s="140" t="str">
        <f t="shared" si="89"/>
        <v/>
      </c>
    </row>
    <row r="1524" spans="1:7" ht="12.4" customHeight="1">
      <c r="A1524" s="247"/>
      <c r="B1524" s="243"/>
      <c r="C1524" s="137" t="str">
        <v>Phonics</v>
      </c>
      <c r="D1524" s="138">
        <v>10</v>
      </c>
      <c r="E1524" s="139" t="str">
        <v/>
      </c>
      <c r="F1524" s="140" t="str">
        <f t="shared" si="89"/>
        <v/>
      </c>
    </row>
    <row r="1525" spans="1:7" ht="12.4" customHeight="1">
      <c r="A1525" s="247"/>
      <c r="B1525" s="243"/>
      <c r="C1525" s="137" t="str">
        <v>Math</v>
      </c>
      <c r="D1525" s="138">
        <v>10</v>
      </c>
      <c r="E1525" s="139" t="str">
        <v/>
      </c>
      <c r="F1525" s="140" t="str">
        <f t="shared" si="89"/>
        <v/>
      </c>
    </row>
    <row r="1526" spans="1:7" ht="12.4" customHeight="1">
      <c r="A1526" s="247"/>
      <c r="B1526" s="243"/>
      <c r="C1526" s="137" t="str">
        <v>Shape</v>
      </c>
      <c r="D1526" s="138">
        <v>10</v>
      </c>
      <c r="E1526" s="139" t="str">
        <v/>
      </c>
      <c r="F1526" s="140" t="str">
        <f t="shared" si="89"/>
        <v/>
      </c>
    </row>
    <row r="1527" spans="1:7" ht="12.4" customHeight="1">
      <c r="A1527" s="247"/>
      <c r="B1527" s="243"/>
      <c r="C1527" s="137" t="str">
        <v>Science</v>
      </c>
      <c r="D1527" s="138">
        <v>10</v>
      </c>
      <c r="E1527" s="139" t="str">
        <v/>
      </c>
      <c r="F1527" s="140" t="str">
        <f t="shared" si="89"/>
        <v/>
      </c>
    </row>
    <row r="1528" spans="1:7" ht="12.4" customHeight="1">
      <c r="A1528" s="247"/>
      <c r="B1528" s="244"/>
      <c r="C1528" s="141" t="str">
        <v>Tracing</v>
      </c>
      <c r="D1528" s="142">
        <v>10</v>
      </c>
      <c r="E1528" s="143" t="str">
        <v/>
      </c>
      <c r="F1528" s="144" t="str">
        <f t="shared" si="89"/>
        <v/>
      </c>
    </row>
    <row r="1529" spans="1:7" ht="12.4" customHeight="1">
      <c r="A1529" s="248"/>
      <c r="B1529" s="240" t="s">
        <v>133</v>
      </c>
      <c r="C1529" s="241"/>
      <c r="D1529" s="103">
        <f>D1518*20%+SUM(D1519:D1528)*80%</f>
        <v>100</v>
      </c>
      <c r="E1529" s="110" t="str">
        <v/>
      </c>
      <c r="F1529" s="104" t="str">
        <f t="shared" si="89"/>
        <v/>
      </c>
    </row>
    <row r="1531" spans="1:7" ht="12.4" customHeight="1">
      <c r="A1531" s="230" t="s">
        <v>121</v>
      </c>
      <c r="B1531" s="231"/>
      <c r="C1531" s="231"/>
      <c r="D1531" s="107" t="s">
        <v>123</v>
      </c>
      <c r="E1531" s="232" t="str">
        <f>I115</f>
        <v/>
      </c>
      <c r="F1531" s="233"/>
      <c r="G1531" s="101">
        <v>115</v>
      </c>
    </row>
    <row r="1532" spans="1:7" ht="12.4" customHeight="1">
      <c r="A1532" s="105" t="s">
        <v>122</v>
      </c>
      <c r="B1532" s="235" t="str">
        <f>$K$110</f>
        <v>FEBRUARY - JULY 2026</v>
      </c>
      <c r="C1532" s="235"/>
      <c r="D1532" s="106" t="s">
        <v>124</v>
      </c>
      <c r="E1532" s="235" t="str">
        <f>$I$110</f>
        <v/>
      </c>
      <c r="F1532" s="236"/>
    </row>
    <row r="1533" spans="1:7" ht="12.4" customHeight="1">
      <c r="A1533" s="237" t="s">
        <v>130</v>
      </c>
      <c r="B1533" s="238"/>
      <c r="C1533" s="238"/>
      <c r="D1533" s="238"/>
      <c r="E1533" s="238"/>
      <c r="F1533" s="239"/>
    </row>
    <row r="1534" spans="1:7" ht="12.4" customHeight="1">
      <c r="A1534" s="245" t="s">
        <v>14</v>
      </c>
      <c r="B1534" s="240" t="s">
        <v>125</v>
      </c>
      <c r="C1534" s="241"/>
      <c r="D1534" s="102" t="s">
        <v>126</v>
      </c>
      <c r="E1534" s="109" t="s">
        <v>127</v>
      </c>
      <c r="F1534" s="102" t="s">
        <v>128</v>
      </c>
    </row>
    <row r="1535" spans="1:7" ht="12.4" customHeight="1">
      <c r="A1535" s="246"/>
      <c r="B1535" s="240" t="s">
        <v>129</v>
      </c>
      <c r="C1535" s="241"/>
      <c r="D1535" s="102">
        <v>100</v>
      </c>
      <c r="E1535" s="110" t="str" cm="1">
        <f t="array" ref="E1535:E1546">TRANSPOSE(K115:V115)</f>
        <v/>
      </c>
      <c r="F1535" s="104" t="str">
        <f>IF(E1535="","",IF(E1535&lt;D1535*60%,"Try harder",""))</f>
        <v/>
      </c>
    </row>
    <row r="1536" spans="1:7" ht="12.4" customHeight="1">
      <c r="A1536" s="246"/>
      <c r="B1536" s="242" t="s">
        <v>132</v>
      </c>
      <c r="C1536" s="133" t="str" cm="1">
        <f t="array" ref="C1536:C1545">TRANSPOSE($L$113:$U$113)</f>
        <v>Up-Low C</v>
      </c>
      <c r="D1536" s="134">
        <v>10</v>
      </c>
      <c r="E1536" s="135" t="str">
        <v/>
      </c>
      <c r="F1536" s="136" t="str">
        <f t="shared" ref="F1536:F1546" si="90">IF(E1536="","",IF(E1536&lt;D1536*60%,"Try harder",""))</f>
        <v/>
      </c>
    </row>
    <row r="1537" spans="1:7" ht="12.4" customHeight="1">
      <c r="A1537" s="246"/>
      <c r="B1537" s="243"/>
      <c r="C1537" s="137" t="str">
        <v>Alphabet N</v>
      </c>
      <c r="D1537" s="138">
        <v>10</v>
      </c>
      <c r="E1537" s="139" t="str">
        <v/>
      </c>
      <c r="F1537" s="140" t="str">
        <f t="shared" si="90"/>
        <v/>
      </c>
    </row>
    <row r="1538" spans="1:7" ht="12.4" customHeight="1">
      <c r="A1538" s="246"/>
      <c r="B1538" s="243"/>
      <c r="C1538" s="137" t="str">
        <v>Alphabet S</v>
      </c>
      <c r="D1538" s="138">
        <v>10</v>
      </c>
      <c r="E1538" s="139" t="str">
        <v/>
      </c>
      <c r="F1538" s="140" t="str">
        <f t="shared" si="90"/>
        <v/>
      </c>
    </row>
    <row r="1539" spans="1:7" ht="12.4" customHeight="1">
      <c r="A1539" s="246"/>
      <c r="B1539" s="243"/>
      <c r="C1539" s="137" t="str">
        <v>Vocabulary</v>
      </c>
      <c r="D1539" s="138">
        <v>10</v>
      </c>
      <c r="E1539" s="139" t="str">
        <v/>
      </c>
      <c r="F1539" s="140" t="str">
        <f t="shared" si="90"/>
        <v/>
      </c>
    </row>
    <row r="1540" spans="1:7" ht="12.4" customHeight="1">
      <c r="A1540" s="247" t="s">
        <v>131</v>
      </c>
      <c r="B1540" s="243"/>
      <c r="C1540" s="137" t="str">
        <v>Sprouts</v>
      </c>
      <c r="D1540" s="138">
        <v>10</v>
      </c>
      <c r="E1540" s="139" t="str">
        <v/>
      </c>
      <c r="F1540" s="140" t="str">
        <f t="shared" si="90"/>
        <v/>
      </c>
    </row>
    <row r="1541" spans="1:7" ht="12.4" customHeight="1">
      <c r="A1541" s="247"/>
      <c r="B1541" s="243"/>
      <c r="C1541" s="137" t="str">
        <v>Phonics</v>
      </c>
      <c r="D1541" s="138">
        <v>10</v>
      </c>
      <c r="E1541" s="139" t="str">
        <v/>
      </c>
      <c r="F1541" s="140" t="str">
        <f t="shared" si="90"/>
        <v/>
      </c>
    </row>
    <row r="1542" spans="1:7" ht="12.4" customHeight="1">
      <c r="A1542" s="247"/>
      <c r="B1542" s="243"/>
      <c r="C1542" s="137" t="str">
        <v>Math</v>
      </c>
      <c r="D1542" s="138">
        <v>10</v>
      </c>
      <c r="E1542" s="139" t="str">
        <v/>
      </c>
      <c r="F1542" s="140" t="str">
        <f t="shared" si="90"/>
        <v/>
      </c>
    </row>
    <row r="1543" spans="1:7" ht="12.4" customHeight="1">
      <c r="A1543" s="247"/>
      <c r="B1543" s="243"/>
      <c r="C1543" s="137" t="str">
        <v>Shape</v>
      </c>
      <c r="D1543" s="138">
        <v>10</v>
      </c>
      <c r="E1543" s="139" t="str">
        <v/>
      </c>
      <c r="F1543" s="140" t="str">
        <f t="shared" si="90"/>
        <v/>
      </c>
    </row>
    <row r="1544" spans="1:7" ht="12.4" customHeight="1">
      <c r="A1544" s="247"/>
      <c r="B1544" s="243"/>
      <c r="C1544" s="137" t="str">
        <v>Science</v>
      </c>
      <c r="D1544" s="138">
        <v>10</v>
      </c>
      <c r="E1544" s="139" t="str">
        <v/>
      </c>
      <c r="F1544" s="140" t="str">
        <f t="shared" si="90"/>
        <v/>
      </c>
    </row>
    <row r="1545" spans="1:7" ht="12.4" customHeight="1">
      <c r="A1545" s="247"/>
      <c r="B1545" s="244"/>
      <c r="C1545" s="141" t="str">
        <v>Tracing</v>
      </c>
      <c r="D1545" s="142">
        <v>10</v>
      </c>
      <c r="E1545" s="143" t="str">
        <v/>
      </c>
      <c r="F1545" s="144" t="str">
        <f t="shared" si="90"/>
        <v/>
      </c>
    </row>
    <row r="1546" spans="1:7" ht="12.4" customHeight="1">
      <c r="A1546" s="248"/>
      <c r="B1546" s="240" t="s">
        <v>133</v>
      </c>
      <c r="C1546" s="241"/>
      <c r="D1546" s="103">
        <f>D1535*20%+SUM(D1536:D1545)*80%</f>
        <v>100</v>
      </c>
      <c r="E1546" s="110" t="str">
        <v/>
      </c>
      <c r="F1546" s="104" t="str">
        <f t="shared" si="90"/>
        <v/>
      </c>
    </row>
    <row r="1548" spans="1:7" ht="12.4" customHeight="1">
      <c r="A1548" s="230" t="s">
        <v>121</v>
      </c>
      <c r="B1548" s="231"/>
      <c r="C1548" s="231"/>
      <c r="D1548" s="107" t="s">
        <v>123</v>
      </c>
      <c r="E1548" s="232" t="str">
        <f>I116</f>
        <v/>
      </c>
      <c r="F1548" s="233"/>
      <c r="G1548" s="101">
        <v>116</v>
      </c>
    </row>
    <row r="1549" spans="1:7" ht="12.4" customHeight="1">
      <c r="A1549" s="105" t="s">
        <v>122</v>
      </c>
      <c r="B1549" s="235" t="str">
        <f>$K$110</f>
        <v>FEBRUARY - JULY 2026</v>
      </c>
      <c r="C1549" s="235"/>
      <c r="D1549" s="106" t="s">
        <v>124</v>
      </c>
      <c r="E1549" s="235" t="str">
        <f>$I$110</f>
        <v/>
      </c>
      <c r="F1549" s="236"/>
    </row>
    <row r="1550" spans="1:7" ht="12.4" customHeight="1">
      <c r="A1550" s="237" t="s">
        <v>130</v>
      </c>
      <c r="B1550" s="238"/>
      <c r="C1550" s="238"/>
      <c r="D1550" s="238"/>
      <c r="E1550" s="238"/>
      <c r="F1550" s="239"/>
    </row>
    <row r="1551" spans="1:7" ht="12.4" customHeight="1">
      <c r="A1551" s="245" t="s">
        <v>14</v>
      </c>
      <c r="B1551" s="240" t="s">
        <v>125</v>
      </c>
      <c r="C1551" s="241"/>
      <c r="D1551" s="102" t="s">
        <v>126</v>
      </c>
      <c r="E1551" s="109" t="s">
        <v>127</v>
      </c>
      <c r="F1551" s="102" t="s">
        <v>128</v>
      </c>
    </row>
    <row r="1552" spans="1:7" ht="12.4" customHeight="1">
      <c r="A1552" s="246"/>
      <c r="B1552" s="240" t="s">
        <v>129</v>
      </c>
      <c r="C1552" s="241"/>
      <c r="D1552" s="102">
        <v>100</v>
      </c>
      <c r="E1552" s="110" t="str" cm="1">
        <f t="array" ref="E1552:E1563">TRANSPOSE(K116:V116)</f>
        <v/>
      </c>
      <c r="F1552" s="104" t="str">
        <f>IF(E1552="","",IF(E1552&lt;D1552*60%,"Try harder",""))</f>
        <v/>
      </c>
    </row>
    <row r="1553" spans="1:7" ht="12.4" customHeight="1">
      <c r="A1553" s="246"/>
      <c r="B1553" s="242" t="s">
        <v>132</v>
      </c>
      <c r="C1553" s="133" t="str" cm="1">
        <f t="array" ref="C1553:C1562">TRANSPOSE($L$113:$U$113)</f>
        <v>Up-Low C</v>
      </c>
      <c r="D1553" s="134">
        <v>10</v>
      </c>
      <c r="E1553" s="135" t="str">
        <v/>
      </c>
      <c r="F1553" s="136" t="str">
        <f t="shared" ref="F1553:F1563" si="91">IF(E1553="","",IF(E1553&lt;D1553*60%,"Try harder",""))</f>
        <v/>
      </c>
    </row>
    <row r="1554" spans="1:7" ht="12.4" customHeight="1">
      <c r="A1554" s="246"/>
      <c r="B1554" s="243"/>
      <c r="C1554" s="137" t="str">
        <v>Alphabet N</v>
      </c>
      <c r="D1554" s="138">
        <v>10</v>
      </c>
      <c r="E1554" s="139" t="str">
        <v/>
      </c>
      <c r="F1554" s="140" t="str">
        <f t="shared" si="91"/>
        <v/>
      </c>
    </row>
    <row r="1555" spans="1:7" ht="12.4" customHeight="1">
      <c r="A1555" s="246"/>
      <c r="B1555" s="243"/>
      <c r="C1555" s="137" t="str">
        <v>Alphabet S</v>
      </c>
      <c r="D1555" s="138">
        <v>10</v>
      </c>
      <c r="E1555" s="139" t="str">
        <v/>
      </c>
      <c r="F1555" s="140" t="str">
        <f t="shared" si="91"/>
        <v/>
      </c>
    </row>
    <row r="1556" spans="1:7" ht="12.4" customHeight="1">
      <c r="A1556" s="246"/>
      <c r="B1556" s="243"/>
      <c r="C1556" s="137" t="str">
        <v>Vocabulary</v>
      </c>
      <c r="D1556" s="138">
        <v>10</v>
      </c>
      <c r="E1556" s="139" t="str">
        <v/>
      </c>
      <c r="F1556" s="140" t="str">
        <f t="shared" si="91"/>
        <v/>
      </c>
    </row>
    <row r="1557" spans="1:7" ht="12.4" customHeight="1">
      <c r="A1557" s="247" t="s">
        <v>131</v>
      </c>
      <c r="B1557" s="243"/>
      <c r="C1557" s="137" t="str">
        <v>Sprouts</v>
      </c>
      <c r="D1557" s="138">
        <v>10</v>
      </c>
      <c r="E1557" s="139" t="str">
        <v/>
      </c>
      <c r="F1557" s="140" t="str">
        <f t="shared" si="91"/>
        <v/>
      </c>
    </row>
    <row r="1558" spans="1:7" ht="12.4" customHeight="1">
      <c r="A1558" s="247"/>
      <c r="B1558" s="243"/>
      <c r="C1558" s="137" t="str">
        <v>Phonics</v>
      </c>
      <c r="D1558" s="138">
        <v>10</v>
      </c>
      <c r="E1558" s="139" t="str">
        <v/>
      </c>
      <c r="F1558" s="140" t="str">
        <f t="shared" si="91"/>
        <v/>
      </c>
    </row>
    <row r="1559" spans="1:7" ht="12.4" customHeight="1">
      <c r="A1559" s="247"/>
      <c r="B1559" s="243"/>
      <c r="C1559" s="137" t="str">
        <v>Math</v>
      </c>
      <c r="D1559" s="138">
        <v>10</v>
      </c>
      <c r="E1559" s="139" t="str">
        <v/>
      </c>
      <c r="F1559" s="140" t="str">
        <f t="shared" si="91"/>
        <v/>
      </c>
    </row>
    <row r="1560" spans="1:7" ht="12.4" customHeight="1">
      <c r="A1560" s="247"/>
      <c r="B1560" s="243"/>
      <c r="C1560" s="137" t="str">
        <v>Shape</v>
      </c>
      <c r="D1560" s="138">
        <v>10</v>
      </c>
      <c r="E1560" s="139" t="str">
        <v/>
      </c>
      <c r="F1560" s="140" t="str">
        <f t="shared" si="91"/>
        <v/>
      </c>
    </row>
    <row r="1561" spans="1:7" ht="12.4" customHeight="1">
      <c r="A1561" s="247"/>
      <c r="B1561" s="243"/>
      <c r="C1561" s="137" t="str">
        <v>Science</v>
      </c>
      <c r="D1561" s="138">
        <v>10</v>
      </c>
      <c r="E1561" s="139" t="str">
        <v/>
      </c>
      <c r="F1561" s="140" t="str">
        <f t="shared" si="91"/>
        <v/>
      </c>
    </row>
    <row r="1562" spans="1:7" ht="12.4" customHeight="1">
      <c r="A1562" s="247"/>
      <c r="B1562" s="244"/>
      <c r="C1562" s="141" t="str">
        <v>Tracing</v>
      </c>
      <c r="D1562" s="142">
        <v>10</v>
      </c>
      <c r="E1562" s="143" t="str">
        <v/>
      </c>
      <c r="F1562" s="144" t="str">
        <f t="shared" si="91"/>
        <v/>
      </c>
    </row>
    <row r="1563" spans="1:7" ht="12.4" customHeight="1">
      <c r="A1563" s="248"/>
      <c r="B1563" s="240" t="s">
        <v>133</v>
      </c>
      <c r="C1563" s="241"/>
      <c r="D1563" s="103">
        <f>D1552*20%+SUM(D1553:D1562)*80%</f>
        <v>100</v>
      </c>
      <c r="E1563" s="110" t="str">
        <v/>
      </c>
      <c r="F1563" s="104" t="str">
        <f t="shared" si="91"/>
        <v/>
      </c>
    </row>
    <row r="1565" spans="1:7" ht="12.4" customHeight="1">
      <c r="A1565" s="230" t="s">
        <v>121</v>
      </c>
      <c r="B1565" s="231"/>
      <c r="C1565" s="231"/>
      <c r="D1565" s="107" t="s">
        <v>123</v>
      </c>
      <c r="E1565" s="232" t="str">
        <f>I117</f>
        <v/>
      </c>
      <c r="F1565" s="233"/>
      <c r="G1565" s="101">
        <v>117</v>
      </c>
    </row>
    <row r="1566" spans="1:7" ht="12.4" customHeight="1">
      <c r="A1566" s="105" t="s">
        <v>122</v>
      </c>
      <c r="B1566" s="235" t="str">
        <f>$K$110</f>
        <v>FEBRUARY - JULY 2026</v>
      </c>
      <c r="C1566" s="235"/>
      <c r="D1566" s="106" t="s">
        <v>124</v>
      </c>
      <c r="E1566" s="235" t="str">
        <f>$I$110</f>
        <v/>
      </c>
      <c r="F1566" s="236"/>
    </row>
    <row r="1567" spans="1:7" ht="12.4" customHeight="1">
      <c r="A1567" s="237" t="s">
        <v>130</v>
      </c>
      <c r="B1567" s="238"/>
      <c r="C1567" s="238"/>
      <c r="D1567" s="238"/>
      <c r="E1567" s="238"/>
      <c r="F1567" s="239"/>
    </row>
    <row r="1568" spans="1:7" ht="12.4" customHeight="1">
      <c r="A1568" s="245" t="s">
        <v>14</v>
      </c>
      <c r="B1568" s="240" t="s">
        <v>125</v>
      </c>
      <c r="C1568" s="241"/>
      <c r="D1568" s="102" t="s">
        <v>126</v>
      </c>
      <c r="E1568" s="109" t="s">
        <v>127</v>
      </c>
      <c r="F1568" s="102" t="s">
        <v>128</v>
      </c>
    </row>
    <row r="1569" spans="1:7" ht="12.4" customHeight="1">
      <c r="A1569" s="246"/>
      <c r="B1569" s="240" t="s">
        <v>129</v>
      </c>
      <c r="C1569" s="241"/>
      <c r="D1569" s="102">
        <v>100</v>
      </c>
      <c r="E1569" s="110" t="str" cm="1">
        <f t="array" ref="E1569:E1580">TRANSPOSE(K117:V117)</f>
        <v/>
      </c>
      <c r="F1569" s="104" t="str">
        <f>IF(E1569="","",IF(E1569&lt;D1569*60%,"Try harder",""))</f>
        <v/>
      </c>
    </row>
    <row r="1570" spans="1:7" ht="12.4" customHeight="1">
      <c r="A1570" s="246"/>
      <c r="B1570" s="242" t="s">
        <v>132</v>
      </c>
      <c r="C1570" s="133" t="str" cm="1">
        <f t="array" ref="C1570:C1579">TRANSPOSE($L$113:$U$113)</f>
        <v>Up-Low C</v>
      </c>
      <c r="D1570" s="134">
        <v>10</v>
      </c>
      <c r="E1570" s="135" t="str">
        <v/>
      </c>
      <c r="F1570" s="136" t="str">
        <f t="shared" ref="F1570:F1580" si="92">IF(E1570="","",IF(E1570&lt;D1570*60%,"Try harder",""))</f>
        <v/>
      </c>
    </row>
    <row r="1571" spans="1:7" ht="12.4" customHeight="1">
      <c r="A1571" s="246"/>
      <c r="B1571" s="243"/>
      <c r="C1571" s="137" t="str">
        <v>Alphabet N</v>
      </c>
      <c r="D1571" s="138">
        <v>10</v>
      </c>
      <c r="E1571" s="139" t="str">
        <v/>
      </c>
      <c r="F1571" s="140" t="str">
        <f t="shared" si="92"/>
        <v/>
      </c>
    </row>
    <row r="1572" spans="1:7" ht="12.4" customHeight="1">
      <c r="A1572" s="246"/>
      <c r="B1572" s="243"/>
      <c r="C1572" s="137" t="str">
        <v>Alphabet S</v>
      </c>
      <c r="D1572" s="138">
        <v>10</v>
      </c>
      <c r="E1572" s="139" t="str">
        <v/>
      </c>
      <c r="F1572" s="140" t="str">
        <f t="shared" si="92"/>
        <v/>
      </c>
    </row>
    <row r="1573" spans="1:7" ht="12.4" customHeight="1">
      <c r="A1573" s="246"/>
      <c r="B1573" s="243"/>
      <c r="C1573" s="137" t="str">
        <v>Vocabulary</v>
      </c>
      <c r="D1573" s="138">
        <v>10</v>
      </c>
      <c r="E1573" s="139" t="str">
        <v/>
      </c>
      <c r="F1573" s="140" t="str">
        <f t="shared" si="92"/>
        <v/>
      </c>
    </row>
    <row r="1574" spans="1:7" ht="12.4" customHeight="1">
      <c r="A1574" s="247" t="s">
        <v>131</v>
      </c>
      <c r="B1574" s="243"/>
      <c r="C1574" s="137" t="str">
        <v>Sprouts</v>
      </c>
      <c r="D1574" s="138">
        <v>10</v>
      </c>
      <c r="E1574" s="139" t="str">
        <v/>
      </c>
      <c r="F1574" s="140" t="str">
        <f t="shared" si="92"/>
        <v/>
      </c>
    </row>
    <row r="1575" spans="1:7" ht="12.4" customHeight="1">
      <c r="A1575" s="247"/>
      <c r="B1575" s="243"/>
      <c r="C1575" s="137" t="str">
        <v>Phonics</v>
      </c>
      <c r="D1575" s="138">
        <v>10</v>
      </c>
      <c r="E1575" s="139" t="str">
        <v/>
      </c>
      <c r="F1575" s="140" t="str">
        <f t="shared" si="92"/>
        <v/>
      </c>
    </row>
    <row r="1576" spans="1:7" ht="12.4" customHeight="1">
      <c r="A1576" s="247"/>
      <c r="B1576" s="243"/>
      <c r="C1576" s="137" t="str">
        <v>Math</v>
      </c>
      <c r="D1576" s="138">
        <v>10</v>
      </c>
      <c r="E1576" s="139" t="str">
        <v/>
      </c>
      <c r="F1576" s="140" t="str">
        <f t="shared" si="92"/>
        <v/>
      </c>
    </row>
    <row r="1577" spans="1:7" ht="12.4" customHeight="1">
      <c r="A1577" s="247"/>
      <c r="B1577" s="243"/>
      <c r="C1577" s="137" t="str">
        <v>Shape</v>
      </c>
      <c r="D1577" s="138">
        <v>10</v>
      </c>
      <c r="E1577" s="139" t="str">
        <v/>
      </c>
      <c r="F1577" s="140" t="str">
        <f t="shared" si="92"/>
        <v/>
      </c>
    </row>
    <row r="1578" spans="1:7" ht="12.4" customHeight="1">
      <c r="A1578" s="247"/>
      <c r="B1578" s="243"/>
      <c r="C1578" s="137" t="str">
        <v>Science</v>
      </c>
      <c r="D1578" s="138">
        <v>10</v>
      </c>
      <c r="E1578" s="139" t="str">
        <v/>
      </c>
      <c r="F1578" s="140" t="str">
        <f t="shared" si="92"/>
        <v/>
      </c>
    </row>
    <row r="1579" spans="1:7" ht="12.4" customHeight="1">
      <c r="A1579" s="247"/>
      <c r="B1579" s="244"/>
      <c r="C1579" s="141" t="str">
        <v>Tracing</v>
      </c>
      <c r="D1579" s="142">
        <v>10</v>
      </c>
      <c r="E1579" s="143" t="str">
        <v/>
      </c>
      <c r="F1579" s="144" t="str">
        <f t="shared" si="92"/>
        <v/>
      </c>
    </row>
    <row r="1580" spans="1:7" ht="12.4" customHeight="1">
      <c r="A1580" s="248"/>
      <c r="B1580" s="240" t="s">
        <v>133</v>
      </c>
      <c r="C1580" s="241"/>
      <c r="D1580" s="103">
        <f>D1569*20%+SUM(D1570:D1579)*80%</f>
        <v>100</v>
      </c>
      <c r="E1580" s="110" t="str">
        <v/>
      </c>
      <c r="F1580" s="104" t="str">
        <f t="shared" si="92"/>
        <v/>
      </c>
    </row>
    <row r="1582" spans="1:7" ht="12.4" customHeight="1">
      <c r="A1582" s="230" t="s">
        <v>121</v>
      </c>
      <c r="B1582" s="231"/>
      <c r="C1582" s="231"/>
      <c r="D1582" s="107" t="s">
        <v>123</v>
      </c>
      <c r="E1582" s="232" t="str">
        <f>I118</f>
        <v/>
      </c>
      <c r="F1582" s="233"/>
      <c r="G1582" s="101">
        <v>118</v>
      </c>
    </row>
    <row r="1583" spans="1:7" ht="12.4" customHeight="1">
      <c r="A1583" s="105" t="s">
        <v>122</v>
      </c>
      <c r="B1583" s="235" t="str">
        <f>$K$110</f>
        <v>FEBRUARY - JULY 2026</v>
      </c>
      <c r="C1583" s="235"/>
      <c r="D1583" s="106" t="s">
        <v>124</v>
      </c>
      <c r="E1583" s="235" t="str">
        <f>$I$110</f>
        <v/>
      </c>
      <c r="F1583" s="236"/>
    </row>
    <row r="1584" spans="1:7" ht="12.4" customHeight="1">
      <c r="A1584" s="237" t="s">
        <v>130</v>
      </c>
      <c r="B1584" s="238"/>
      <c r="C1584" s="238"/>
      <c r="D1584" s="238"/>
      <c r="E1584" s="238"/>
      <c r="F1584" s="239"/>
    </row>
    <row r="1585" spans="1:7" ht="12.4" customHeight="1">
      <c r="A1585" s="245" t="s">
        <v>14</v>
      </c>
      <c r="B1585" s="240" t="s">
        <v>125</v>
      </c>
      <c r="C1585" s="241"/>
      <c r="D1585" s="102" t="s">
        <v>126</v>
      </c>
      <c r="E1585" s="109" t="s">
        <v>127</v>
      </c>
      <c r="F1585" s="102" t="s">
        <v>128</v>
      </c>
    </row>
    <row r="1586" spans="1:7" ht="12.4" customHeight="1">
      <c r="A1586" s="246"/>
      <c r="B1586" s="240" t="s">
        <v>129</v>
      </c>
      <c r="C1586" s="241"/>
      <c r="D1586" s="102">
        <v>100</v>
      </c>
      <c r="E1586" s="110" t="str" cm="1">
        <f t="array" ref="E1586:E1597">TRANSPOSE(K118:V118)</f>
        <v/>
      </c>
      <c r="F1586" s="104" t="str">
        <f>IF(E1586="","",IF(E1586&lt;D1586*60%,"Try harder",""))</f>
        <v/>
      </c>
    </row>
    <row r="1587" spans="1:7" ht="12.4" customHeight="1">
      <c r="A1587" s="246"/>
      <c r="B1587" s="242" t="s">
        <v>132</v>
      </c>
      <c r="C1587" s="133" t="str" cm="1">
        <f t="array" ref="C1587:C1596">TRANSPOSE($L$113:$U$113)</f>
        <v>Up-Low C</v>
      </c>
      <c r="D1587" s="134">
        <v>10</v>
      </c>
      <c r="E1587" s="135" t="str">
        <v/>
      </c>
      <c r="F1587" s="136" t="str">
        <f t="shared" ref="F1587:F1597" si="93">IF(E1587="","",IF(E1587&lt;D1587*60%,"Try harder",""))</f>
        <v/>
      </c>
    </row>
    <row r="1588" spans="1:7" ht="12.4" customHeight="1">
      <c r="A1588" s="246"/>
      <c r="B1588" s="243"/>
      <c r="C1588" s="137" t="str">
        <v>Alphabet N</v>
      </c>
      <c r="D1588" s="138">
        <v>10</v>
      </c>
      <c r="E1588" s="139" t="str">
        <v/>
      </c>
      <c r="F1588" s="140" t="str">
        <f t="shared" si="93"/>
        <v/>
      </c>
    </row>
    <row r="1589" spans="1:7" ht="12.4" customHeight="1">
      <c r="A1589" s="246"/>
      <c r="B1589" s="243"/>
      <c r="C1589" s="137" t="str">
        <v>Alphabet S</v>
      </c>
      <c r="D1589" s="138">
        <v>10</v>
      </c>
      <c r="E1589" s="139" t="str">
        <v/>
      </c>
      <c r="F1589" s="140" t="str">
        <f t="shared" si="93"/>
        <v/>
      </c>
    </row>
    <row r="1590" spans="1:7" ht="12.4" customHeight="1">
      <c r="A1590" s="246"/>
      <c r="B1590" s="243"/>
      <c r="C1590" s="137" t="str">
        <v>Vocabulary</v>
      </c>
      <c r="D1590" s="138">
        <v>10</v>
      </c>
      <c r="E1590" s="139" t="str">
        <v/>
      </c>
      <c r="F1590" s="140" t="str">
        <f t="shared" si="93"/>
        <v/>
      </c>
    </row>
    <row r="1591" spans="1:7" ht="12.4" customHeight="1">
      <c r="A1591" s="247" t="s">
        <v>131</v>
      </c>
      <c r="B1591" s="243"/>
      <c r="C1591" s="137" t="str">
        <v>Sprouts</v>
      </c>
      <c r="D1591" s="138">
        <v>10</v>
      </c>
      <c r="E1591" s="139" t="str">
        <v/>
      </c>
      <c r="F1591" s="140" t="str">
        <f t="shared" si="93"/>
        <v/>
      </c>
    </row>
    <row r="1592" spans="1:7" ht="12.4" customHeight="1">
      <c r="A1592" s="247"/>
      <c r="B1592" s="243"/>
      <c r="C1592" s="137" t="str">
        <v>Phonics</v>
      </c>
      <c r="D1592" s="138">
        <v>10</v>
      </c>
      <c r="E1592" s="139" t="str">
        <v/>
      </c>
      <c r="F1592" s="140" t="str">
        <f t="shared" si="93"/>
        <v/>
      </c>
    </row>
    <row r="1593" spans="1:7" ht="12.4" customHeight="1">
      <c r="A1593" s="247"/>
      <c r="B1593" s="243"/>
      <c r="C1593" s="137" t="str">
        <v>Math</v>
      </c>
      <c r="D1593" s="138">
        <v>10</v>
      </c>
      <c r="E1593" s="139" t="str">
        <v/>
      </c>
      <c r="F1593" s="140" t="str">
        <f t="shared" si="93"/>
        <v/>
      </c>
    </row>
    <row r="1594" spans="1:7" ht="12.4" customHeight="1">
      <c r="A1594" s="247"/>
      <c r="B1594" s="243"/>
      <c r="C1594" s="137" t="str">
        <v>Shape</v>
      </c>
      <c r="D1594" s="138">
        <v>10</v>
      </c>
      <c r="E1594" s="139" t="str">
        <v/>
      </c>
      <c r="F1594" s="140" t="str">
        <f t="shared" si="93"/>
        <v/>
      </c>
    </row>
    <row r="1595" spans="1:7" ht="12.4" customHeight="1">
      <c r="A1595" s="247"/>
      <c r="B1595" s="243"/>
      <c r="C1595" s="137" t="str">
        <v>Science</v>
      </c>
      <c r="D1595" s="138">
        <v>10</v>
      </c>
      <c r="E1595" s="139" t="str">
        <v/>
      </c>
      <c r="F1595" s="140" t="str">
        <f t="shared" si="93"/>
        <v/>
      </c>
    </row>
    <row r="1596" spans="1:7" ht="12.4" customHeight="1">
      <c r="A1596" s="247"/>
      <c r="B1596" s="244"/>
      <c r="C1596" s="141" t="str">
        <v>Tracing</v>
      </c>
      <c r="D1596" s="142">
        <v>10</v>
      </c>
      <c r="E1596" s="143" t="str">
        <v/>
      </c>
      <c r="F1596" s="144" t="str">
        <f t="shared" si="93"/>
        <v/>
      </c>
    </row>
    <row r="1597" spans="1:7" ht="12.4" customHeight="1">
      <c r="A1597" s="248"/>
      <c r="B1597" s="240" t="s">
        <v>133</v>
      </c>
      <c r="C1597" s="241"/>
      <c r="D1597" s="103">
        <f>D1586*20%+SUM(D1587:D1596)*80%</f>
        <v>100</v>
      </c>
      <c r="E1597" s="110" t="str">
        <v/>
      </c>
      <c r="F1597" s="104" t="str">
        <f t="shared" si="93"/>
        <v/>
      </c>
    </row>
    <row r="1599" spans="1:7" ht="12.4" customHeight="1">
      <c r="A1599" s="230" t="s">
        <v>121</v>
      </c>
      <c r="B1599" s="231"/>
      <c r="C1599" s="231"/>
      <c r="D1599" s="107" t="s">
        <v>123</v>
      </c>
      <c r="E1599" s="232" t="str">
        <f>I119</f>
        <v/>
      </c>
      <c r="F1599" s="233"/>
      <c r="G1599" s="101">
        <v>119</v>
      </c>
    </row>
    <row r="1600" spans="1:7" ht="12.4" customHeight="1">
      <c r="A1600" s="105" t="s">
        <v>122</v>
      </c>
      <c r="B1600" s="235" t="str">
        <f>$K$110</f>
        <v>FEBRUARY - JULY 2026</v>
      </c>
      <c r="C1600" s="235"/>
      <c r="D1600" s="106" t="s">
        <v>124</v>
      </c>
      <c r="E1600" s="235" t="str">
        <f>$I$110</f>
        <v/>
      </c>
      <c r="F1600" s="236"/>
    </row>
    <row r="1601" spans="1:7" ht="12.4" customHeight="1">
      <c r="A1601" s="237" t="s">
        <v>130</v>
      </c>
      <c r="B1601" s="238"/>
      <c r="C1601" s="238"/>
      <c r="D1601" s="238"/>
      <c r="E1601" s="238"/>
      <c r="F1601" s="239"/>
    </row>
    <row r="1602" spans="1:7" ht="12.4" customHeight="1">
      <c r="A1602" s="245" t="s">
        <v>14</v>
      </c>
      <c r="B1602" s="240" t="s">
        <v>125</v>
      </c>
      <c r="C1602" s="241"/>
      <c r="D1602" s="102" t="s">
        <v>126</v>
      </c>
      <c r="E1602" s="109" t="s">
        <v>127</v>
      </c>
      <c r="F1602" s="102" t="s">
        <v>128</v>
      </c>
    </row>
    <row r="1603" spans="1:7" ht="12.4" customHeight="1">
      <c r="A1603" s="246"/>
      <c r="B1603" s="240" t="s">
        <v>129</v>
      </c>
      <c r="C1603" s="241"/>
      <c r="D1603" s="102">
        <v>100</v>
      </c>
      <c r="E1603" s="110" t="str" cm="1">
        <f t="array" ref="E1603:E1614">TRANSPOSE(K119:V119)</f>
        <v/>
      </c>
      <c r="F1603" s="104" t="str">
        <f>IF(E1603="","",IF(E1603&lt;D1603*60%,"Try harder",""))</f>
        <v/>
      </c>
    </row>
    <row r="1604" spans="1:7" ht="12.4" customHeight="1">
      <c r="A1604" s="246"/>
      <c r="B1604" s="242" t="s">
        <v>132</v>
      </c>
      <c r="C1604" s="133" t="str" cm="1">
        <f t="array" ref="C1604:C1613">TRANSPOSE($L$113:$U$113)</f>
        <v>Up-Low C</v>
      </c>
      <c r="D1604" s="134">
        <v>10</v>
      </c>
      <c r="E1604" s="135" t="str">
        <v/>
      </c>
      <c r="F1604" s="136" t="str">
        <f t="shared" ref="F1604:F1614" si="94">IF(E1604="","",IF(E1604&lt;D1604*60%,"Try harder",""))</f>
        <v/>
      </c>
    </row>
    <row r="1605" spans="1:7" ht="12.4" customHeight="1">
      <c r="A1605" s="246"/>
      <c r="B1605" s="243"/>
      <c r="C1605" s="137" t="str">
        <v>Alphabet N</v>
      </c>
      <c r="D1605" s="138">
        <v>10</v>
      </c>
      <c r="E1605" s="139" t="str">
        <v/>
      </c>
      <c r="F1605" s="140" t="str">
        <f t="shared" si="94"/>
        <v/>
      </c>
    </row>
    <row r="1606" spans="1:7" ht="12.4" customHeight="1">
      <c r="A1606" s="246"/>
      <c r="B1606" s="243"/>
      <c r="C1606" s="137" t="str">
        <v>Alphabet S</v>
      </c>
      <c r="D1606" s="138">
        <v>10</v>
      </c>
      <c r="E1606" s="139" t="str">
        <v/>
      </c>
      <c r="F1606" s="140" t="str">
        <f t="shared" si="94"/>
        <v/>
      </c>
    </row>
    <row r="1607" spans="1:7" ht="12.4" customHeight="1">
      <c r="A1607" s="246"/>
      <c r="B1607" s="243"/>
      <c r="C1607" s="137" t="str">
        <v>Vocabulary</v>
      </c>
      <c r="D1607" s="138">
        <v>10</v>
      </c>
      <c r="E1607" s="139" t="str">
        <v/>
      </c>
      <c r="F1607" s="140" t="str">
        <f t="shared" si="94"/>
        <v/>
      </c>
    </row>
    <row r="1608" spans="1:7" ht="12.4" customHeight="1">
      <c r="A1608" s="247" t="s">
        <v>131</v>
      </c>
      <c r="B1608" s="243"/>
      <c r="C1608" s="137" t="str">
        <v>Sprouts</v>
      </c>
      <c r="D1608" s="138">
        <v>10</v>
      </c>
      <c r="E1608" s="139" t="str">
        <v/>
      </c>
      <c r="F1608" s="140" t="str">
        <f t="shared" si="94"/>
        <v/>
      </c>
    </row>
    <row r="1609" spans="1:7" ht="12.4" customHeight="1">
      <c r="A1609" s="247"/>
      <c r="B1609" s="243"/>
      <c r="C1609" s="137" t="str">
        <v>Phonics</v>
      </c>
      <c r="D1609" s="138">
        <v>10</v>
      </c>
      <c r="E1609" s="139" t="str">
        <v/>
      </c>
      <c r="F1609" s="140" t="str">
        <f t="shared" si="94"/>
        <v/>
      </c>
    </row>
    <row r="1610" spans="1:7" ht="12.4" customHeight="1">
      <c r="A1610" s="247"/>
      <c r="B1610" s="243"/>
      <c r="C1610" s="137" t="str">
        <v>Math</v>
      </c>
      <c r="D1610" s="138">
        <v>10</v>
      </c>
      <c r="E1610" s="139" t="str">
        <v/>
      </c>
      <c r="F1610" s="140" t="str">
        <f t="shared" si="94"/>
        <v/>
      </c>
    </row>
    <row r="1611" spans="1:7" ht="12.4" customHeight="1">
      <c r="A1611" s="247"/>
      <c r="B1611" s="243"/>
      <c r="C1611" s="137" t="str">
        <v>Shape</v>
      </c>
      <c r="D1611" s="138">
        <v>10</v>
      </c>
      <c r="E1611" s="139" t="str">
        <v/>
      </c>
      <c r="F1611" s="140" t="str">
        <f t="shared" si="94"/>
        <v/>
      </c>
    </row>
    <row r="1612" spans="1:7" ht="12.4" customHeight="1">
      <c r="A1612" s="247"/>
      <c r="B1612" s="243"/>
      <c r="C1612" s="137" t="str">
        <v>Science</v>
      </c>
      <c r="D1612" s="138">
        <v>10</v>
      </c>
      <c r="E1612" s="139" t="str">
        <v/>
      </c>
      <c r="F1612" s="140" t="str">
        <f t="shared" si="94"/>
        <v/>
      </c>
    </row>
    <row r="1613" spans="1:7" ht="12.4" customHeight="1">
      <c r="A1613" s="247"/>
      <c r="B1613" s="244"/>
      <c r="C1613" s="141" t="str">
        <v>Tracing</v>
      </c>
      <c r="D1613" s="142">
        <v>10</v>
      </c>
      <c r="E1613" s="143" t="str">
        <v/>
      </c>
      <c r="F1613" s="144" t="str">
        <f t="shared" si="94"/>
        <v/>
      </c>
    </row>
    <row r="1614" spans="1:7" ht="12.4" customHeight="1">
      <c r="A1614" s="248"/>
      <c r="B1614" s="240" t="s">
        <v>133</v>
      </c>
      <c r="C1614" s="241"/>
      <c r="D1614" s="103">
        <f>D1603*20%+SUM(D1604:D1613)*80%</f>
        <v>100</v>
      </c>
      <c r="E1614" s="110" t="str">
        <v/>
      </c>
      <c r="F1614" s="104" t="str">
        <f t="shared" si="94"/>
        <v/>
      </c>
    </row>
    <row r="1616" spans="1:7" ht="12.4" customHeight="1">
      <c r="A1616" s="230" t="s">
        <v>121</v>
      </c>
      <c r="B1616" s="231"/>
      <c r="C1616" s="231"/>
      <c r="D1616" s="107" t="s">
        <v>123</v>
      </c>
      <c r="E1616" s="232" t="str">
        <f>I120</f>
        <v/>
      </c>
      <c r="F1616" s="233"/>
      <c r="G1616" s="101">
        <v>120</v>
      </c>
    </row>
    <row r="1617" spans="1:6" ht="12.4" customHeight="1">
      <c r="A1617" s="105" t="s">
        <v>122</v>
      </c>
      <c r="B1617" s="235" t="str">
        <f>$K$110</f>
        <v>FEBRUARY - JULY 2026</v>
      </c>
      <c r="C1617" s="235"/>
      <c r="D1617" s="106" t="s">
        <v>124</v>
      </c>
      <c r="E1617" s="235" t="str">
        <f>$I$110</f>
        <v/>
      </c>
      <c r="F1617" s="236"/>
    </row>
    <row r="1618" spans="1:6" ht="12.4" customHeight="1">
      <c r="A1618" s="237" t="s">
        <v>130</v>
      </c>
      <c r="B1618" s="238"/>
      <c r="C1618" s="238"/>
      <c r="D1618" s="238"/>
      <c r="E1618" s="238"/>
      <c r="F1618" s="239"/>
    </row>
    <row r="1619" spans="1:6" ht="12.4" customHeight="1">
      <c r="A1619" s="245" t="s">
        <v>14</v>
      </c>
      <c r="B1619" s="240" t="s">
        <v>125</v>
      </c>
      <c r="C1619" s="241"/>
      <c r="D1619" s="102" t="s">
        <v>126</v>
      </c>
      <c r="E1619" s="109" t="s">
        <v>127</v>
      </c>
      <c r="F1619" s="102" t="s">
        <v>128</v>
      </c>
    </row>
    <row r="1620" spans="1:6" ht="12.4" customHeight="1">
      <c r="A1620" s="246"/>
      <c r="B1620" s="240" t="s">
        <v>129</v>
      </c>
      <c r="C1620" s="241"/>
      <c r="D1620" s="102">
        <v>100</v>
      </c>
      <c r="E1620" s="110" t="str" cm="1">
        <f t="array" ref="E1620:E1631">TRANSPOSE(K120:V120)</f>
        <v/>
      </c>
      <c r="F1620" s="104" t="str">
        <f>IF(E1620="","",IF(E1620&lt;D1620*60%,"Try harder",""))</f>
        <v/>
      </c>
    </row>
    <row r="1621" spans="1:6" ht="12.4" customHeight="1">
      <c r="A1621" s="246"/>
      <c r="B1621" s="242" t="s">
        <v>132</v>
      </c>
      <c r="C1621" s="133" t="str" cm="1">
        <f t="array" ref="C1621:C1630">TRANSPOSE($L$113:$U$113)</f>
        <v>Up-Low C</v>
      </c>
      <c r="D1621" s="134">
        <v>10</v>
      </c>
      <c r="E1621" s="135" t="str">
        <v/>
      </c>
      <c r="F1621" s="136" t="str">
        <f t="shared" ref="F1621:F1631" si="95">IF(E1621="","",IF(E1621&lt;D1621*60%,"Try harder",""))</f>
        <v/>
      </c>
    </row>
    <row r="1622" spans="1:6" ht="12.4" customHeight="1">
      <c r="A1622" s="246"/>
      <c r="B1622" s="243"/>
      <c r="C1622" s="137" t="str">
        <v>Alphabet N</v>
      </c>
      <c r="D1622" s="138">
        <v>10</v>
      </c>
      <c r="E1622" s="139" t="str">
        <v/>
      </c>
      <c r="F1622" s="140" t="str">
        <f t="shared" si="95"/>
        <v/>
      </c>
    </row>
    <row r="1623" spans="1:6" ht="12.4" customHeight="1">
      <c r="A1623" s="246"/>
      <c r="B1623" s="243"/>
      <c r="C1623" s="137" t="str">
        <v>Alphabet S</v>
      </c>
      <c r="D1623" s="138">
        <v>10</v>
      </c>
      <c r="E1623" s="139" t="str">
        <v/>
      </c>
      <c r="F1623" s="140" t="str">
        <f t="shared" si="95"/>
        <v/>
      </c>
    </row>
    <row r="1624" spans="1:6" ht="12.4" customHeight="1">
      <c r="A1624" s="246"/>
      <c r="B1624" s="243"/>
      <c r="C1624" s="137" t="str">
        <v>Vocabulary</v>
      </c>
      <c r="D1624" s="138">
        <v>10</v>
      </c>
      <c r="E1624" s="139" t="str">
        <v/>
      </c>
      <c r="F1624" s="140" t="str">
        <f t="shared" si="95"/>
        <v/>
      </c>
    </row>
    <row r="1625" spans="1:6" ht="12.4" customHeight="1">
      <c r="A1625" s="247" t="s">
        <v>131</v>
      </c>
      <c r="B1625" s="243"/>
      <c r="C1625" s="137" t="str">
        <v>Sprouts</v>
      </c>
      <c r="D1625" s="138">
        <v>10</v>
      </c>
      <c r="E1625" s="139" t="str">
        <v/>
      </c>
      <c r="F1625" s="140" t="str">
        <f t="shared" si="95"/>
        <v/>
      </c>
    </row>
    <row r="1626" spans="1:6" ht="12.4" customHeight="1">
      <c r="A1626" s="247"/>
      <c r="B1626" s="243"/>
      <c r="C1626" s="137" t="str">
        <v>Phonics</v>
      </c>
      <c r="D1626" s="138">
        <v>10</v>
      </c>
      <c r="E1626" s="139" t="str">
        <v/>
      </c>
      <c r="F1626" s="140" t="str">
        <f t="shared" si="95"/>
        <v/>
      </c>
    </row>
    <row r="1627" spans="1:6" ht="12.4" customHeight="1">
      <c r="A1627" s="247"/>
      <c r="B1627" s="243"/>
      <c r="C1627" s="137" t="str">
        <v>Math</v>
      </c>
      <c r="D1627" s="138">
        <v>10</v>
      </c>
      <c r="E1627" s="139" t="str">
        <v/>
      </c>
      <c r="F1627" s="140" t="str">
        <f t="shared" si="95"/>
        <v/>
      </c>
    </row>
    <row r="1628" spans="1:6" ht="12.4" customHeight="1">
      <c r="A1628" s="247"/>
      <c r="B1628" s="243"/>
      <c r="C1628" s="137" t="str">
        <v>Shape</v>
      </c>
      <c r="D1628" s="138">
        <v>10</v>
      </c>
      <c r="E1628" s="139" t="str">
        <v/>
      </c>
      <c r="F1628" s="140" t="str">
        <f t="shared" si="95"/>
        <v/>
      </c>
    </row>
    <row r="1629" spans="1:6" ht="12.4" customHeight="1">
      <c r="A1629" s="247"/>
      <c r="B1629" s="243"/>
      <c r="C1629" s="137" t="str">
        <v>Science</v>
      </c>
      <c r="D1629" s="138">
        <v>10</v>
      </c>
      <c r="E1629" s="139" t="str">
        <v/>
      </c>
      <c r="F1629" s="140" t="str">
        <f t="shared" si="95"/>
        <v/>
      </c>
    </row>
    <row r="1630" spans="1:6" ht="12.4" customHeight="1">
      <c r="A1630" s="247"/>
      <c r="B1630" s="244"/>
      <c r="C1630" s="141" t="str">
        <v>Tracing</v>
      </c>
      <c r="D1630" s="142">
        <v>10</v>
      </c>
      <c r="E1630" s="143" t="str">
        <v/>
      </c>
      <c r="F1630" s="144" t="str">
        <f t="shared" si="95"/>
        <v/>
      </c>
    </row>
    <row r="1631" spans="1:6" ht="12.4" customHeight="1">
      <c r="A1631" s="248"/>
      <c r="B1631" s="240" t="s">
        <v>133</v>
      </c>
      <c r="C1631" s="241"/>
      <c r="D1631" s="103">
        <f>D1620*20%+SUM(D1621:D1630)*80%</f>
        <v>100</v>
      </c>
      <c r="E1631" s="110" t="str">
        <v/>
      </c>
      <c r="F1631" s="104" t="str">
        <f t="shared" si="95"/>
        <v/>
      </c>
    </row>
    <row r="1633" spans="1:7" ht="12.4" customHeight="1">
      <c r="A1633" s="230" t="s">
        <v>121</v>
      </c>
      <c r="B1633" s="231"/>
      <c r="C1633" s="231"/>
      <c r="D1633" s="107" t="s">
        <v>123</v>
      </c>
      <c r="E1633" s="232" t="str">
        <f>I121</f>
        <v/>
      </c>
      <c r="F1633" s="233"/>
      <c r="G1633" s="101">
        <v>121</v>
      </c>
    </row>
    <row r="1634" spans="1:7" ht="12.4" customHeight="1">
      <c r="A1634" s="105" t="s">
        <v>122</v>
      </c>
      <c r="B1634" s="235" t="str">
        <f>$K$110</f>
        <v>FEBRUARY - JULY 2026</v>
      </c>
      <c r="C1634" s="235"/>
      <c r="D1634" s="106" t="s">
        <v>124</v>
      </c>
      <c r="E1634" s="235" t="str">
        <f>$I$110</f>
        <v/>
      </c>
      <c r="F1634" s="236"/>
    </row>
    <row r="1635" spans="1:7" ht="12.4" customHeight="1">
      <c r="A1635" s="237" t="s">
        <v>130</v>
      </c>
      <c r="B1635" s="238"/>
      <c r="C1635" s="238"/>
      <c r="D1635" s="238"/>
      <c r="E1635" s="238"/>
      <c r="F1635" s="239"/>
    </row>
    <row r="1636" spans="1:7" ht="12.4" customHeight="1">
      <c r="A1636" s="245" t="s">
        <v>14</v>
      </c>
      <c r="B1636" s="240" t="s">
        <v>125</v>
      </c>
      <c r="C1636" s="241"/>
      <c r="D1636" s="102" t="s">
        <v>126</v>
      </c>
      <c r="E1636" s="109" t="s">
        <v>127</v>
      </c>
      <c r="F1636" s="102" t="s">
        <v>128</v>
      </c>
    </row>
    <row r="1637" spans="1:7" ht="12.4" customHeight="1">
      <c r="A1637" s="246"/>
      <c r="B1637" s="240" t="s">
        <v>129</v>
      </c>
      <c r="C1637" s="241"/>
      <c r="D1637" s="102">
        <v>100</v>
      </c>
      <c r="E1637" s="110" t="str" cm="1">
        <f t="array" ref="E1637:E1648">TRANSPOSE(K121:V121)</f>
        <v/>
      </c>
      <c r="F1637" s="104" t="str">
        <f>IF(E1637="","",IF(E1637&lt;D1637*60%,"Try harder",""))</f>
        <v/>
      </c>
    </row>
    <row r="1638" spans="1:7" ht="12.4" customHeight="1">
      <c r="A1638" s="246"/>
      <c r="B1638" s="242" t="s">
        <v>132</v>
      </c>
      <c r="C1638" s="133" t="str" cm="1">
        <f t="array" ref="C1638:C1647">TRANSPOSE($L$113:$U$113)</f>
        <v>Up-Low C</v>
      </c>
      <c r="D1638" s="134">
        <v>10</v>
      </c>
      <c r="E1638" s="135" t="str">
        <v/>
      </c>
      <c r="F1638" s="136" t="str">
        <f t="shared" ref="F1638:F1648" si="96">IF(E1638="","",IF(E1638&lt;D1638*60%,"Try harder",""))</f>
        <v/>
      </c>
    </row>
    <row r="1639" spans="1:7" ht="12.4" customHeight="1">
      <c r="A1639" s="246"/>
      <c r="B1639" s="243"/>
      <c r="C1639" s="137" t="str">
        <v>Alphabet N</v>
      </c>
      <c r="D1639" s="138">
        <v>10</v>
      </c>
      <c r="E1639" s="139" t="str">
        <v/>
      </c>
      <c r="F1639" s="140" t="str">
        <f t="shared" si="96"/>
        <v/>
      </c>
    </row>
    <row r="1640" spans="1:7" ht="12.4" customHeight="1">
      <c r="A1640" s="246"/>
      <c r="B1640" s="243"/>
      <c r="C1640" s="137" t="str">
        <v>Alphabet S</v>
      </c>
      <c r="D1640" s="138">
        <v>10</v>
      </c>
      <c r="E1640" s="139" t="str">
        <v/>
      </c>
      <c r="F1640" s="140" t="str">
        <f t="shared" si="96"/>
        <v/>
      </c>
    </row>
    <row r="1641" spans="1:7" ht="12.4" customHeight="1">
      <c r="A1641" s="246"/>
      <c r="B1641" s="243"/>
      <c r="C1641" s="137" t="str">
        <v>Vocabulary</v>
      </c>
      <c r="D1641" s="138">
        <v>10</v>
      </c>
      <c r="E1641" s="139" t="str">
        <v/>
      </c>
      <c r="F1641" s="140" t="str">
        <f t="shared" si="96"/>
        <v/>
      </c>
    </row>
    <row r="1642" spans="1:7" ht="12.4" customHeight="1">
      <c r="A1642" s="247" t="s">
        <v>131</v>
      </c>
      <c r="B1642" s="243"/>
      <c r="C1642" s="137" t="str">
        <v>Sprouts</v>
      </c>
      <c r="D1642" s="138">
        <v>10</v>
      </c>
      <c r="E1642" s="139" t="str">
        <v/>
      </c>
      <c r="F1642" s="140" t="str">
        <f t="shared" si="96"/>
        <v/>
      </c>
    </row>
    <row r="1643" spans="1:7" ht="12.4" customHeight="1">
      <c r="A1643" s="247"/>
      <c r="B1643" s="243"/>
      <c r="C1643" s="137" t="str">
        <v>Phonics</v>
      </c>
      <c r="D1643" s="138">
        <v>10</v>
      </c>
      <c r="E1643" s="139" t="str">
        <v/>
      </c>
      <c r="F1643" s="140" t="str">
        <f t="shared" si="96"/>
        <v/>
      </c>
    </row>
    <row r="1644" spans="1:7" ht="12.4" customHeight="1">
      <c r="A1644" s="247"/>
      <c r="B1644" s="243"/>
      <c r="C1644" s="137" t="str">
        <v>Math</v>
      </c>
      <c r="D1644" s="138">
        <v>10</v>
      </c>
      <c r="E1644" s="139" t="str">
        <v/>
      </c>
      <c r="F1644" s="140" t="str">
        <f t="shared" si="96"/>
        <v/>
      </c>
    </row>
    <row r="1645" spans="1:7" ht="12.4" customHeight="1">
      <c r="A1645" s="247"/>
      <c r="B1645" s="243"/>
      <c r="C1645" s="137" t="str">
        <v>Shape</v>
      </c>
      <c r="D1645" s="138">
        <v>10</v>
      </c>
      <c r="E1645" s="139" t="str">
        <v/>
      </c>
      <c r="F1645" s="140" t="str">
        <f t="shared" si="96"/>
        <v/>
      </c>
    </row>
    <row r="1646" spans="1:7" ht="12.4" customHeight="1">
      <c r="A1646" s="247"/>
      <c r="B1646" s="243"/>
      <c r="C1646" s="137" t="str">
        <v>Science</v>
      </c>
      <c r="D1646" s="138">
        <v>10</v>
      </c>
      <c r="E1646" s="139" t="str">
        <v/>
      </c>
      <c r="F1646" s="140" t="str">
        <f t="shared" si="96"/>
        <v/>
      </c>
    </row>
    <row r="1647" spans="1:7" ht="12.4" customHeight="1">
      <c r="A1647" s="247"/>
      <c r="B1647" s="244"/>
      <c r="C1647" s="141" t="str">
        <v>Tracing</v>
      </c>
      <c r="D1647" s="142">
        <v>10</v>
      </c>
      <c r="E1647" s="143" t="str">
        <v/>
      </c>
      <c r="F1647" s="144" t="str">
        <f t="shared" si="96"/>
        <v/>
      </c>
    </row>
    <row r="1648" spans="1:7" ht="12.4" customHeight="1">
      <c r="A1648" s="248"/>
      <c r="B1648" s="240" t="s">
        <v>133</v>
      </c>
      <c r="C1648" s="241"/>
      <c r="D1648" s="103">
        <f>D1637*20%+SUM(D1638:D1647)*80%</f>
        <v>100</v>
      </c>
      <c r="E1648" s="110" t="str">
        <v/>
      </c>
      <c r="F1648" s="104" t="str">
        <f t="shared" si="96"/>
        <v/>
      </c>
    </row>
    <row r="1650" spans="1:7" ht="12.4" customHeight="1">
      <c r="A1650" s="230" t="s">
        <v>121</v>
      </c>
      <c r="B1650" s="231"/>
      <c r="C1650" s="231"/>
      <c r="D1650" s="107" t="s">
        <v>123</v>
      </c>
      <c r="E1650" s="232" t="str">
        <f>I122</f>
        <v/>
      </c>
      <c r="F1650" s="233"/>
      <c r="G1650" s="101">
        <v>122</v>
      </c>
    </row>
    <row r="1651" spans="1:7" ht="12.4" customHeight="1">
      <c r="A1651" s="105" t="s">
        <v>122</v>
      </c>
      <c r="B1651" s="235" t="str">
        <f>$K$110</f>
        <v>FEBRUARY - JULY 2026</v>
      </c>
      <c r="C1651" s="235"/>
      <c r="D1651" s="106" t="s">
        <v>124</v>
      </c>
      <c r="E1651" s="235" t="str">
        <f>$I$110</f>
        <v/>
      </c>
      <c r="F1651" s="236"/>
    </row>
    <row r="1652" spans="1:7" ht="12.4" customHeight="1">
      <c r="A1652" s="237" t="s">
        <v>130</v>
      </c>
      <c r="B1652" s="238"/>
      <c r="C1652" s="238"/>
      <c r="D1652" s="238"/>
      <c r="E1652" s="238"/>
      <c r="F1652" s="239"/>
    </row>
    <row r="1653" spans="1:7" ht="12.4" customHeight="1">
      <c r="A1653" s="245" t="s">
        <v>14</v>
      </c>
      <c r="B1653" s="240" t="s">
        <v>125</v>
      </c>
      <c r="C1653" s="241"/>
      <c r="D1653" s="102" t="s">
        <v>126</v>
      </c>
      <c r="E1653" s="109" t="s">
        <v>127</v>
      </c>
      <c r="F1653" s="102" t="s">
        <v>128</v>
      </c>
    </row>
    <row r="1654" spans="1:7" ht="12.4" customHeight="1">
      <c r="A1654" s="246"/>
      <c r="B1654" s="240" t="s">
        <v>129</v>
      </c>
      <c r="C1654" s="241"/>
      <c r="D1654" s="102">
        <v>100</v>
      </c>
      <c r="E1654" s="110" t="str" cm="1">
        <f t="array" ref="E1654:E1665">TRANSPOSE(K122:V122)</f>
        <v/>
      </c>
      <c r="F1654" s="104" t="str">
        <f>IF(E1654="","",IF(E1654&lt;D1654*60%,"Try harder",""))</f>
        <v/>
      </c>
    </row>
    <row r="1655" spans="1:7" ht="12.4" customHeight="1">
      <c r="A1655" s="246"/>
      <c r="B1655" s="242" t="s">
        <v>132</v>
      </c>
      <c r="C1655" s="133" t="str" cm="1">
        <f t="array" ref="C1655:C1664">TRANSPOSE($L$113:$U$113)</f>
        <v>Up-Low C</v>
      </c>
      <c r="D1655" s="134">
        <v>10</v>
      </c>
      <c r="E1655" s="135" t="str">
        <v/>
      </c>
      <c r="F1655" s="136" t="str">
        <f t="shared" ref="F1655:F1665" si="97">IF(E1655="","",IF(E1655&lt;D1655*60%,"Try harder",""))</f>
        <v/>
      </c>
    </row>
    <row r="1656" spans="1:7" ht="12.4" customHeight="1">
      <c r="A1656" s="246"/>
      <c r="B1656" s="243"/>
      <c r="C1656" s="137" t="str">
        <v>Alphabet N</v>
      </c>
      <c r="D1656" s="138">
        <v>10</v>
      </c>
      <c r="E1656" s="139" t="str">
        <v/>
      </c>
      <c r="F1656" s="140" t="str">
        <f t="shared" si="97"/>
        <v/>
      </c>
    </row>
    <row r="1657" spans="1:7" ht="12.4" customHeight="1">
      <c r="A1657" s="246"/>
      <c r="B1657" s="243"/>
      <c r="C1657" s="137" t="str">
        <v>Alphabet S</v>
      </c>
      <c r="D1657" s="138">
        <v>10</v>
      </c>
      <c r="E1657" s="139" t="str">
        <v/>
      </c>
      <c r="F1657" s="140" t="str">
        <f t="shared" si="97"/>
        <v/>
      </c>
    </row>
    <row r="1658" spans="1:7" ht="12.4" customHeight="1">
      <c r="A1658" s="246"/>
      <c r="B1658" s="243"/>
      <c r="C1658" s="137" t="str">
        <v>Vocabulary</v>
      </c>
      <c r="D1658" s="138">
        <v>10</v>
      </c>
      <c r="E1658" s="139" t="str">
        <v/>
      </c>
      <c r="F1658" s="140" t="str">
        <f t="shared" si="97"/>
        <v/>
      </c>
    </row>
    <row r="1659" spans="1:7" ht="12.4" customHeight="1">
      <c r="A1659" s="247" t="s">
        <v>131</v>
      </c>
      <c r="B1659" s="243"/>
      <c r="C1659" s="137" t="str">
        <v>Sprouts</v>
      </c>
      <c r="D1659" s="138">
        <v>10</v>
      </c>
      <c r="E1659" s="139" t="str">
        <v/>
      </c>
      <c r="F1659" s="140" t="str">
        <f t="shared" si="97"/>
        <v/>
      </c>
    </row>
    <row r="1660" spans="1:7" ht="12.4" customHeight="1">
      <c r="A1660" s="247"/>
      <c r="B1660" s="243"/>
      <c r="C1660" s="137" t="str">
        <v>Phonics</v>
      </c>
      <c r="D1660" s="138">
        <v>10</v>
      </c>
      <c r="E1660" s="139" t="str">
        <v/>
      </c>
      <c r="F1660" s="140" t="str">
        <f t="shared" si="97"/>
        <v/>
      </c>
    </row>
    <row r="1661" spans="1:7" ht="12.4" customHeight="1">
      <c r="A1661" s="247"/>
      <c r="B1661" s="243"/>
      <c r="C1661" s="137" t="str">
        <v>Math</v>
      </c>
      <c r="D1661" s="138">
        <v>10</v>
      </c>
      <c r="E1661" s="139" t="str">
        <v/>
      </c>
      <c r="F1661" s="140" t="str">
        <f t="shared" si="97"/>
        <v/>
      </c>
    </row>
    <row r="1662" spans="1:7" ht="12.4" customHeight="1">
      <c r="A1662" s="247"/>
      <c r="B1662" s="243"/>
      <c r="C1662" s="137" t="str">
        <v>Shape</v>
      </c>
      <c r="D1662" s="138">
        <v>10</v>
      </c>
      <c r="E1662" s="139" t="str">
        <v/>
      </c>
      <c r="F1662" s="140" t="str">
        <f t="shared" si="97"/>
        <v/>
      </c>
    </row>
    <row r="1663" spans="1:7" ht="12.4" customHeight="1">
      <c r="A1663" s="247"/>
      <c r="B1663" s="243"/>
      <c r="C1663" s="137" t="str">
        <v>Science</v>
      </c>
      <c r="D1663" s="138">
        <v>10</v>
      </c>
      <c r="E1663" s="139" t="str">
        <v/>
      </c>
      <c r="F1663" s="140" t="str">
        <f t="shared" si="97"/>
        <v/>
      </c>
    </row>
    <row r="1664" spans="1:7" ht="12.4" customHeight="1">
      <c r="A1664" s="247"/>
      <c r="B1664" s="244"/>
      <c r="C1664" s="141" t="str">
        <v>Tracing</v>
      </c>
      <c r="D1664" s="142">
        <v>10</v>
      </c>
      <c r="E1664" s="143" t="str">
        <v/>
      </c>
      <c r="F1664" s="144" t="str">
        <f t="shared" si="97"/>
        <v/>
      </c>
    </row>
    <row r="1665" spans="1:7" ht="12.4" customHeight="1">
      <c r="A1665" s="248"/>
      <c r="B1665" s="240" t="s">
        <v>133</v>
      </c>
      <c r="C1665" s="241"/>
      <c r="D1665" s="103">
        <f>D1654*20%+SUM(D1655:D1664)*80%</f>
        <v>100</v>
      </c>
      <c r="E1665" s="110" t="str">
        <v/>
      </c>
      <c r="F1665" s="104" t="str">
        <f t="shared" si="97"/>
        <v/>
      </c>
    </row>
    <row r="1667" spans="1:7" ht="12.4" customHeight="1">
      <c r="A1667" s="230" t="s">
        <v>121</v>
      </c>
      <c r="B1667" s="231"/>
      <c r="C1667" s="231"/>
      <c r="D1667" s="107" t="s">
        <v>123</v>
      </c>
      <c r="E1667" s="232" t="str">
        <f>I123</f>
        <v/>
      </c>
      <c r="F1667" s="233"/>
      <c r="G1667" s="101">
        <v>123</v>
      </c>
    </row>
    <row r="1668" spans="1:7" ht="12.4" customHeight="1">
      <c r="A1668" s="105" t="s">
        <v>122</v>
      </c>
      <c r="B1668" s="235" t="str">
        <f>$K$110</f>
        <v>FEBRUARY - JULY 2026</v>
      </c>
      <c r="C1668" s="235"/>
      <c r="D1668" s="106" t="s">
        <v>124</v>
      </c>
      <c r="E1668" s="235" t="str">
        <f>$I$110</f>
        <v/>
      </c>
      <c r="F1668" s="236"/>
    </row>
    <row r="1669" spans="1:7" ht="12.4" customHeight="1">
      <c r="A1669" s="237" t="s">
        <v>130</v>
      </c>
      <c r="B1669" s="238"/>
      <c r="C1669" s="238"/>
      <c r="D1669" s="238"/>
      <c r="E1669" s="238"/>
      <c r="F1669" s="239"/>
    </row>
    <row r="1670" spans="1:7" ht="12.4" customHeight="1">
      <c r="A1670" s="245" t="s">
        <v>14</v>
      </c>
      <c r="B1670" s="240" t="s">
        <v>125</v>
      </c>
      <c r="C1670" s="241"/>
      <c r="D1670" s="102" t="s">
        <v>126</v>
      </c>
      <c r="E1670" s="109" t="s">
        <v>127</v>
      </c>
      <c r="F1670" s="102" t="s">
        <v>128</v>
      </c>
    </row>
    <row r="1671" spans="1:7" ht="12.4" customHeight="1">
      <c r="A1671" s="246"/>
      <c r="B1671" s="240" t="s">
        <v>129</v>
      </c>
      <c r="C1671" s="241"/>
      <c r="D1671" s="102">
        <v>100</v>
      </c>
      <c r="E1671" s="110" t="str" cm="1">
        <f t="array" ref="E1671:E1682">TRANSPOSE(K123:V123)</f>
        <v/>
      </c>
      <c r="F1671" s="104" t="str">
        <f>IF(E1671="","",IF(E1671&lt;D1671*60%,"Try harder",""))</f>
        <v/>
      </c>
    </row>
    <row r="1672" spans="1:7" ht="12.4" customHeight="1">
      <c r="A1672" s="246"/>
      <c r="B1672" s="242" t="s">
        <v>132</v>
      </c>
      <c r="C1672" s="133" t="str" cm="1">
        <f t="array" ref="C1672:C1681">TRANSPOSE($L$113:$U$113)</f>
        <v>Up-Low C</v>
      </c>
      <c r="D1672" s="134">
        <v>10</v>
      </c>
      <c r="E1672" s="135" t="str">
        <v/>
      </c>
      <c r="F1672" s="136" t="str">
        <f t="shared" ref="F1672:F1682" si="98">IF(E1672="","",IF(E1672&lt;D1672*60%,"Try harder",""))</f>
        <v/>
      </c>
    </row>
    <row r="1673" spans="1:7" ht="12.4" customHeight="1">
      <c r="A1673" s="246"/>
      <c r="B1673" s="243"/>
      <c r="C1673" s="137" t="str">
        <v>Alphabet N</v>
      </c>
      <c r="D1673" s="138">
        <v>10</v>
      </c>
      <c r="E1673" s="139" t="str">
        <v/>
      </c>
      <c r="F1673" s="140" t="str">
        <f t="shared" si="98"/>
        <v/>
      </c>
    </row>
    <row r="1674" spans="1:7" ht="12.4" customHeight="1">
      <c r="A1674" s="246"/>
      <c r="B1674" s="243"/>
      <c r="C1674" s="137" t="str">
        <v>Alphabet S</v>
      </c>
      <c r="D1674" s="138">
        <v>10</v>
      </c>
      <c r="E1674" s="139" t="str">
        <v/>
      </c>
      <c r="F1674" s="140" t="str">
        <f t="shared" si="98"/>
        <v/>
      </c>
    </row>
    <row r="1675" spans="1:7" ht="12.4" customHeight="1">
      <c r="A1675" s="246"/>
      <c r="B1675" s="243"/>
      <c r="C1675" s="137" t="str">
        <v>Vocabulary</v>
      </c>
      <c r="D1675" s="138">
        <v>10</v>
      </c>
      <c r="E1675" s="139" t="str">
        <v/>
      </c>
      <c r="F1675" s="140" t="str">
        <f t="shared" si="98"/>
        <v/>
      </c>
    </row>
    <row r="1676" spans="1:7" ht="12.4" customHeight="1">
      <c r="A1676" s="247" t="s">
        <v>131</v>
      </c>
      <c r="B1676" s="243"/>
      <c r="C1676" s="137" t="str">
        <v>Sprouts</v>
      </c>
      <c r="D1676" s="138">
        <v>10</v>
      </c>
      <c r="E1676" s="139" t="str">
        <v/>
      </c>
      <c r="F1676" s="140" t="str">
        <f t="shared" si="98"/>
        <v/>
      </c>
    </row>
    <row r="1677" spans="1:7" ht="12.4" customHeight="1">
      <c r="A1677" s="247"/>
      <c r="B1677" s="243"/>
      <c r="C1677" s="137" t="str">
        <v>Phonics</v>
      </c>
      <c r="D1677" s="138">
        <v>10</v>
      </c>
      <c r="E1677" s="139" t="str">
        <v/>
      </c>
      <c r="F1677" s="140" t="str">
        <f t="shared" si="98"/>
        <v/>
      </c>
    </row>
    <row r="1678" spans="1:7" ht="12.4" customHeight="1">
      <c r="A1678" s="247"/>
      <c r="B1678" s="243"/>
      <c r="C1678" s="137" t="str">
        <v>Math</v>
      </c>
      <c r="D1678" s="138">
        <v>10</v>
      </c>
      <c r="E1678" s="139" t="str">
        <v/>
      </c>
      <c r="F1678" s="140" t="str">
        <f t="shared" si="98"/>
        <v/>
      </c>
    </row>
    <row r="1679" spans="1:7" ht="12.4" customHeight="1">
      <c r="A1679" s="247"/>
      <c r="B1679" s="243"/>
      <c r="C1679" s="137" t="str">
        <v>Shape</v>
      </c>
      <c r="D1679" s="138">
        <v>10</v>
      </c>
      <c r="E1679" s="139" t="str">
        <v/>
      </c>
      <c r="F1679" s="140" t="str">
        <f t="shared" si="98"/>
        <v/>
      </c>
    </row>
    <row r="1680" spans="1:7" ht="12.4" customHeight="1">
      <c r="A1680" s="247"/>
      <c r="B1680" s="243"/>
      <c r="C1680" s="137" t="str">
        <v>Science</v>
      </c>
      <c r="D1680" s="138">
        <v>10</v>
      </c>
      <c r="E1680" s="139" t="str">
        <v/>
      </c>
      <c r="F1680" s="140" t="str">
        <f t="shared" si="98"/>
        <v/>
      </c>
    </row>
    <row r="1681" spans="1:7" ht="12.4" customHeight="1">
      <c r="A1681" s="247"/>
      <c r="B1681" s="244"/>
      <c r="C1681" s="141" t="str">
        <v>Tracing</v>
      </c>
      <c r="D1681" s="142">
        <v>10</v>
      </c>
      <c r="E1681" s="143" t="str">
        <v/>
      </c>
      <c r="F1681" s="144" t="str">
        <f t="shared" si="98"/>
        <v/>
      </c>
    </row>
    <row r="1682" spans="1:7" ht="12.4" customHeight="1">
      <c r="A1682" s="248"/>
      <c r="B1682" s="240" t="s">
        <v>133</v>
      </c>
      <c r="C1682" s="241"/>
      <c r="D1682" s="103">
        <f>D1671*20%+SUM(D1672:D1681)*80%</f>
        <v>100</v>
      </c>
      <c r="E1682" s="110" t="str">
        <v/>
      </c>
      <c r="F1682" s="104" t="str">
        <f t="shared" si="98"/>
        <v/>
      </c>
    </row>
    <row r="1684" spans="1:7" ht="12.4" customHeight="1">
      <c r="A1684" s="230" t="s">
        <v>121</v>
      </c>
      <c r="B1684" s="231"/>
      <c r="C1684" s="231"/>
      <c r="D1684" s="107" t="s">
        <v>123</v>
      </c>
      <c r="E1684" s="232" t="str">
        <f>I124</f>
        <v/>
      </c>
      <c r="F1684" s="233"/>
      <c r="G1684" s="101">
        <v>124</v>
      </c>
    </row>
    <row r="1685" spans="1:7" ht="12.4" customHeight="1">
      <c r="A1685" s="105" t="s">
        <v>122</v>
      </c>
      <c r="B1685" s="235" t="str">
        <f>$K$110</f>
        <v>FEBRUARY - JULY 2026</v>
      </c>
      <c r="C1685" s="235"/>
      <c r="D1685" s="106" t="s">
        <v>124</v>
      </c>
      <c r="E1685" s="235" t="str">
        <f>$I$110</f>
        <v/>
      </c>
      <c r="F1685" s="236"/>
    </row>
    <row r="1686" spans="1:7" ht="12.4" customHeight="1">
      <c r="A1686" s="237" t="s">
        <v>130</v>
      </c>
      <c r="B1686" s="238"/>
      <c r="C1686" s="238"/>
      <c r="D1686" s="238"/>
      <c r="E1686" s="238"/>
      <c r="F1686" s="239"/>
    </row>
    <row r="1687" spans="1:7" ht="12.4" customHeight="1">
      <c r="A1687" s="245" t="s">
        <v>14</v>
      </c>
      <c r="B1687" s="240" t="s">
        <v>125</v>
      </c>
      <c r="C1687" s="241"/>
      <c r="D1687" s="102" t="s">
        <v>126</v>
      </c>
      <c r="E1687" s="109" t="s">
        <v>127</v>
      </c>
      <c r="F1687" s="102" t="s">
        <v>128</v>
      </c>
    </row>
    <row r="1688" spans="1:7" ht="12.4" customHeight="1">
      <c r="A1688" s="246"/>
      <c r="B1688" s="240" t="s">
        <v>129</v>
      </c>
      <c r="C1688" s="241"/>
      <c r="D1688" s="102">
        <v>100</v>
      </c>
      <c r="E1688" s="110" t="str" cm="1">
        <f t="array" ref="E1688:E1699">TRANSPOSE(K124:V124)</f>
        <v/>
      </c>
      <c r="F1688" s="104" t="str">
        <f>IF(E1688="","",IF(E1688&lt;D1688*60%,"Try harder",""))</f>
        <v/>
      </c>
    </row>
    <row r="1689" spans="1:7" ht="12.4" customHeight="1">
      <c r="A1689" s="246"/>
      <c r="B1689" s="242" t="s">
        <v>132</v>
      </c>
      <c r="C1689" s="133" t="str" cm="1">
        <f t="array" ref="C1689:C1698">TRANSPOSE($L$113:$U$113)</f>
        <v>Up-Low C</v>
      </c>
      <c r="D1689" s="134">
        <v>10</v>
      </c>
      <c r="E1689" s="135" t="str">
        <v/>
      </c>
      <c r="F1689" s="136" t="str">
        <f t="shared" ref="F1689:F1699" si="99">IF(E1689="","",IF(E1689&lt;D1689*60%,"Try harder",""))</f>
        <v/>
      </c>
    </row>
    <row r="1690" spans="1:7" ht="12.4" customHeight="1">
      <c r="A1690" s="246"/>
      <c r="B1690" s="243"/>
      <c r="C1690" s="137" t="str">
        <v>Alphabet N</v>
      </c>
      <c r="D1690" s="138">
        <v>10</v>
      </c>
      <c r="E1690" s="139" t="str">
        <v/>
      </c>
      <c r="F1690" s="140" t="str">
        <f t="shared" si="99"/>
        <v/>
      </c>
    </row>
    <row r="1691" spans="1:7" ht="12.4" customHeight="1">
      <c r="A1691" s="246"/>
      <c r="B1691" s="243"/>
      <c r="C1691" s="137" t="str">
        <v>Alphabet S</v>
      </c>
      <c r="D1691" s="138">
        <v>10</v>
      </c>
      <c r="E1691" s="139" t="str">
        <v/>
      </c>
      <c r="F1691" s="140" t="str">
        <f t="shared" si="99"/>
        <v/>
      </c>
    </row>
    <row r="1692" spans="1:7" ht="12.4" customHeight="1">
      <c r="A1692" s="246"/>
      <c r="B1692" s="243"/>
      <c r="C1692" s="137" t="str">
        <v>Vocabulary</v>
      </c>
      <c r="D1692" s="138">
        <v>10</v>
      </c>
      <c r="E1692" s="139" t="str">
        <v/>
      </c>
      <c r="F1692" s="140" t="str">
        <f t="shared" si="99"/>
        <v/>
      </c>
    </row>
    <row r="1693" spans="1:7" ht="12.4" customHeight="1">
      <c r="A1693" s="247" t="s">
        <v>131</v>
      </c>
      <c r="B1693" s="243"/>
      <c r="C1693" s="137" t="str">
        <v>Sprouts</v>
      </c>
      <c r="D1693" s="138">
        <v>10</v>
      </c>
      <c r="E1693" s="139" t="str">
        <v/>
      </c>
      <c r="F1693" s="140" t="str">
        <f t="shared" si="99"/>
        <v/>
      </c>
    </row>
    <row r="1694" spans="1:7" ht="12.4" customHeight="1">
      <c r="A1694" s="247"/>
      <c r="B1694" s="243"/>
      <c r="C1694" s="137" t="str">
        <v>Phonics</v>
      </c>
      <c r="D1694" s="138">
        <v>10</v>
      </c>
      <c r="E1694" s="139" t="str">
        <v/>
      </c>
      <c r="F1694" s="140" t="str">
        <f t="shared" si="99"/>
        <v/>
      </c>
    </row>
    <row r="1695" spans="1:7" ht="12.4" customHeight="1">
      <c r="A1695" s="247"/>
      <c r="B1695" s="243"/>
      <c r="C1695" s="137" t="str">
        <v>Math</v>
      </c>
      <c r="D1695" s="138">
        <v>10</v>
      </c>
      <c r="E1695" s="139" t="str">
        <v/>
      </c>
      <c r="F1695" s="140" t="str">
        <f t="shared" si="99"/>
        <v/>
      </c>
    </row>
    <row r="1696" spans="1:7" ht="12.4" customHeight="1">
      <c r="A1696" s="247"/>
      <c r="B1696" s="243"/>
      <c r="C1696" s="137" t="str">
        <v>Shape</v>
      </c>
      <c r="D1696" s="138">
        <v>10</v>
      </c>
      <c r="E1696" s="139" t="str">
        <v/>
      </c>
      <c r="F1696" s="140" t="str">
        <f t="shared" si="99"/>
        <v/>
      </c>
    </row>
    <row r="1697" spans="1:7" ht="12.4" customHeight="1">
      <c r="A1697" s="247"/>
      <c r="B1697" s="243"/>
      <c r="C1697" s="137" t="str">
        <v>Science</v>
      </c>
      <c r="D1697" s="138">
        <v>10</v>
      </c>
      <c r="E1697" s="139" t="str">
        <v/>
      </c>
      <c r="F1697" s="140" t="str">
        <f t="shared" si="99"/>
        <v/>
      </c>
    </row>
    <row r="1698" spans="1:7" ht="12.4" customHeight="1">
      <c r="A1698" s="247"/>
      <c r="B1698" s="244"/>
      <c r="C1698" s="141" t="str">
        <v>Tracing</v>
      </c>
      <c r="D1698" s="142">
        <v>10</v>
      </c>
      <c r="E1698" s="143" t="str">
        <v/>
      </c>
      <c r="F1698" s="144" t="str">
        <f t="shared" si="99"/>
        <v/>
      </c>
    </row>
    <row r="1699" spans="1:7" ht="12.4" customHeight="1">
      <c r="A1699" s="248"/>
      <c r="B1699" s="240" t="s">
        <v>133</v>
      </c>
      <c r="C1699" s="241"/>
      <c r="D1699" s="103">
        <f>D1688*20%+SUM(D1689:D1698)*80%</f>
        <v>100</v>
      </c>
      <c r="E1699" s="110" t="str">
        <v/>
      </c>
      <c r="F1699" s="104" t="str">
        <f t="shared" si="99"/>
        <v/>
      </c>
    </row>
    <row r="1701" spans="1:7" ht="12.4" customHeight="1">
      <c r="A1701" s="230" t="s">
        <v>121</v>
      </c>
      <c r="B1701" s="231"/>
      <c r="C1701" s="231"/>
      <c r="D1701" s="107" t="s">
        <v>123</v>
      </c>
      <c r="E1701" s="232" t="str">
        <f>I125</f>
        <v/>
      </c>
      <c r="F1701" s="233"/>
      <c r="G1701" s="101">
        <v>125</v>
      </c>
    </row>
    <row r="1702" spans="1:7" ht="12.4" customHeight="1">
      <c r="A1702" s="105" t="s">
        <v>122</v>
      </c>
      <c r="B1702" s="235" t="str">
        <f>$K$110</f>
        <v>FEBRUARY - JULY 2026</v>
      </c>
      <c r="C1702" s="235"/>
      <c r="D1702" s="106" t="s">
        <v>124</v>
      </c>
      <c r="E1702" s="235" t="str">
        <f>$I$110</f>
        <v/>
      </c>
      <c r="F1702" s="236"/>
    </row>
    <row r="1703" spans="1:7" ht="12.4" customHeight="1">
      <c r="A1703" s="237" t="s">
        <v>130</v>
      </c>
      <c r="B1703" s="238"/>
      <c r="C1703" s="238"/>
      <c r="D1703" s="238"/>
      <c r="E1703" s="238"/>
      <c r="F1703" s="239"/>
    </row>
    <row r="1704" spans="1:7" ht="12.4" customHeight="1">
      <c r="A1704" s="245" t="s">
        <v>14</v>
      </c>
      <c r="B1704" s="240" t="s">
        <v>125</v>
      </c>
      <c r="C1704" s="241"/>
      <c r="D1704" s="102" t="s">
        <v>126</v>
      </c>
      <c r="E1704" s="109" t="s">
        <v>127</v>
      </c>
      <c r="F1704" s="102" t="s">
        <v>128</v>
      </c>
    </row>
    <row r="1705" spans="1:7" ht="12.4" customHeight="1">
      <c r="A1705" s="246"/>
      <c r="B1705" s="240" t="s">
        <v>129</v>
      </c>
      <c r="C1705" s="241"/>
      <c r="D1705" s="102">
        <v>100</v>
      </c>
      <c r="E1705" s="110" t="str" cm="1">
        <f t="array" ref="E1705:E1716">TRANSPOSE(K125:V125)</f>
        <v/>
      </c>
      <c r="F1705" s="104" t="str">
        <f>IF(E1705="","",IF(E1705&lt;D1705*60%,"Try harder",""))</f>
        <v/>
      </c>
    </row>
    <row r="1706" spans="1:7" ht="12.4" customHeight="1">
      <c r="A1706" s="246"/>
      <c r="B1706" s="242" t="s">
        <v>132</v>
      </c>
      <c r="C1706" s="133" t="str" cm="1">
        <f t="array" ref="C1706:C1715">TRANSPOSE($L$113:$U$113)</f>
        <v>Up-Low C</v>
      </c>
      <c r="D1706" s="134">
        <v>10</v>
      </c>
      <c r="E1706" s="135" t="str">
        <v/>
      </c>
      <c r="F1706" s="136" t="str">
        <f t="shared" ref="F1706:F1716" si="100">IF(E1706="","",IF(E1706&lt;D1706*60%,"Try harder",""))</f>
        <v/>
      </c>
    </row>
    <row r="1707" spans="1:7" ht="12.4" customHeight="1">
      <c r="A1707" s="246"/>
      <c r="B1707" s="243"/>
      <c r="C1707" s="137" t="str">
        <v>Alphabet N</v>
      </c>
      <c r="D1707" s="138">
        <v>10</v>
      </c>
      <c r="E1707" s="139" t="str">
        <v/>
      </c>
      <c r="F1707" s="140" t="str">
        <f t="shared" si="100"/>
        <v/>
      </c>
    </row>
    <row r="1708" spans="1:7" ht="12.4" customHeight="1">
      <c r="A1708" s="246"/>
      <c r="B1708" s="243"/>
      <c r="C1708" s="137" t="str">
        <v>Alphabet S</v>
      </c>
      <c r="D1708" s="138">
        <v>10</v>
      </c>
      <c r="E1708" s="139" t="str">
        <v/>
      </c>
      <c r="F1708" s="140" t="str">
        <f t="shared" si="100"/>
        <v/>
      </c>
    </row>
    <row r="1709" spans="1:7" ht="12.4" customHeight="1">
      <c r="A1709" s="246"/>
      <c r="B1709" s="243"/>
      <c r="C1709" s="137" t="str">
        <v>Vocabulary</v>
      </c>
      <c r="D1709" s="138">
        <v>10</v>
      </c>
      <c r="E1709" s="139" t="str">
        <v/>
      </c>
      <c r="F1709" s="140" t="str">
        <f t="shared" si="100"/>
        <v/>
      </c>
    </row>
    <row r="1710" spans="1:7" ht="12.4" customHeight="1">
      <c r="A1710" s="247" t="s">
        <v>131</v>
      </c>
      <c r="B1710" s="243"/>
      <c r="C1710" s="137" t="str">
        <v>Sprouts</v>
      </c>
      <c r="D1710" s="138">
        <v>10</v>
      </c>
      <c r="E1710" s="139" t="str">
        <v/>
      </c>
      <c r="F1710" s="140" t="str">
        <f t="shared" si="100"/>
        <v/>
      </c>
    </row>
    <row r="1711" spans="1:7" ht="12.4" customHeight="1">
      <c r="A1711" s="247"/>
      <c r="B1711" s="243"/>
      <c r="C1711" s="137" t="str">
        <v>Phonics</v>
      </c>
      <c r="D1711" s="138">
        <v>10</v>
      </c>
      <c r="E1711" s="139" t="str">
        <v/>
      </c>
      <c r="F1711" s="140" t="str">
        <f t="shared" si="100"/>
        <v/>
      </c>
    </row>
    <row r="1712" spans="1:7" ht="12.4" customHeight="1">
      <c r="A1712" s="247"/>
      <c r="B1712" s="243"/>
      <c r="C1712" s="137" t="str">
        <v>Math</v>
      </c>
      <c r="D1712" s="138">
        <v>10</v>
      </c>
      <c r="E1712" s="139" t="str">
        <v/>
      </c>
      <c r="F1712" s="140" t="str">
        <f t="shared" si="100"/>
        <v/>
      </c>
    </row>
    <row r="1713" spans="1:7" ht="12.4" customHeight="1">
      <c r="A1713" s="247"/>
      <c r="B1713" s="243"/>
      <c r="C1713" s="137" t="str">
        <v>Shape</v>
      </c>
      <c r="D1713" s="138">
        <v>10</v>
      </c>
      <c r="E1713" s="139" t="str">
        <v/>
      </c>
      <c r="F1713" s="140" t="str">
        <f t="shared" si="100"/>
        <v/>
      </c>
    </row>
    <row r="1714" spans="1:7" ht="12.4" customHeight="1">
      <c r="A1714" s="247"/>
      <c r="B1714" s="243"/>
      <c r="C1714" s="137" t="str">
        <v>Science</v>
      </c>
      <c r="D1714" s="138">
        <v>10</v>
      </c>
      <c r="E1714" s="139" t="str">
        <v/>
      </c>
      <c r="F1714" s="140" t="str">
        <f t="shared" si="100"/>
        <v/>
      </c>
    </row>
    <row r="1715" spans="1:7" ht="12.4" customHeight="1">
      <c r="A1715" s="247"/>
      <c r="B1715" s="244"/>
      <c r="C1715" s="141" t="str">
        <v>Tracing</v>
      </c>
      <c r="D1715" s="142">
        <v>10</v>
      </c>
      <c r="E1715" s="143" t="str">
        <v/>
      </c>
      <c r="F1715" s="144" t="str">
        <f t="shared" si="100"/>
        <v/>
      </c>
    </row>
    <row r="1716" spans="1:7" ht="12.4" customHeight="1">
      <c r="A1716" s="248"/>
      <c r="B1716" s="240" t="s">
        <v>133</v>
      </c>
      <c r="C1716" s="241"/>
      <c r="D1716" s="103">
        <f>D1705*20%+SUM(D1706:D1715)*80%</f>
        <v>100</v>
      </c>
      <c r="E1716" s="110" t="str">
        <v/>
      </c>
      <c r="F1716" s="104" t="str">
        <f t="shared" si="100"/>
        <v/>
      </c>
    </row>
    <row r="1718" spans="1:7" ht="12.4" customHeight="1">
      <c r="A1718" s="230" t="s">
        <v>121</v>
      </c>
      <c r="B1718" s="231"/>
      <c r="C1718" s="231"/>
      <c r="D1718" s="107" t="s">
        <v>123</v>
      </c>
      <c r="E1718" s="232" t="str">
        <f>I126</f>
        <v/>
      </c>
      <c r="F1718" s="233"/>
      <c r="G1718" s="101">
        <v>126</v>
      </c>
    </row>
    <row r="1719" spans="1:7" ht="12.4" customHeight="1">
      <c r="A1719" s="105" t="s">
        <v>122</v>
      </c>
      <c r="B1719" s="235" t="str">
        <f>$K$110</f>
        <v>FEBRUARY - JULY 2026</v>
      </c>
      <c r="C1719" s="235"/>
      <c r="D1719" s="106" t="s">
        <v>124</v>
      </c>
      <c r="E1719" s="235" t="str">
        <f>$I$110</f>
        <v/>
      </c>
      <c r="F1719" s="236"/>
    </row>
    <row r="1720" spans="1:7" ht="12.4" customHeight="1">
      <c r="A1720" s="237" t="s">
        <v>130</v>
      </c>
      <c r="B1720" s="238"/>
      <c r="C1720" s="238"/>
      <c r="D1720" s="238"/>
      <c r="E1720" s="238"/>
      <c r="F1720" s="239"/>
    </row>
    <row r="1721" spans="1:7" ht="12.4" customHeight="1">
      <c r="A1721" s="245" t="s">
        <v>14</v>
      </c>
      <c r="B1721" s="240" t="s">
        <v>125</v>
      </c>
      <c r="C1721" s="241"/>
      <c r="D1721" s="102" t="s">
        <v>126</v>
      </c>
      <c r="E1721" s="109" t="s">
        <v>127</v>
      </c>
      <c r="F1721" s="102" t="s">
        <v>128</v>
      </c>
    </row>
    <row r="1722" spans="1:7" ht="12.4" customHeight="1">
      <c r="A1722" s="246"/>
      <c r="B1722" s="240" t="s">
        <v>129</v>
      </c>
      <c r="C1722" s="241"/>
      <c r="D1722" s="102">
        <v>100</v>
      </c>
      <c r="E1722" s="110" t="str" cm="1">
        <f t="array" ref="E1722:E1733">TRANSPOSE(K126:V126)</f>
        <v/>
      </c>
      <c r="F1722" s="104" t="str">
        <f>IF(E1722="","",IF(E1722&lt;D1722*60%,"Try harder",""))</f>
        <v/>
      </c>
    </row>
    <row r="1723" spans="1:7" ht="12.4" customHeight="1">
      <c r="A1723" s="246"/>
      <c r="B1723" s="242" t="s">
        <v>132</v>
      </c>
      <c r="C1723" s="133" t="str" cm="1">
        <f t="array" ref="C1723:C1732">TRANSPOSE($L$113:$U$113)</f>
        <v>Up-Low C</v>
      </c>
      <c r="D1723" s="134">
        <v>10</v>
      </c>
      <c r="E1723" s="135" t="str">
        <v/>
      </c>
      <c r="F1723" s="136" t="str">
        <f t="shared" ref="F1723:F1733" si="101">IF(E1723="","",IF(E1723&lt;D1723*60%,"Try harder",""))</f>
        <v/>
      </c>
    </row>
    <row r="1724" spans="1:7" ht="12.4" customHeight="1">
      <c r="A1724" s="246"/>
      <c r="B1724" s="243"/>
      <c r="C1724" s="137" t="str">
        <v>Alphabet N</v>
      </c>
      <c r="D1724" s="138">
        <v>10</v>
      </c>
      <c r="E1724" s="139" t="str">
        <v/>
      </c>
      <c r="F1724" s="140" t="str">
        <f t="shared" si="101"/>
        <v/>
      </c>
    </row>
    <row r="1725" spans="1:7" ht="12.4" customHeight="1">
      <c r="A1725" s="246"/>
      <c r="B1725" s="243"/>
      <c r="C1725" s="137" t="str">
        <v>Alphabet S</v>
      </c>
      <c r="D1725" s="138">
        <v>10</v>
      </c>
      <c r="E1725" s="139" t="str">
        <v/>
      </c>
      <c r="F1725" s="140" t="str">
        <f t="shared" si="101"/>
        <v/>
      </c>
    </row>
    <row r="1726" spans="1:7" ht="12.4" customHeight="1">
      <c r="A1726" s="246"/>
      <c r="B1726" s="243"/>
      <c r="C1726" s="137" t="str">
        <v>Vocabulary</v>
      </c>
      <c r="D1726" s="138">
        <v>10</v>
      </c>
      <c r="E1726" s="139" t="str">
        <v/>
      </c>
      <c r="F1726" s="140" t="str">
        <f t="shared" si="101"/>
        <v/>
      </c>
    </row>
    <row r="1727" spans="1:7" ht="12.4" customHeight="1">
      <c r="A1727" s="247" t="s">
        <v>131</v>
      </c>
      <c r="B1727" s="243"/>
      <c r="C1727" s="137" t="str">
        <v>Sprouts</v>
      </c>
      <c r="D1727" s="138">
        <v>10</v>
      </c>
      <c r="E1727" s="139" t="str">
        <v/>
      </c>
      <c r="F1727" s="140" t="str">
        <f t="shared" si="101"/>
        <v/>
      </c>
    </row>
    <row r="1728" spans="1:7" ht="12.4" customHeight="1">
      <c r="A1728" s="247"/>
      <c r="B1728" s="243"/>
      <c r="C1728" s="137" t="str">
        <v>Phonics</v>
      </c>
      <c r="D1728" s="138">
        <v>10</v>
      </c>
      <c r="E1728" s="139" t="str">
        <v/>
      </c>
      <c r="F1728" s="140" t="str">
        <f t="shared" si="101"/>
        <v/>
      </c>
    </row>
    <row r="1729" spans="1:7" ht="12.4" customHeight="1">
      <c r="A1729" s="247"/>
      <c r="B1729" s="243"/>
      <c r="C1729" s="137" t="str">
        <v>Math</v>
      </c>
      <c r="D1729" s="138">
        <v>10</v>
      </c>
      <c r="E1729" s="139" t="str">
        <v/>
      </c>
      <c r="F1729" s="140" t="str">
        <f t="shared" si="101"/>
        <v/>
      </c>
    </row>
    <row r="1730" spans="1:7" ht="12.4" customHeight="1">
      <c r="A1730" s="247"/>
      <c r="B1730" s="243"/>
      <c r="C1730" s="137" t="str">
        <v>Shape</v>
      </c>
      <c r="D1730" s="138">
        <v>10</v>
      </c>
      <c r="E1730" s="139" t="str">
        <v/>
      </c>
      <c r="F1730" s="140" t="str">
        <f t="shared" si="101"/>
        <v/>
      </c>
    </row>
    <row r="1731" spans="1:7" ht="12.4" customHeight="1">
      <c r="A1731" s="247"/>
      <c r="B1731" s="243"/>
      <c r="C1731" s="137" t="str">
        <v>Science</v>
      </c>
      <c r="D1731" s="138">
        <v>10</v>
      </c>
      <c r="E1731" s="139" t="str">
        <v/>
      </c>
      <c r="F1731" s="140" t="str">
        <f t="shared" si="101"/>
        <v/>
      </c>
    </row>
    <row r="1732" spans="1:7" ht="12.4" customHeight="1">
      <c r="A1732" s="247"/>
      <c r="B1732" s="244"/>
      <c r="C1732" s="141" t="str">
        <v>Tracing</v>
      </c>
      <c r="D1732" s="142">
        <v>10</v>
      </c>
      <c r="E1732" s="143" t="str">
        <v/>
      </c>
      <c r="F1732" s="144" t="str">
        <f t="shared" si="101"/>
        <v/>
      </c>
    </row>
    <row r="1733" spans="1:7" ht="12.4" customHeight="1">
      <c r="A1733" s="248"/>
      <c r="B1733" s="240" t="s">
        <v>133</v>
      </c>
      <c r="C1733" s="241"/>
      <c r="D1733" s="103">
        <f>D1722*20%+SUM(D1723:D1732)*80%</f>
        <v>100</v>
      </c>
      <c r="E1733" s="110" t="str">
        <v/>
      </c>
      <c r="F1733" s="104" t="str">
        <f t="shared" si="101"/>
        <v/>
      </c>
    </row>
    <row r="1735" spans="1:7" ht="12.4" customHeight="1">
      <c r="A1735" s="230" t="s">
        <v>121</v>
      </c>
      <c r="B1735" s="231"/>
      <c r="C1735" s="231"/>
      <c r="D1735" s="107" t="s">
        <v>123</v>
      </c>
      <c r="E1735" s="232" t="str">
        <f>I127</f>
        <v/>
      </c>
      <c r="F1735" s="233"/>
      <c r="G1735" s="101">
        <v>127</v>
      </c>
    </row>
    <row r="1736" spans="1:7" ht="12.4" customHeight="1">
      <c r="A1736" s="105" t="s">
        <v>122</v>
      </c>
      <c r="B1736" s="235" t="str">
        <f>$K$110</f>
        <v>FEBRUARY - JULY 2026</v>
      </c>
      <c r="C1736" s="235"/>
      <c r="D1736" s="106" t="s">
        <v>124</v>
      </c>
      <c r="E1736" s="235" t="str">
        <f>$I$110</f>
        <v/>
      </c>
      <c r="F1736" s="236"/>
    </row>
    <row r="1737" spans="1:7" ht="12.4" customHeight="1">
      <c r="A1737" s="237" t="s">
        <v>130</v>
      </c>
      <c r="B1737" s="238"/>
      <c r="C1737" s="238"/>
      <c r="D1737" s="238"/>
      <c r="E1737" s="238"/>
      <c r="F1737" s="239"/>
    </row>
    <row r="1738" spans="1:7" ht="12.4" customHeight="1">
      <c r="A1738" s="245" t="s">
        <v>14</v>
      </c>
      <c r="B1738" s="240" t="s">
        <v>125</v>
      </c>
      <c r="C1738" s="241"/>
      <c r="D1738" s="102" t="s">
        <v>126</v>
      </c>
      <c r="E1738" s="109" t="s">
        <v>127</v>
      </c>
      <c r="F1738" s="102" t="s">
        <v>128</v>
      </c>
    </row>
    <row r="1739" spans="1:7" ht="12.4" customHeight="1">
      <c r="A1739" s="246"/>
      <c r="B1739" s="240" t="s">
        <v>129</v>
      </c>
      <c r="C1739" s="241"/>
      <c r="D1739" s="102">
        <v>100</v>
      </c>
      <c r="E1739" s="110" t="str" cm="1">
        <f t="array" ref="E1739:E1750">TRANSPOSE(K127:V127)</f>
        <v/>
      </c>
      <c r="F1739" s="104" t="str">
        <f>IF(E1739="","",IF(E1739&lt;D1739*60%,"Try harder",""))</f>
        <v/>
      </c>
    </row>
    <row r="1740" spans="1:7" ht="12.4" customHeight="1">
      <c r="A1740" s="246"/>
      <c r="B1740" s="242" t="s">
        <v>132</v>
      </c>
      <c r="C1740" s="133" t="str" cm="1">
        <f t="array" ref="C1740:C1749">TRANSPOSE($L$113:$U$113)</f>
        <v>Up-Low C</v>
      </c>
      <c r="D1740" s="134">
        <v>10</v>
      </c>
      <c r="E1740" s="135" t="str">
        <v/>
      </c>
      <c r="F1740" s="136" t="str">
        <f t="shared" ref="F1740:F1750" si="102">IF(E1740="","",IF(E1740&lt;D1740*60%,"Try harder",""))</f>
        <v/>
      </c>
    </row>
    <row r="1741" spans="1:7" ht="12.4" customHeight="1">
      <c r="A1741" s="246"/>
      <c r="B1741" s="243"/>
      <c r="C1741" s="137" t="str">
        <v>Alphabet N</v>
      </c>
      <c r="D1741" s="138">
        <v>10</v>
      </c>
      <c r="E1741" s="139" t="str">
        <v/>
      </c>
      <c r="F1741" s="140" t="str">
        <f t="shared" si="102"/>
        <v/>
      </c>
    </row>
    <row r="1742" spans="1:7" ht="12.4" customHeight="1">
      <c r="A1742" s="246"/>
      <c r="B1742" s="243"/>
      <c r="C1742" s="137" t="str">
        <v>Alphabet S</v>
      </c>
      <c r="D1742" s="138">
        <v>10</v>
      </c>
      <c r="E1742" s="139" t="str">
        <v/>
      </c>
      <c r="F1742" s="140" t="str">
        <f t="shared" si="102"/>
        <v/>
      </c>
    </row>
    <row r="1743" spans="1:7" ht="12.4" customHeight="1">
      <c r="A1743" s="246"/>
      <c r="B1743" s="243"/>
      <c r="C1743" s="137" t="str">
        <v>Vocabulary</v>
      </c>
      <c r="D1743" s="138">
        <v>10</v>
      </c>
      <c r="E1743" s="139" t="str">
        <v/>
      </c>
      <c r="F1743" s="140" t="str">
        <f t="shared" si="102"/>
        <v/>
      </c>
    </row>
    <row r="1744" spans="1:7" ht="12.4" customHeight="1">
      <c r="A1744" s="247" t="s">
        <v>131</v>
      </c>
      <c r="B1744" s="243"/>
      <c r="C1744" s="137" t="str">
        <v>Sprouts</v>
      </c>
      <c r="D1744" s="138">
        <v>10</v>
      </c>
      <c r="E1744" s="139" t="str">
        <v/>
      </c>
      <c r="F1744" s="140" t="str">
        <f t="shared" si="102"/>
        <v/>
      </c>
    </row>
    <row r="1745" spans="1:7" ht="12.4" customHeight="1">
      <c r="A1745" s="247"/>
      <c r="B1745" s="243"/>
      <c r="C1745" s="137" t="str">
        <v>Phonics</v>
      </c>
      <c r="D1745" s="138">
        <v>10</v>
      </c>
      <c r="E1745" s="139" t="str">
        <v/>
      </c>
      <c r="F1745" s="140" t="str">
        <f t="shared" si="102"/>
        <v/>
      </c>
    </row>
    <row r="1746" spans="1:7" ht="12.4" customHeight="1">
      <c r="A1746" s="247"/>
      <c r="B1746" s="243"/>
      <c r="C1746" s="137" t="str">
        <v>Math</v>
      </c>
      <c r="D1746" s="138">
        <v>10</v>
      </c>
      <c r="E1746" s="139" t="str">
        <v/>
      </c>
      <c r="F1746" s="140" t="str">
        <f t="shared" si="102"/>
        <v/>
      </c>
    </row>
    <row r="1747" spans="1:7" ht="12.4" customHeight="1">
      <c r="A1747" s="247"/>
      <c r="B1747" s="243"/>
      <c r="C1747" s="137" t="str">
        <v>Shape</v>
      </c>
      <c r="D1747" s="138">
        <v>10</v>
      </c>
      <c r="E1747" s="139" t="str">
        <v/>
      </c>
      <c r="F1747" s="140" t="str">
        <f t="shared" si="102"/>
        <v/>
      </c>
    </row>
    <row r="1748" spans="1:7" ht="12.4" customHeight="1">
      <c r="A1748" s="247"/>
      <c r="B1748" s="243"/>
      <c r="C1748" s="137" t="str">
        <v>Science</v>
      </c>
      <c r="D1748" s="138">
        <v>10</v>
      </c>
      <c r="E1748" s="139" t="str">
        <v/>
      </c>
      <c r="F1748" s="140" t="str">
        <f t="shared" si="102"/>
        <v/>
      </c>
    </row>
    <row r="1749" spans="1:7" ht="12.4" customHeight="1">
      <c r="A1749" s="247"/>
      <c r="B1749" s="244"/>
      <c r="C1749" s="141" t="str">
        <v>Tracing</v>
      </c>
      <c r="D1749" s="142">
        <v>10</v>
      </c>
      <c r="E1749" s="143" t="str">
        <v/>
      </c>
      <c r="F1749" s="144" t="str">
        <f t="shared" si="102"/>
        <v/>
      </c>
    </row>
    <row r="1750" spans="1:7" ht="12.4" customHeight="1">
      <c r="A1750" s="248"/>
      <c r="B1750" s="240" t="s">
        <v>133</v>
      </c>
      <c r="C1750" s="241"/>
      <c r="D1750" s="103">
        <f>D1739*20%+SUM(D1740:D1749)*80%</f>
        <v>100</v>
      </c>
      <c r="E1750" s="110" t="str">
        <v/>
      </c>
      <c r="F1750" s="104" t="str">
        <f t="shared" si="102"/>
        <v/>
      </c>
    </row>
    <row r="1752" spans="1:7" ht="12.4" customHeight="1">
      <c r="A1752" s="230" t="s">
        <v>121</v>
      </c>
      <c r="B1752" s="231"/>
      <c r="C1752" s="231"/>
      <c r="D1752" s="107" t="s">
        <v>123</v>
      </c>
      <c r="E1752" s="232" t="str">
        <f>I128</f>
        <v/>
      </c>
      <c r="F1752" s="233"/>
      <c r="G1752" s="101">
        <v>128</v>
      </c>
    </row>
    <row r="1753" spans="1:7" ht="12.4" customHeight="1">
      <c r="A1753" s="105" t="s">
        <v>122</v>
      </c>
      <c r="B1753" s="235" t="str">
        <f>$K$110</f>
        <v>FEBRUARY - JULY 2026</v>
      </c>
      <c r="C1753" s="235"/>
      <c r="D1753" s="106" t="s">
        <v>124</v>
      </c>
      <c r="E1753" s="235" t="str">
        <f>$I$110</f>
        <v/>
      </c>
      <c r="F1753" s="236"/>
    </row>
    <row r="1754" spans="1:7" ht="12.4" customHeight="1">
      <c r="A1754" s="237" t="s">
        <v>130</v>
      </c>
      <c r="B1754" s="238"/>
      <c r="C1754" s="238"/>
      <c r="D1754" s="238"/>
      <c r="E1754" s="238"/>
      <c r="F1754" s="239"/>
    </row>
    <row r="1755" spans="1:7" ht="12.4" customHeight="1">
      <c r="A1755" s="245" t="s">
        <v>14</v>
      </c>
      <c r="B1755" s="240" t="s">
        <v>125</v>
      </c>
      <c r="C1755" s="241"/>
      <c r="D1755" s="102" t="s">
        <v>126</v>
      </c>
      <c r="E1755" s="109" t="s">
        <v>127</v>
      </c>
      <c r="F1755" s="102" t="s">
        <v>128</v>
      </c>
    </row>
    <row r="1756" spans="1:7" ht="12.4" customHeight="1">
      <c r="A1756" s="246"/>
      <c r="B1756" s="240" t="s">
        <v>129</v>
      </c>
      <c r="C1756" s="241"/>
      <c r="D1756" s="102">
        <v>100</v>
      </c>
      <c r="E1756" s="110" t="str" cm="1">
        <f t="array" ref="E1756:E1767">TRANSPOSE(K128:V128)</f>
        <v/>
      </c>
      <c r="F1756" s="104" t="str">
        <f>IF(E1756="","",IF(E1756&lt;D1756*60%,"Try harder",""))</f>
        <v/>
      </c>
    </row>
    <row r="1757" spans="1:7" ht="12.4" customHeight="1">
      <c r="A1757" s="246"/>
      <c r="B1757" s="242" t="s">
        <v>132</v>
      </c>
      <c r="C1757" s="133" t="str" cm="1">
        <f t="array" ref="C1757:C1766">TRANSPOSE($L$113:$U$113)</f>
        <v>Up-Low C</v>
      </c>
      <c r="D1757" s="134">
        <v>10</v>
      </c>
      <c r="E1757" s="135" t="str">
        <v/>
      </c>
      <c r="F1757" s="136" t="str">
        <f t="shared" ref="F1757:F1767" si="103">IF(E1757="","",IF(E1757&lt;D1757*60%,"Try harder",""))</f>
        <v/>
      </c>
    </row>
    <row r="1758" spans="1:7" ht="12.4" customHeight="1">
      <c r="A1758" s="246"/>
      <c r="B1758" s="243"/>
      <c r="C1758" s="137" t="str">
        <v>Alphabet N</v>
      </c>
      <c r="D1758" s="138">
        <v>10</v>
      </c>
      <c r="E1758" s="139" t="str">
        <v/>
      </c>
      <c r="F1758" s="140" t="str">
        <f t="shared" si="103"/>
        <v/>
      </c>
    </row>
    <row r="1759" spans="1:7" ht="12.4" customHeight="1">
      <c r="A1759" s="246"/>
      <c r="B1759" s="243"/>
      <c r="C1759" s="137" t="str">
        <v>Alphabet S</v>
      </c>
      <c r="D1759" s="138">
        <v>10</v>
      </c>
      <c r="E1759" s="139" t="str">
        <v/>
      </c>
      <c r="F1759" s="140" t="str">
        <f t="shared" si="103"/>
        <v/>
      </c>
    </row>
    <row r="1760" spans="1:7" ht="12.4" customHeight="1">
      <c r="A1760" s="246"/>
      <c r="B1760" s="243"/>
      <c r="C1760" s="137" t="str">
        <v>Vocabulary</v>
      </c>
      <c r="D1760" s="138">
        <v>10</v>
      </c>
      <c r="E1760" s="139" t="str">
        <v/>
      </c>
      <c r="F1760" s="140" t="str">
        <f t="shared" si="103"/>
        <v/>
      </c>
    </row>
    <row r="1761" spans="1:7" ht="12.4" customHeight="1">
      <c r="A1761" s="247" t="s">
        <v>131</v>
      </c>
      <c r="B1761" s="243"/>
      <c r="C1761" s="137" t="str">
        <v>Sprouts</v>
      </c>
      <c r="D1761" s="138">
        <v>10</v>
      </c>
      <c r="E1761" s="139" t="str">
        <v/>
      </c>
      <c r="F1761" s="140" t="str">
        <f t="shared" si="103"/>
        <v/>
      </c>
    </row>
    <row r="1762" spans="1:7" ht="12.4" customHeight="1">
      <c r="A1762" s="247"/>
      <c r="B1762" s="243"/>
      <c r="C1762" s="137" t="str">
        <v>Phonics</v>
      </c>
      <c r="D1762" s="138">
        <v>10</v>
      </c>
      <c r="E1762" s="139" t="str">
        <v/>
      </c>
      <c r="F1762" s="140" t="str">
        <f t="shared" si="103"/>
        <v/>
      </c>
    </row>
    <row r="1763" spans="1:7" ht="12.4" customHeight="1">
      <c r="A1763" s="247"/>
      <c r="B1763" s="243"/>
      <c r="C1763" s="137" t="str">
        <v>Math</v>
      </c>
      <c r="D1763" s="138">
        <v>10</v>
      </c>
      <c r="E1763" s="139" t="str">
        <v/>
      </c>
      <c r="F1763" s="140" t="str">
        <f t="shared" si="103"/>
        <v/>
      </c>
    </row>
    <row r="1764" spans="1:7" ht="12.4" customHeight="1">
      <c r="A1764" s="247"/>
      <c r="B1764" s="243"/>
      <c r="C1764" s="137" t="str">
        <v>Shape</v>
      </c>
      <c r="D1764" s="138">
        <v>10</v>
      </c>
      <c r="E1764" s="139" t="str">
        <v/>
      </c>
      <c r="F1764" s="140" t="str">
        <f t="shared" si="103"/>
        <v/>
      </c>
    </row>
    <row r="1765" spans="1:7" ht="12.4" customHeight="1">
      <c r="A1765" s="247"/>
      <c r="B1765" s="243"/>
      <c r="C1765" s="137" t="str">
        <v>Science</v>
      </c>
      <c r="D1765" s="138">
        <v>10</v>
      </c>
      <c r="E1765" s="139" t="str">
        <v/>
      </c>
      <c r="F1765" s="140" t="str">
        <f t="shared" si="103"/>
        <v/>
      </c>
    </row>
    <row r="1766" spans="1:7" ht="12.4" customHeight="1">
      <c r="A1766" s="247"/>
      <c r="B1766" s="244"/>
      <c r="C1766" s="141" t="str">
        <v>Tracing</v>
      </c>
      <c r="D1766" s="142">
        <v>10</v>
      </c>
      <c r="E1766" s="143" t="str">
        <v/>
      </c>
      <c r="F1766" s="144" t="str">
        <f t="shared" si="103"/>
        <v/>
      </c>
    </row>
    <row r="1767" spans="1:7" ht="12.4" customHeight="1">
      <c r="A1767" s="248"/>
      <c r="B1767" s="240" t="s">
        <v>133</v>
      </c>
      <c r="C1767" s="241"/>
      <c r="D1767" s="103">
        <f>D1756*20%+SUM(D1757:D1766)*80%</f>
        <v>100</v>
      </c>
      <c r="E1767" s="110" t="str">
        <v/>
      </c>
      <c r="F1767" s="104" t="str">
        <f t="shared" si="103"/>
        <v/>
      </c>
    </row>
    <row r="1769" spans="1:7" ht="12.4" customHeight="1">
      <c r="A1769" s="230" t="s">
        <v>121</v>
      </c>
      <c r="B1769" s="231"/>
      <c r="C1769" s="231"/>
      <c r="D1769" s="107" t="s">
        <v>123</v>
      </c>
      <c r="E1769" s="232" t="str">
        <f>I129</f>
        <v/>
      </c>
      <c r="F1769" s="233"/>
      <c r="G1769" s="101">
        <v>129</v>
      </c>
    </row>
    <row r="1770" spans="1:7" ht="12.4" customHeight="1">
      <c r="A1770" s="105" t="s">
        <v>122</v>
      </c>
      <c r="B1770" s="235" t="str">
        <f>$K$110</f>
        <v>FEBRUARY - JULY 2026</v>
      </c>
      <c r="C1770" s="235"/>
      <c r="D1770" s="106" t="s">
        <v>124</v>
      </c>
      <c r="E1770" s="235" t="str">
        <f>$I$110</f>
        <v/>
      </c>
      <c r="F1770" s="236"/>
    </row>
    <row r="1771" spans="1:7" ht="12.4" customHeight="1">
      <c r="A1771" s="237" t="s">
        <v>130</v>
      </c>
      <c r="B1771" s="238"/>
      <c r="C1771" s="238"/>
      <c r="D1771" s="238"/>
      <c r="E1771" s="238"/>
      <c r="F1771" s="239"/>
    </row>
    <row r="1772" spans="1:7" ht="12.4" customHeight="1">
      <c r="A1772" s="245" t="s">
        <v>14</v>
      </c>
      <c r="B1772" s="240" t="s">
        <v>125</v>
      </c>
      <c r="C1772" s="241"/>
      <c r="D1772" s="102" t="s">
        <v>126</v>
      </c>
      <c r="E1772" s="109" t="s">
        <v>127</v>
      </c>
      <c r="F1772" s="102" t="s">
        <v>128</v>
      </c>
    </row>
    <row r="1773" spans="1:7" ht="12.4" customHeight="1">
      <c r="A1773" s="246"/>
      <c r="B1773" s="240" t="s">
        <v>129</v>
      </c>
      <c r="C1773" s="241"/>
      <c r="D1773" s="102">
        <v>100</v>
      </c>
      <c r="E1773" s="110" t="str" cm="1">
        <f t="array" ref="E1773:E1784">TRANSPOSE(K129:V129)</f>
        <v/>
      </c>
      <c r="F1773" s="104" t="str">
        <f>IF(E1773="","",IF(E1773&lt;D1773*60%,"Try harder",""))</f>
        <v/>
      </c>
    </row>
    <row r="1774" spans="1:7" ht="12.4" customHeight="1">
      <c r="A1774" s="246"/>
      <c r="B1774" s="242" t="s">
        <v>132</v>
      </c>
      <c r="C1774" s="133" t="str" cm="1">
        <f t="array" ref="C1774:C1783">TRANSPOSE($L$113:$U$113)</f>
        <v>Up-Low C</v>
      </c>
      <c r="D1774" s="134">
        <v>10</v>
      </c>
      <c r="E1774" s="135" t="str">
        <v/>
      </c>
      <c r="F1774" s="136" t="str">
        <f t="shared" ref="F1774:F1784" si="104">IF(E1774="","",IF(E1774&lt;D1774*60%,"Try harder",""))</f>
        <v/>
      </c>
    </row>
    <row r="1775" spans="1:7" ht="12.4" customHeight="1">
      <c r="A1775" s="246"/>
      <c r="B1775" s="243"/>
      <c r="C1775" s="137" t="str">
        <v>Alphabet N</v>
      </c>
      <c r="D1775" s="138">
        <v>10</v>
      </c>
      <c r="E1775" s="139" t="str">
        <v/>
      </c>
      <c r="F1775" s="140" t="str">
        <f t="shared" si="104"/>
        <v/>
      </c>
    </row>
    <row r="1776" spans="1:7" ht="12.4" customHeight="1">
      <c r="A1776" s="246"/>
      <c r="B1776" s="243"/>
      <c r="C1776" s="137" t="str">
        <v>Alphabet S</v>
      </c>
      <c r="D1776" s="138">
        <v>10</v>
      </c>
      <c r="E1776" s="139" t="str">
        <v/>
      </c>
      <c r="F1776" s="140" t="str">
        <f t="shared" si="104"/>
        <v/>
      </c>
    </row>
    <row r="1777" spans="1:7" ht="12.4" customHeight="1">
      <c r="A1777" s="246"/>
      <c r="B1777" s="243"/>
      <c r="C1777" s="137" t="str">
        <v>Vocabulary</v>
      </c>
      <c r="D1777" s="138">
        <v>10</v>
      </c>
      <c r="E1777" s="139" t="str">
        <v/>
      </c>
      <c r="F1777" s="140" t="str">
        <f t="shared" si="104"/>
        <v/>
      </c>
    </row>
    <row r="1778" spans="1:7" ht="12.4" customHeight="1">
      <c r="A1778" s="247" t="s">
        <v>131</v>
      </c>
      <c r="B1778" s="243"/>
      <c r="C1778" s="137" t="str">
        <v>Sprouts</v>
      </c>
      <c r="D1778" s="138">
        <v>10</v>
      </c>
      <c r="E1778" s="139" t="str">
        <v/>
      </c>
      <c r="F1778" s="140" t="str">
        <f t="shared" si="104"/>
        <v/>
      </c>
    </row>
    <row r="1779" spans="1:7" ht="12.4" customHeight="1">
      <c r="A1779" s="247"/>
      <c r="B1779" s="243"/>
      <c r="C1779" s="137" t="str">
        <v>Phonics</v>
      </c>
      <c r="D1779" s="138">
        <v>10</v>
      </c>
      <c r="E1779" s="139" t="str">
        <v/>
      </c>
      <c r="F1779" s="140" t="str">
        <f t="shared" si="104"/>
        <v/>
      </c>
    </row>
    <row r="1780" spans="1:7" ht="12.4" customHeight="1">
      <c r="A1780" s="247"/>
      <c r="B1780" s="243"/>
      <c r="C1780" s="137" t="str">
        <v>Math</v>
      </c>
      <c r="D1780" s="138">
        <v>10</v>
      </c>
      <c r="E1780" s="139" t="str">
        <v/>
      </c>
      <c r="F1780" s="140" t="str">
        <f t="shared" si="104"/>
        <v/>
      </c>
    </row>
    <row r="1781" spans="1:7" ht="12.4" customHeight="1">
      <c r="A1781" s="247"/>
      <c r="B1781" s="243"/>
      <c r="C1781" s="137" t="str">
        <v>Shape</v>
      </c>
      <c r="D1781" s="138">
        <v>10</v>
      </c>
      <c r="E1781" s="139" t="str">
        <v/>
      </c>
      <c r="F1781" s="140" t="str">
        <f t="shared" si="104"/>
        <v/>
      </c>
    </row>
    <row r="1782" spans="1:7" ht="12.4" customHeight="1">
      <c r="A1782" s="247"/>
      <c r="B1782" s="243"/>
      <c r="C1782" s="137" t="str">
        <v>Science</v>
      </c>
      <c r="D1782" s="138">
        <v>10</v>
      </c>
      <c r="E1782" s="139" t="str">
        <v/>
      </c>
      <c r="F1782" s="140" t="str">
        <f t="shared" si="104"/>
        <v/>
      </c>
    </row>
    <row r="1783" spans="1:7" ht="12.4" customHeight="1">
      <c r="A1783" s="247"/>
      <c r="B1783" s="244"/>
      <c r="C1783" s="141" t="str">
        <v>Tracing</v>
      </c>
      <c r="D1783" s="142">
        <v>10</v>
      </c>
      <c r="E1783" s="143" t="str">
        <v/>
      </c>
      <c r="F1783" s="144" t="str">
        <f t="shared" si="104"/>
        <v/>
      </c>
    </row>
    <row r="1784" spans="1:7" ht="12.4" customHeight="1">
      <c r="A1784" s="248"/>
      <c r="B1784" s="240" t="s">
        <v>133</v>
      </c>
      <c r="C1784" s="241"/>
      <c r="D1784" s="103">
        <f>D1773*20%+SUM(D1774:D1783)*80%</f>
        <v>100</v>
      </c>
      <c r="E1784" s="110" t="str">
        <v/>
      </c>
      <c r="F1784" s="104" t="str">
        <f t="shared" si="104"/>
        <v/>
      </c>
    </row>
    <row r="1786" spans="1:7" ht="12.4" customHeight="1">
      <c r="A1786" s="230" t="s">
        <v>121</v>
      </c>
      <c r="B1786" s="231"/>
      <c r="C1786" s="231"/>
      <c r="D1786" s="107" t="s">
        <v>123</v>
      </c>
      <c r="E1786" s="232" t="str">
        <f>I130</f>
        <v/>
      </c>
      <c r="F1786" s="233"/>
      <c r="G1786" s="101">
        <v>130</v>
      </c>
    </row>
    <row r="1787" spans="1:7" ht="12.4" customHeight="1">
      <c r="A1787" s="105" t="s">
        <v>122</v>
      </c>
      <c r="B1787" s="235" t="str">
        <f>$K$110</f>
        <v>FEBRUARY - JULY 2026</v>
      </c>
      <c r="C1787" s="235"/>
      <c r="D1787" s="106" t="s">
        <v>124</v>
      </c>
      <c r="E1787" s="235" t="str">
        <f>$I$110</f>
        <v/>
      </c>
      <c r="F1787" s="236"/>
    </row>
    <row r="1788" spans="1:7" ht="12.4" customHeight="1">
      <c r="A1788" s="237" t="s">
        <v>130</v>
      </c>
      <c r="B1788" s="238"/>
      <c r="C1788" s="238"/>
      <c r="D1788" s="238"/>
      <c r="E1788" s="238"/>
      <c r="F1788" s="239"/>
    </row>
    <row r="1789" spans="1:7" ht="12.4" customHeight="1">
      <c r="A1789" s="245" t="s">
        <v>14</v>
      </c>
      <c r="B1789" s="240" t="s">
        <v>125</v>
      </c>
      <c r="C1789" s="241"/>
      <c r="D1789" s="102" t="s">
        <v>126</v>
      </c>
      <c r="E1789" s="109" t="s">
        <v>127</v>
      </c>
      <c r="F1789" s="102" t="s">
        <v>128</v>
      </c>
    </row>
    <row r="1790" spans="1:7" ht="12.4" customHeight="1">
      <c r="A1790" s="246"/>
      <c r="B1790" s="240" t="s">
        <v>129</v>
      </c>
      <c r="C1790" s="241"/>
      <c r="D1790" s="102">
        <v>100</v>
      </c>
      <c r="E1790" s="110" t="str" cm="1">
        <f t="array" ref="E1790:E1801">TRANSPOSE(K130:V130)</f>
        <v/>
      </c>
      <c r="F1790" s="104" t="str">
        <f>IF(E1790="","",IF(E1790&lt;D1790*60%,"Try harder",""))</f>
        <v/>
      </c>
    </row>
    <row r="1791" spans="1:7" ht="12.4" customHeight="1">
      <c r="A1791" s="246"/>
      <c r="B1791" s="242" t="s">
        <v>132</v>
      </c>
      <c r="C1791" s="133" t="str" cm="1">
        <f t="array" ref="C1791:C1800">TRANSPOSE($L$113:$U$113)</f>
        <v>Up-Low C</v>
      </c>
      <c r="D1791" s="134">
        <v>10</v>
      </c>
      <c r="E1791" s="135" t="str">
        <v/>
      </c>
      <c r="F1791" s="136" t="str">
        <f t="shared" ref="F1791:F1801" si="105">IF(E1791="","",IF(E1791&lt;D1791*60%,"Try harder",""))</f>
        <v/>
      </c>
    </row>
    <row r="1792" spans="1:7" ht="12.4" customHeight="1">
      <c r="A1792" s="246"/>
      <c r="B1792" s="243"/>
      <c r="C1792" s="137" t="str">
        <v>Alphabet N</v>
      </c>
      <c r="D1792" s="138">
        <v>10</v>
      </c>
      <c r="E1792" s="139" t="str">
        <v/>
      </c>
      <c r="F1792" s="140" t="str">
        <f t="shared" si="105"/>
        <v/>
      </c>
    </row>
    <row r="1793" spans="1:7" ht="12.4" customHeight="1">
      <c r="A1793" s="246"/>
      <c r="B1793" s="243"/>
      <c r="C1793" s="137" t="str">
        <v>Alphabet S</v>
      </c>
      <c r="D1793" s="138">
        <v>10</v>
      </c>
      <c r="E1793" s="139" t="str">
        <v/>
      </c>
      <c r="F1793" s="140" t="str">
        <f t="shared" si="105"/>
        <v/>
      </c>
    </row>
    <row r="1794" spans="1:7" ht="12.4" customHeight="1">
      <c r="A1794" s="246"/>
      <c r="B1794" s="243"/>
      <c r="C1794" s="137" t="str">
        <v>Vocabulary</v>
      </c>
      <c r="D1794" s="138">
        <v>10</v>
      </c>
      <c r="E1794" s="139" t="str">
        <v/>
      </c>
      <c r="F1794" s="140" t="str">
        <f t="shared" si="105"/>
        <v/>
      </c>
    </row>
    <row r="1795" spans="1:7" ht="12.4" customHeight="1">
      <c r="A1795" s="247" t="s">
        <v>131</v>
      </c>
      <c r="B1795" s="243"/>
      <c r="C1795" s="137" t="str">
        <v>Sprouts</v>
      </c>
      <c r="D1795" s="138">
        <v>10</v>
      </c>
      <c r="E1795" s="139" t="str">
        <v/>
      </c>
      <c r="F1795" s="140" t="str">
        <f t="shared" si="105"/>
        <v/>
      </c>
    </row>
    <row r="1796" spans="1:7" ht="12.4" customHeight="1">
      <c r="A1796" s="247"/>
      <c r="B1796" s="243"/>
      <c r="C1796" s="137" t="str">
        <v>Phonics</v>
      </c>
      <c r="D1796" s="138">
        <v>10</v>
      </c>
      <c r="E1796" s="139" t="str">
        <v/>
      </c>
      <c r="F1796" s="140" t="str">
        <f t="shared" si="105"/>
        <v/>
      </c>
    </row>
    <row r="1797" spans="1:7" ht="12.4" customHeight="1">
      <c r="A1797" s="247"/>
      <c r="B1797" s="243"/>
      <c r="C1797" s="137" t="str">
        <v>Math</v>
      </c>
      <c r="D1797" s="138">
        <v>10</v>
      </c>
      <c r="E1797" s="139" t="str">
        <v/>
      </c>
      <c r="F1797" s="140" t="str">
        <f t="shared" si="105"/>
        <v/>
      </c>
    </row>
    <row r="1798" spans="1:7" ht="12.4" customHeight="1">
      <c r="A1798" s="247"/>
      <c r="B1798" s="243"/>
      <c r="C1798" s="137" t="str">
        <v>Shape</v>
      </c>
      <c r="D1798" s="138">
        <v>10</v>
      </c>
      <c r="E1798" s="139" t="str">
        <v/>
      </c>
      <c r="F1798" s="140" t="str">
        <f t="shared" si="105"/>
        <v/>
      </c>
    </row>
    <row r="1799" spans="1:7" ht="12.4" customHeight="1">
      <c r="A1799" s="247"/>
      <c r="B1799" s="243"/>
      <c r="C1799" s="137" t="str">
        <v>Science</v>
      </c>
      <c r="D1799" s="138">
        <v>10</v>
      </c>
      <c r="E1799" s="139" t="str">
        <v/>
      </c>
      <c r="F1799" s="140" t="str">
        <f t="shared" si="105"/>
        <v/>
      </c>
    </row>
    <row r="1800" spans="1:7" ht="12.4" customHeight="1">
      <c r="A1800" s="247"/>
      <c r="B1800" s="244"/>
      <c r="C1800" s="141" t="str">
        <v>Tracing</v>
      </c>
      <c r="D1800" s="142">
        <v>10</v>
      </c>
      <c r="E1800" s="143" t="str">
        <v/>
      </c>
      <c r="F1800" s="144" t="str">
        <f t="shared" si="105"/>
        <v/>
      </c>
    </row>
    <row r="1801" spans="1:7" ht="12.4" customHeight="1">
      <c r="A1801" s="248"/>
      <c r="B1801" s="240" t="s">
        <v>133</v>
      </c>
      <c r="C1801" s="241"/>
      <c r="D1801" s="103">
        <f>D1790*20%+SUM(D1791:D1800)*80%</f>
        <v>100</v>
      </c>
      <c r="E1801" s="110" t="str">
        <v/>
      </c>
      <c r="F1801" s="104" t="str">
        <f t="shared" si="105"/>
        <v/>
      </c>
    </row>
    <row r="1803" spans="1:7" ht="12.4" customHeight="1">
      <c r="A1803" s="230" t="s">
        <v>121</v>
      </c>
      <c r="B1803" s="231"/>
      <c r="C1803" s="231"/>
      <c r="D1803" s="107" t="s">
        <v>123</v>
      </c>
      <c r="E1803" s="232" t="str">
        <f>I131</f>
        <v/>
      </c>
      <c r="F1803" s="233"/>
      <c r="G1803" s="101">
        <v>131</v>
      </c>
    </row>
    <row r="1804" spans="1:7" ht="12.4" customHeight="1">
      <c r="A1804" s="105" t="s">
        <v>122</v>
      </c>
      <c r="B1804" s="235" t="str">
        <f>$K$110</f>
        <v>FEBRUARY - JULY 2026</v>
      </c>
      <c r="C1804" s="235"/>
      <c r="D1804" s="106" t="s">
        <v>124</v>
      </c>
      <c r="E1804" s="235" t="str">
        <f>$I$110</f>
        <v/>
      </c>
      <c r="F1804" s="236"/>
    </row>
    <row r="1805" spans="1:7" ht="12.4" customHeight="1">
      <c r="A1805" s="237" t="s">
        <v>130</v>
      </c>
      <c r="B1805" s="238"/>
      <c r="C1805" s="238"/>
      <c r="D1805" s="238"/>
      <c r="E1805" s="238"/>
      <c r="F1805" s="239"/>
    </row>
    <row r="1806" spans="1:7" ht="12.4" customHeight="1">
      <c r="A1806" s="245" t="s">
        <v>14</v>
      </c>
      <c r="B1806" s="240" t="s">
        <v>125</v>
      </c>
      <c r="C1806" s="241"/>
      <c r="D1806" s="102" t="s">
        <v>126</v>
      </c>
      <c r="E1806" s="109" t="s">
        <v>127</v>
      </c>
      <c r="F1806" s="102" t="s">
        <v>128</v>
      </c>
    </row>
    <row r="1807" spans="1:7" ht="12.4" customHeight="1">
      <c r="A1807" s="246"/>
      <c r="B1807" s="240" t="s">
        <v>129</v>
      </c>
      <c r="C1807" s="241"/>
      <c r="D1807" s="102">
        <v>100</v>
      </c>
      <c r="E1807" s="110" t="str" cm="1">
        <f t="array" ref="E1807:E1818">TRANSPOSE(K131:V131)</f>
        <v/>
      </c>
      <c r="F1807" s="104" t="str">
        <f>IF(E1807="","",IF(E1807&lt;D1807*60%,"Try harder",""))</f>
        <v/>
      </c>
    </row>
    <row r="1808" spans="1:7" ht="12.4" customHeight="1">
      <c r="A1808" s="246"/>
      <c r="B1808" s="242" t="s">
        <v>132</v>
      </c>
      <c r="C1808" s="133" t="str" cm="1">
        <f t="array" ref="C1808:C1817">TRANSPOSE($L$113:$U$113)</f>
        <v>Up-Low C</v>
      </c>
      <c r="D1808" s="134">
        <v>10</v>
      </c>
      <c r="E1808" s="135" t="str">
        <v/>
      </c>
      <c r="F1808" s="136" t="str">
        <f t="shared" ref="F1808:F1818" si="106">IF(E1808="","",IF(E1808&lt;D1808*60%,"Try harder",""))</f>
        <v/>
      </c>
    </row>
    <row r="1809" spans="1:7" ht="12.4" customHeight="1">
      <c r="A1809" s="246"/>
      <c r="B1809" s="243"/>
      <c r="C1809" s="137" t="str">
        <v>Alphabet N</v>
      </c>
      <c r="D1809" s="138">
        <v>10</v>
      </c>
      <c r="E1809" s="139" t="str">
        <v/>
      </c>
      <c r="F1809" s="140" t="str">
        <f t="shared" si="106"/>
        <v/>
      </c>
    </row>
    <row r="1810" spans="1:7" ht="12.4" customHeight="1">
      <c r="A1810" s="246"/>
      <c r="B1810" s="243"/>
      <c r="C1810" s="137" t="str">
        <v>Alphabet S</v>
      </c>
      <c r="D1810" s="138">
        <v>10</v>
      </c>
      <c r="E1810" s="139" t="str">
        <v/>
      </c>
      <c r="F1810" s="140" t="str">
        <f t="shared" si="106"/>
        <v/>
      </c>
    </row>
    <row r="1811" spans="1:7" ht="12.4" customHeight="1">
      <c r="A1811" s="246"/>
      <c r="B1811" s="243"/>
      <c r="C1811" s="137" t="str">
        <v>Vocabulary</v>
      </c>
      <c r="D1811" s="138">
        <v>10</v>
      </c>
      <c r="E1811" s="139" t="str">
        <v/>
      </c>
      <c r="F1811" s="140" t="str">
        <f t="shared" si="106"/>
        <v/>
      </c>
    </row>
    <row r="1812" spans="1:7" ht="12.4" customHeight="1">
      <c r="A1812" s="247" t="s">
        <v>131</v>
      </c>
      <c r="B1812" s="243"/>
      <c r="C1812" s="137" t="str">
        <v>Sprouts</v>
      </c>
      <c r="D1812" s="138">
        <v>10</v>
      </c>
      <c r="E1812" s="139" t="str">
        <v/>
      </c>
      <c r="F1812" s="140" t="str">
        <f t="shared" si="106"/>
        <v/>
      </c>
    </row>
    <row r="1813" spans="1:7" ht="12.4" customHeight="1">
      <c r="A1813" s="247"/>
      <c r="B1813" s="243"/>
      <c r="C1813" s="137" t="str">
        <v>Phonics</v>
      </c>
      <c r="D1813" s="138">
        <v>10</v>
      </c>
      <c r="E1813" s="139" t="str">
        <v/>
      </c>
      <c r="F1813" s="140" t="str">
        <f t="shared" si="106"/>
        <v/>
      </c>
    </row>
    <row r="1814" spans="1:7" ht="12.4" customHeight="1">
      <c r="A1814" s="247"/>
      <c r="B1814" s="243"/>
      <c r="C1814" s="137" t="str">
        <v>Math</v>
      </c>
      <c r="D1814" s="138">
        <v>10</v>
      </c>
      <c r="E1814" s="139" t="str">
        <v/>
      </c>
      <c r="F1814" s="140" t="str">
        <f t="shared" si="106"/>
        <v/>
      </c>
    </row>
    <row r="1815" spans="1:7" ht="12.4" customHeight="1">
      <c r="A1815" s="247"/>
      <c r="B1815" s="243"/>
      <c r="C1815" s="137" t="str">
        <v>Shape</v>
      </c>
      <c r="D1815" s="138">
        <v>10</v>
      </c>
      <c r="E1815" s="139" t="str">
        <v/>
      </c>
      <c r="F1815" s="140" t="str">
        <f t="shared" si="106"/>
        <v/>
      </c>
    </row>
    <row r="1816" spans="1:7" ht="12.4" customHeight="1">
      <c r="A1816" s="247"/>
      <c r="B1816" s="243"/>
      <c r="C1816" s="137" t="str">
        <v>Science</v>
      </c>
      <c r="D1816" s="138">
        <v>10</v>
      </c>
      <c r="E1816" s="139" t="str">
        <v/>
      </c>
      <c r="F1816" s="140" t="str">
        <f t="shared" si="106"/>
        <v/>
      </c>
    </row>
    <row r="1817" spans="1:7" ht="12.4" customHeight="1">
      <c r="A1817" s="247"/>
      <c r="B1817" s="244"/>
      <c r="C1817" s="141" t="str">
        <v>Tracing</v>
      </c>
      <c r="D1817" s="142">
        <v>10</v>
      </c>
      <c r="E1817" s="143" t="str">
        <v/>
      </c>
      <c r="F1817" s="144" t="str">
        <f t="shared" si="106"/>
        <v/>
      </c>
    </row>
    <row r="1818" spans="1:7" ht="12.4" customHeight="1">
      <c r="A1818" s="248"/>
      <c r="B1818" s="240" t="s">
        <v>133</v>
      </c>
      <c r="C1818" s="241"/>
      <c r="D1818" s="103">
        <f>D1807*20%+SUM(D1808:D1817)*80%</f>
        <v>100</v>
      </c>
      <c r="E1818" s="110" t="str">
        <v/>
      </c>
      <c r="F1818" s="104" t="str">
        <f t="shared" si="106"/>
        <v/>
      </c>
    </row>
    <row r="1820" spans="1:7" ht="12.4" customHeight="1">
      <c r="A1820" s="230" t="s">
        <v>121</v>
      </c>
      <c r="B1820" s="231"/>
      <c r="C1820" s="231"/>
      <c r="D1820" s="107" t="s">
        <v>123</v>
      </c>
      <c r="E1820" s="232" t="str">
        <f>I132</f>
        <v/>
      </c>
      <c r="F1820" s="233"/>
      <c r="G1820" s="101">
        <v>132</v>
      </c>
    </row>
    <row r="1821" spans="1:7" ht="12.4" customHeight="1">
      <c r="A1821" s="105" t="s">
        <v>122</v>
      </c>
      <c r="B1821" s="235" t="str">
        <f>$K$110</f>
        <v>FEBRUARY - JULY 2026</v>
      </c>
      <c r="C1821" s="235"/>
      <c r="D1821" s="106" t="s">
        <v>124</v>
      </c>
      <c r="E1821" s="235" t="str">
        <f>$I$110</f>
        <v/>
      </c>
      <c r="F1821" s="236"/>
    </row>
    <row r="1822" spans="1:7" ht="12.4" customHeight="1">
      <c r="A1822" s="237" t="s">
        <v>130</v>
      </c>
      <c r="B1822" s="238"/>
      <c r="C1822" s="238"/>
      <c r="D1822" s="238"/>
      <c r="E1822" s="238"/>
      <c r="F1822" s="239"/>
    </row>
    <row r="1823" spans="1:7" ht="12.4" customHeight="1">
      <c r="A1823" s="245" t="s">
        <v>14</v>
      </c>
      <c r="B1823" s="240" t="s">
        <v>125</v>
      </c>
      <c r="C1823" s="241"/>
      <c r="D1823" s="102" t="s">
        <v>126</v>
      </c>
      <c r="E1823" s="109" t="s">
        <v>127</v>
      </c>
      <c r="F1823" s="102" t="s">
        <v>128</v>
      </c>
    </row>
    <row r="1824" spans="1:7" ht="12.4" customHeight="1">
      <c r="A1824" s="246"/>
      <c r="B1824" s="240" t="s">
        <v>129</v>
      </c>
      <c r="C1824" s="241"/>
      <c r="D1824" s="102">
        <v>100</v>
      </c>
      <c r="E1824" s="110" t="str" cm="1">
        <f t="array" ref="E1824:E1835">TRANSPOSE(K132:V132)</f>
        <v/>
      </c>
      <c r="F1824" s="104" t="str">
        <f>IF(E1824="","",IF(E1824&lt;D1824*60%,"Try harder",""))</f>
        <v/>
      </c>
    </row>
    <row r="1825" spans="1:7" ht="12.4" customHeight="1">
      <c r="A1825" s="246"/>
      <c r="B1825" s="242" t="s">
        <v>132</v>
      </c>
      <c r="C1825" s="133" t="str" cm="1">
        <f t="array" ref="C1825:C1834">TRANSPOSE($L$113:$U$113)</f>
        <v>Up-Low C</v>
      </c>
      <c r="D1825" s="134">
        <v>10</v>
      </c>
      <c r="E1825" s="135" t="str">
        <v/>
      </c>
      <c r="F1825" s="136" t="str">
        <f t="shared" ref="F1825:F1835" si="107">IF(E1825="","",IF(E1825&lt;D1825*60%,"Try harder",""))</f>
        <v/>
      </c>
    </row>
    <row r="1826" spans="1:7" ht="12.4" customHeight="1">
      <c r="A1826" s="246"/>
      <c r="B1826" s="243"/>
      <c r="C1826" s="137" t="str">
        <v>Alphabet N</v>
      </c>
      <c r="D1826" s="138">
        <v>10</v>
      </c>
      <c r="E1826" s="139" t="str">
        <v/>
      </c>
      <c r="F1826" s="140" t="str">
        <f t="shared" si="107"/>
        <v/>
      </c>
    </row>
    <row r="1827" spans="1:7" ht="12.4" customHeight="1">
      <c r="A1827" s="246"/>
      <c r="B1827" s="243"/>
      <c r="C1827" s="137" t="str">
        <v>Alphabet S</v>
      </c>
      <c r="D1827" s="138">
        <v>10</v>
      </c>
      <c r="E1827" s="139" t="str">
        <v/>
      </c>
      <c r="F1827" s="140" t="str">
        <f t="shared" si="107"/>
        <v/>
      </c>
    </row>
    <row r="1828" spans="1:7" ht="12.4" customHeight="1">
      <c r="A1828" s="246"/>
      <c r="B1828" s="243"/>
      <c r="C1828" s="137" t="str">
        <v>Vocabulary</v>
      </c>
      <c r="D1828" s="138">
        <v>10</v>
      </c>
      <c r="E1828" s="139" t="str">
        <v/>
      </c>
      <c r="F1828" s="140" t="str">
        <f t="shared" si="107"/>
        <v/>
      </c>
    </row>
    <row r="1829" spans="1:7" ht="12.4" customHeight="1">
      <c r="A1829" s="247" t="s">
        <v>131</v>
      </c>
      <c r="B1829" s="243"/>
      <c r="C1829" s="137" t="str">
        <v>Sprouts</v>
      </c>
      <c r="D1829" s="138">
        <v>10</v>
      </c>
      <c r="E1829" s="139" t="str">
        <v/>
      </c>
      <c r="F1829" s="140" t="str">
        <f t="shared" si="107"/>
        <v/>
      </c>
    </row>
    <row r="1830" spans="1:7" ht="12.4" customHeight="1">
      <c r="A1830" s="247"/>
      <c r="B1830" s="243"/>
      <c r="C1830" s="137" t="str">
        <v>Phonics</v>
      </c>
      <c r="D1830" s="138">
        <v>10</v>
      </c>
      <c r="E1830" s="139" t="str">
        <v/>
      </c>
      <c r="F1830" s="140" t="str">
        <f t="shared" si="107"/>
        <v/>
      </c>
    </row>
    <row r="1831" spans="1:7" ht="12.4" customHeight="1">
      <c r="A1831" s="247"/>
      <c r="B1831" s="243"/>
      <c r="C1831" s="137" t="str">
        <v>Math</v>
      </c>
      <c r="D1831" s="138">
        <v>10</v>
      </c>
      <c r="E1831" s="139" t="str">
        <v/>
      </c>
      <c r="F1831" s="140" t="str">
        <f t="shared" si="107"/>
        <v/>
      </c>
    </row>
    <row r="1832" spans="1:7" ht="12.4" customHeight="1">
      <c r="A1832" s="247"/>
      <c r="B1832" s="243"/>
      <c r="C1832" s="137" t="str">
        <v>Shape</v>
      </c>
      <c r="D1832" s="138">
        <v>10</v>
      </c>
      <c r="E1832" s="139" t="str">
        <v/>
      </c>
      <c r="F1832" s="140" t="str">
        <f t="shared" si="107"/>
        <v/>
      </c>
    </row>
    <row r="1833" spans="1:7" ht="12.4" customHeight="1">
      <c r="A1833" s="247"/>
      <c r="B1833" s="243"/>
      <c r="C1833" s="137" t="str">
        <v>Science</v>
      </c>
      <c r="D1833" s="138">
        <v>10</v>
      </c>
      <c r="E1833" s="139" t="str">
        <v/>
      </c>
      <c r="F1833" s="140" t="str">
        <f t="shared" si="107"/>
        <v/>
      </c>
    </row>
    <row r="1834" spans="1:7" ht="12.4" customHeight="1">
      <c r="A1834" s="247"/>
      <c r="B1834" s="244"/>
      <c r="C1834" s="141" t="str">
        <v>Tracing</v>
      </c>
      <c r="D1834" s="142">
        <v>10</v>
      </c>
      <c r="E1834" s="143" t="str">
        <v/>
      </c>
      <c r="F1834" s="144" t="str">
        <f t="shared" si="107"/>
        <v/>
      </c>
    </row>
    <row r="1835" spans="1:7" ht="12.4" customHeight="1">
      <c r="A1835" s="248"/>
      <c r="B1835" s="240" t="s">
        <v>133</v>
      </c>
      <c r="C1835" s="241"/>
      <c r="D1835" s="103">
        <f>D1824*20%+SUM(D1825:D1834)*80%</f>
        <v>100</v>
      </c>
      <c r="E1835" s="110" t="str">
        <v/>
      </c>
      <c r="F1835" s="104" t="str">
        <f t="shared" si="107"/>
        <v/>
      </c>
    </row>
    <row r="1837" spans="1:7" ht="12.4" customHeight="1">
      <c r="A1837" s="230" t="s">
        <v>121</v>
      </c>
      <c r="B1837" s="231"/>
      <c r="C1837" s="231"/>
      <c r="D1837" s="107" t="s">
        <v>123</v>
      </c>
      <c r="E1837" s="232" t="str">
        <f>I133</f>
        <v/>
      </c>
      <c r="F1837" s="233"/>
      <c r="G1837" s="101">
        <v>133</v>
      </c>
    </row>
    <row r="1838" spans="1:7" ht="12.4" customHeight="1">
      <c r="A1838" s="105" t="s">
        <v>122</v>
      </c>
      <c r="B1838" s="235" t="str">
        <f>$K$110</f>
        <v>FEBRUARY - JULY 2026</v>
      </c>
      <c r="C1838" s="235"/>
      <c r="D1838" s="106" t="s">
        <v>124</v>
      </c>
      <c r="E1838" s="235" t="str">
        <f>$I$110</f>
        <v/>
      </c>
      <c r="F1838" s="236"/>
    </row>
    <row r="1839" spans="1:7" ht="12.4" customHeight="1">
      <c r="A1839" s="237" t="s">
        <v>130</v>
      </c>
      <c r="B1839" s="238"/>
      <c r="C1839" s="238"/>
      <c r="D1839" s="238"/>
      <c r="E1839" s="238"/>
      <c r="F1839" s="239"/>
    </row>
    <row r="1840" spans="1:7" ht="12.4" customHeight="1">
      <c r="A1840" s="245" t="s">
        <v>14</v>
      </c>
      <c r="B1840" s="240" t="s">
        <v>125</v>
      </c>
      <c r="C1840" s="241"/>
      <c r="D1840" s="102" t="s">
        <v>126</v>
      </c>
      <c r="E1840" s="109" t="s">
        <v>127</v>
      </c>
      <c r="F1840" s="102" t="s">
        <v>128</v>
      </c>
    </row>
    <row r="1841" spans="1:7" ht="12.4" customHeight="1">
      <c r="A1841" s="246"/>
      <c r="B1841" s="240" t="s">
        <v>129</v>
      </c>
      <c r="C1841" s="241"/>
      <c r="D1841" s="102">
        <v>100</v>
      </c>
      <c r="E1841" s="110" t="str" cm="1">
        <f t="array" ref="E1841:E1852">TRANSPOSE(K133:V133)</f>
        <v/>
      </c>
      <c r="F1841" s="104" t="str">
        <f>IF(E1841="","",IF(E1841&lt;D1841*60%,"Try harder",""))</f>
        <v/>
      </c>
    </row>
    <row r="1842" spans="1:7" ht="12.4" customHeight="1">
      <c r="A1842" s="246"/>
      <c r="B1842" s="242" t="s">
        <v>132</v>
      </c>
      <c r="C1842" s="133" t="str" cm="1">
        <f t="array" ref="C1842:C1851">TRANSPOSE($L$113:$U$113)</f>
        <v>Up-Low C</v>
      </c>
      <c r="D1842" s="134">
        <v>10</v>
      </c>
      <c r="E1842" s="135" t="str">
        <v/>
      </c>
      <c r="F1842" s="136" t="str">
        <f t="shared" ref="F1842:F1852" si="108">IF(E1842="","",IF(E1842&lt;D1842*60%,"Try harder",""))</f>
        <v/>
      </c>
    </row>
    <row r="1843" spans="1:7" ht="12.4" customHeight="1">
      <c r="A1843" s="246"/>
      <c r="B1843" s="243"/>
      <c r="C1843" s="137" t="str">
        <v>Alphabet N</v>
      </c>
      <c r="D1843" s="138">
        <v>10</v>
      </c>
      <c r="E1843" s="139" t="str">
        <v/>
      </c>
      <c r="F1843" s="140" t="str">
        <f t="shared" si="108"/>
        <v/>
      </c>
    </row>
    <row r="1844" spans="1:7" ht="12.4" customHeight="1">
      <c r="A1844" s="246"/>
      <c r="B1844" s="243"/>
      <c r="C1844" s="137" t="str">
        <v>Alphabet S</v>
      </c>
      <c r="D1844" s="138">
        <v>10</v>
      </c>
      <c r="E1844" s="139" t="str">
        <v/>
      </c>
      <c r="F1844" s="140" t="str">
        <f t="shared" si="108"/>
        <v/>
      </c>
    </row>
    <row r="1845" spans="1:7" ht="12.4" customHeight="1">
      <c r="A1845" s="246"/>
      <c r="B1845" s="243"/>
      <c r="C1845" s="137" t="str">
        <v>Vocabulary</v>
      </c>
      <c r="D1845" s="138">
        <v>10</v>
      </c>
      <c r="E1845" s="139" t="str">
        <v/>
      </c>
      <c r="F1845" s="140" t="str">
        <f t="shared" si="108"/>
        <v/>
      </c>
    </row>
    <row r="1846" spans="1:7" ht="12.4" customHeight="1">
      <c r="A1846" s="247" t="s">
        <v>131</v>
      </c>
      <c r="B1846" s="243"/>
      <c r="C1846" s="137" t="str">
        <v>Sprouts</v>
      </c>
      <c r="D1846" s="138">
        <v>10</v>
      </c>
      <c r="E1846" s="139" t="str">
        <v/>
      </c>
      <c r="F1846" s="140" t="str">
        <f t="shared" si="108"/>
        <v/>
      </c>
    </row>
    <row r="1847" spans="1:7" ht="12.4" customHeight="1">
      <c r="A1847" s="247"/>
      <c r="B1847" s="243"/>
      <c r="C1847" s="137" t="str">
        <v>Phonics</v>
      </c>
      <c r="D1847" s="138">
        <v>10</v>
      </c>
      <c r="E1847" s="139" t="str">
        <v/>
      </c>
      <c r="F1847" s="140" t="str">
        <f t="shared" si="108"/>
        <v/>
      </c>
    </row>
    <row r="1848" spans="1:7" ht="12.4" customHeight="1">
      <c r="A1848" s="247"/>
      <c r="B1848" s="243"/>
      <c r="C1848" s="137" t="str">
        <v>Math</v>
      </c>
      <c r="D1848" s="138">
        <v>10</v>
      </c>
      <c r="E1848" s="139" t="str">
        <v/>
      </c>
      <c r="F1848" s="140" t="str">
        <f t="shared" si="108"/>
        <v/>
      </c>
    </row>
    <row r="1849" spans="1:7" ht="12.4" customHeight="1">
      <c r="A1849" s="247"/>
      <c r="B1849" s="243"/>
      <c r="C1849" s="137" t="str">
        <v>Shape</v>
      </c>
      <c r="D1849" s="138">
        <v>10</v>
      </c>
      <c r="E1849" s="139" t="str">
        <v/>
      </c>
      <c r="F1849" s="140" t="str">
        <f t="shared" si="108"/>
        <v/>
      </c>
    </row>
    <row r="1850" spans="1:7" ht="12.4" customHeight="1">
      <c r="A1850" s="247"/>
      <c r="B1850" s="243"/>
      <c r="C1850" s="137" t="str">
        <v>Science</v>
      </c>
      <c r="D1850" s="138">
        <v>10</v>
      </c>
      <c r="E1850" s="139" t="str">
        <v/>
      </c>
      <c r="F1850" s="140" t="str">
        <f t="shared" si="108"/>
        <v/>
      </c>
    </row>
    <row r="1851" spans="1:7" ht="12.4" customHeight="1">
      <c r="A1851" s="247"/>
      <c r="B1851" s="244"/>
      <c r="C1851" s="141" t="str">
        <v>Tracing</v>
      </c>
      <c r="D1851" s="142">
        <v>10</v>
      </c>
      <c r="E1851" s="143" t="str">
        <v/>
      </c>
      <c r="F1851" s="144" t="str">
        <f t="shared" si="108"/>
        <v/>
      </c>
    </row>
    <row r="1852" spans="1:7" ht="12.4" customHeight="1">
      <c r="A1852" s="248"/>
      <c r="B1852" s="240" t="s">
        <v>133</v>
      </c>
      <c r="C1852" s="241"/>
      <c r="D1852" s="103">
        <f>D1841*20%+SUM(D1842:D1851)*80%</f>
        <v>100</v>
      </c>
      <c r="E1852" s="110" t="str">
        <v/>
      </c>
      <c r="F1852" s="104" t="str">
        <f t="shared" si="108"/>
        <v/>
      </c>
    </row>
    <row r="1854" spans="1:7" ht="12.4" customHeight="1">
      <c r="A1854" s="230" t="s">
        <v>121</v>
      </c>
      <c r="B1854" s="231"/>
      <c r="C1854" s="231"/>
      <c r="D1854" s="107" t="s">
        <v>123</v>
      </c>
      <c r="E1854" s="232" t="str">
        <f>I134</f>
        <v/>
      </c>
      <c r="F1854" s="233"/>
      <c r="G1854" s="101">
        <v>134</v>
      </c>
    </row>
    <row r="1855" spans="1:7" ht="12.4" customHeight="1">
      <c r="A1855" s="105" t="s">
        <v>122</v>
      </c>
      <c r="B1855" s="235" t="str">
        <f>$K$110</f>
        <v>FEBRUARY - JULY 2026</v>
      </c>
      <c r="C1855" s="235"/>
      <c r="D1855" s="106" t="s">
        <v>124</v>
      </c>
      <c r="E1855" s="235" t="str">
        <f>$I$110</f>
        <v/>
      </c>
      <c r="F1855" s="236"/>
    </row>
    <row r="1856" spans="1:7" ht="12.4" customHeight="1">
      <c r="A1856" s="237" t="s">
        <v>130</v>
      </c>
      <c r="B1856" s="238"/>
      <c r="C1856" s="238"/>
      <c r="D1856" s="238"/>
      <c r="E1856" s="238"/>
      <c r="F1856" s="239"/>
    </row>
    <row r="1857" spans="1:7" ht="12.4" customHeight="1">
      <c r="A1857" s="245" t="s">
        <v>14</v>
      </c>
      <c r="B1857" s="240" t="s">
        <v>125</v>
      </c>
      <c r="C1857" s="241"/>
      <c r="D1857" s="102" t="s">
        <v>126</v>
      </c>
      <c r="E1857" s="109" t="s">
        <v>127</v>
      </c>
      <c r="F1857" s="102" t="s">
        <v>128</v>
      </c>
    </row>
    <row r="1858" spans="1:7" ht="12.4" customHeight="1">
      <c r="A1858" s="246"/>
      <c r="B1858" s="240" t="s">
        <v>129</v>
      </c>
      <c r="C1858" s="241"/>
      <c r="D1858" s="102">
        <v>100</v>
      </c>
      <c r="E1858" s="110" t="str" cm="1">
        <f t="array" ref="E1858:E1869">TRANSPOSE(K134:V134)</f>
        <v/>
      </c>
      <c r="F1858" s="104" t="str">
        <f>IF(E1858="","",IF(E1858&lt;D1858*60%,"Try harder",""))</f>
        <v/>
      </c>
    </row>
    <row r="1859" spans="1:7" ht="12.4" customHeight="1">
      <c r="A1859" s="246"/>
      <c r="B1859" s="242" t="s">
        <v>132</v>
      </c>
      <c r="C1859" s="133" t="str" cm="1">
        <f t="array" ref="C1859:C1868">TRANSPOSE($L$113:$U$113)</f>
        <v>Up-Low C</v>
      </c>
      <c r="D1859" s="134">
        <v>10</v>
      </c>
      <c r="E1859" s="135" t="str">
        <v/>
      </c>
      <c r="F1859" s="136" t="str">
        <f t="shared" ref="F1859:F1869" si="109">IF(E1859="","",IF(E1859&lt;D1859*60%,"Try harder",""))</f>
        <v/>
      </c>
    </row>
    <row r="1860" spans="1:7" ht="12.4" customHeight="1">
      <c r="A1860" s="246"/>
      <c r="B1860" s="243"/>
      <c r="C1860" s="137" t="str">
        <v>Alphabet N</v>
      </c>
      <c r="D1860" s="138">
        <v>10</v>
      </c>
      <c r="E1860" s="139" t="str">
        <v/>
      </c>
      <c r="F1860" s="140" t="str">
        <f t="shared" si="109"/>
        <v/>
      </c>
    </row>
    <row r="1861" spans="1:7" ht="12.4" customHeight="1">
      <c r="A1861" s="246"/>
      <c r="B1861" s="243"/>
      <c r="C1861" s="137" t="str">
        <v>Alphabet S</v>
      </c>
      <c r="D1861" s="138">
        <v>10</v>
      </c>
      <c r="E1861" s="139" t="str">
        <v/>
      </c>
      <c r="F1861" s="140" t="str">
        <f t="shared" si="109"/>
        <v/>
      </c>
    </row>
    <row r="1862" spans="1:7" ht="12.4" customHeight="1">
      <c r="A1862" s="246"/>
      <c r="B1862" s="243"/>
      <c r="C1862" s="137" t="str">
        <v>Vocabulary</v>
      </c>
      <c r="D1862" s="138">
        <v>10</v>
      </c>
      <c r="E1862" s="139" t="str">
        <v/>
      </c>
      <c r="F1862" s="140" t="str">
        <f t="shared" si="109"/>
        <v/>
      </c>
    </row>
    <row r="1863" spans="1:7" ht="12.4" customHeight="1">
      <c r="A1863" s="247" t="s">
        <v>131</v>
      </c>
      <c r="B1863" s="243"/>
      <c r="C1863" s="137" t="str">
        <v>Sprouts</v>
      </c>
      <c r="D1863" s="138">
        <v>10</v>
      </c>
      <c r="E1863" s="139" t="str">
        <v/>
      </c>
      <c r="F1863" s="140" t="str">
        <f t="shared" si="109"/>
        <v/>
      </c>
    </row>
    <row r="1864" spans="1:7" ht="12.4" customHeight="1">
      <c r="A1864" s="247"/>
      <c r="B1864" s="243"/>
      <c r="C1864" s="137" t="str">
        <v>Phonics</v>
      </c>
      <c r="D1864" s="138">
        <v>10</v>
      </c>
      <c r="E1864" s="139" t="str">
        <v/>
      </c>
      <c r="F1864" s="140" t="str">
        <f t="shared" si="109"/>
        <v/>
      </c>
    </row>
    <row r="1865" spans="1:7" ht="12.4" customHeight="1">
      <c r="A1865" s="247"/>
      <c r="B1865" s="243"/>
      <c r="C1865" s="137" t="str">
        <v>Math</v>
      </c>
      <c r="D1865" s="138">
        <v>10</v>
      </c>
      <c r="E1865" s="139" t="str">
        <v/>
      </c>
      <c r="F1865" s="140" t="str">
        <f t="shared" si="109"/>
        <v/>
      </c>
    </row>
    <row r="1866" spans="1:7" ht="12.4" customHeight="1">
      <c r="A1866" s="247"/>
      <c r="B1866" s="243"/>
      <c r="C1866" s="137" t="str">
        <v>Shape</v>
      </c>
      <c r="D1866" s="138">
        <v>10</v>
      </c>
      <c r="E1866" s="139" t="str">
        <v/>
      </c>
      <c r="F1866" s="140" t="str">
        <f t="shared" si="109"/>
        <v/>
      </c>
    </row>
    <row r="1867" spans="1:7" ht="12.4" customHeight="1">
      <c r="A1867" s="247"/>
      <c r="B1867" s="243"/>
      <c r="C1867" s="137" t="str">
        <v>Science</v>
      </c>
      <c r="D1867" s="138">
        <v>10</v>
      </c>
      <c r="E1867" s="139" t="str">
        <v/>
      </c>
      <c r="F1867" s="140" t="str">
        <f t="shared" si="109"/>
        <v/>
      </c>
    </row>
    <row r="1868" spans="1:7" ht="12.4" customHeight="1">
      <c r="A1868" s="247"/>
      <c r="B1868" s="244"/>
      <c r="C1868" s="141" t="str">
        <v>Tracing</v>
      </c>
      <c r="D1868" s="142">
        <v>10</v>
      </c>
      <c r="E1868" s="143" t="str">
        <v/>
      </c>
      <c r="F1868" s="144" t="str">
        <f t="shared" si="109"/>
        <v/>
      </c>
    </row>
    <row r="1869" spans="1:7" ht="12.4" customHeight="1">
      <c r="A1869" s="248"/>
      <c r="B1869" s="240" t="s">
        <v>133</v>
      </c>
      <c r="C1869" s="241"/>
      <c r="D1869" s="103">
        <f>D1858*20%+SUM(D1859:D1868)*80%</f>
        <v>100</v>
      </c>
      <c r="E1869" s="110" t="str">
        <v/>
      </c>
      <c r="F1869" s="104" t="str">
        <f t="shared" si="109"/>
        <v/>
      </c>
    </row>
    <row r="1871" spans="1:7" ht="12.4" customHeight="1">
      <c r="A1871" s="230" t="s">
        <v>121</v>
      </c>
      <c r="B1871" s="231"/>
      <c r="C1871" s="231"/>
      <c r="D1871" s="107" t="s">
        <v>123</v>
      </c>
      <c r="E1871" s="232" t="str">
        <f>I135</f>
        <v/>
      </c>
      <c r="F1871" s="233"/>
      <c r="G1871" s="101">
        <v>135</v>
      </c>
    </row>
    <row r="1872" spans="1:7" ht="12.4" customHeight="1">
      <c r="A1872" s="105" t="s">
        <v>122</v>
      </c>
      <c r="B1872" s="235" t="str">
        <f>$K$110</f>
        <v>FEBRUARY - JULY 2026</v>
      </c>
      <c r="C1872" s="235"/>
      <c r="D1872" s="106" t="s">
        <v>124</v>
      </c>
      <c r="E1872" s="235" t="str">
        <f>$I$110</f>
        <v/>
      </c>
      <c r="F1872" s="236"/>
    </row>
    <row r="1873" spans="1:7" ht="12.4" customHeight="1">
      <c r="A1873" s="237" t="s">
        <v>130</v>
      </c>
      <c r="B1873" s="238"/>
      <c r="C1873" s="238"/>
      <c r="D1873" s="238"/>
      <c r="E1873" s="238"/>
      <c r="F1873" s="239"/>
    </row>
    <row r="1874" spans="1:7" ht="12.4" customHeight="1">
      <c r="A1874" s="245" t="s">
        <v>14</v>
      </c>
      <c r="B1874" s="240" t="s">
        <v>125</v>
      </c>
      <c r="C1874" s="241"/>
      <c r="D1874" s="102" t="s">
        <v>126</v>
      </c>
      <c r="E1874" s="109" t="s">
        <v>127</v>
      </c>
      <c r="F1874" s="102" t="s">
        <v>128</v>
      </c>
    </row>
    <row r="1875" spans="1:7" ht="12.4" customHeight="1">
      <c r="A1875" s="246"/>
      <c r="B1875" s="240" t="s">
        <v>129</v>
      </c>
      <c r="C1875" s="241"/>
      <c r="D1875" s="102">
        <v>100</v>
      </c>
      <c r="E1875" s="110" t="str" cm="1">
        <f t="array" ref="E1875:E1886">TRANSPOSE(K135:V135)</f>
        <v/>
      </c>
      <c r="F1875" s="104" t="str">
        <f>IF(E1875="","",IF(E1875&lt;D1875*60%,"Try harder",""))</f>
        <v/>
      </c>
    </row>
    <row r="1876" spans="1:7" ht="12.4" customHeight="1">
      <c r="A1876" s="246"/>
      <c r="B1876" s="242" t="s">
        <v>132</v>
      </c>
      <c r="C1876" s="133" t="str" cm="1">
        <f t="array" ref="C1876:C1885">TRANSPOSE($L$113:$U$113)</f>
        <v>Up-Low C</v>
      </c>
      <c r="D1876" s="134">
        <v>10</v>
      </c>
      <c r="E1876" s="135" t="str">
        <v/>
      </c>
      <c r="F1876" s="136" t="str">
        <f t="shared" ref="F1876:F1886" si="110">IF(E1876="","",IF(E1876&lt;D1876*60%,"Try harder",""))</f>
        <v/>
      </c>
    </row>
    <row r="1877" spans="1:7" ht="12.4" customHeight="1">
      <c r="A1877" s="246"/>
      <c r="B1877" s="243"/>
      <c r="C1877" s="137" t="str">
        <v>Alphabet N</v>
      </c>
      <c r="D1877" s="138">
        <v>10</v>
      </c>
      <c r="E1877" s="139" t="str">
        <v/>
      </c>
      <c r="F1877" s="140" t="str">
        <f t="shared" si="110"/>
        <v/>
      </c>
    </row>
    <row r="1878" spans="1:7" ht="12.4" customHeight="1">
      <c r="A1878" s="246"/>
      <c r="B1878" s="243"/>
      <c r="C1878" s="137" t="str">
        <v>Alphabet S</v>
      </c>
      <c r="D1878" s="138">
        <v>10</v>
      </c>
      <c r="E1878" s="139" t="str">
        <v/>
      </c>
      <c r="F1878" s="140" t="str">
        <f t="shared" si="110"/>
        <v/>
      </c>
    </row>
    <row r="1879" spans="1:7" ht="12.4" customHeight="1">
      <c r="A1879" s="246"/>
      <c r="B1879" s="243"/>
      <c r="C1879" s="137" t="str">
        <v>Vocabulary</v>
      </c>
      <c r="D1879" s="138">
        <v>10</v>
      </c>
      <c r="E1879" s="139" t="str">
        <v/>
      </c>
      <c r="F1879" s="140" t="str">
        <f t="shared" si="110"/>
        <v/>
      </c>
    </row>
    <row r="1880" spans="1:7" ht="12.4" customHeight="1">
      <c r="A1880" s="247" t="s">
        <v>131</v>
      </c>
      <c r="B1880" s="243"/>
      <c r="C1880" s="137" t="str">
        <v>Sprouts</v>
      </c>
      <c r="D1880" s="138">
        <v>10</v>
      </c>
      <c r="E1880" s="139" t="str">
        <v/>
      </c>
      <c r="F1880" s="140" t="str">
        <f t="shared" si="110"/>
        <v/>
      </c>
    </row>
    <row r="1881" spans="1:7" ht="12.4" customHeight="1">
      <c r="A1881" s="247"/>
      <c r="B1881" s="243"/>
      <c r="C1881" s="137" t="str">
        <v>Phonics</v>
      </c>
      <c r="D1881" s="138">
        <v>10</v>
      </c>
      <c r="E1881" s="139" t="str">
        <v/>
      </c>
      <c r="F1881" s="140" t="str">
        <f t="shared" si="110"/>
        <v/>
      </c>
    </row>
    <row r="1882" spans="1:7" ht="12.4" customHeight="1">
      <c r="A1882" s="247"/>
      <c r="B1882" s="243"/>
      <c r="C1882" s="137" t="str">
        <v>Math</v>
      </c>
      <c r="D1882" s="138">
        <v>10</v>
      </c>
      <c r="E1882" s="139" t="str">
        <v/>
      </c>
      <c r="F1882" s="140" t="str">
        <f t="shared" si="110"/>
        <v/>
      </c>
    </row>
    <row r="1883" spans="1:7" ht="12.4" customHeight="1">
      <c r="A1883" s="247"/>
      <c r="B1883" s="243"/>
      <c r="C1883" s="137" t="str">
        <v>Shape</v>
      </c>
      <c r="D1883" s="138">
        <v>10</v>
      </c>
      <c r="E1883" s="139" t="str">
        <v/>
      </c>
      <c r="F1883" s="140" t="str">
        <f t="shared" si="110"/>
        <v/>
      </c>
    </row>
    <row r="1884" spans="1:7" ht="12.4" customHeight="1">
      <c r="A1884" s="247"/>
      <c r="B1884" s="243"/>
      <c r="C1884" s="137" t="str">
        <v>Science</v>
      </c>
      <c r="D1884" s="138">
        <v>10</v>
      </c>
      <c r="E1884" s="139" t="str">
        <v/>
      </c>
      <c r="F1884" s="140" t="str">
        <f t="shared" si="110"/>
        <v/>
      </c>
    </row>
    <row r="1885" spans="1:7" ht="12.4" customHeight="1">
      <c r="A1885" s="247"/>
      <c r="B1885" s="244"/>
      <c r="C1885" s="141" t="str">
        <v>Tracing</v>
      </c>
      <c r="D1885" s="142">
        <v>10</v>
      </c>
      <c r="E1885" s="143" t="str">
        <v/>
      </c>
      <c r="F1885" s="144" t="str">
        <f t="shared" si="110"/>
        <v/>
      </c>
    </row>
    <row r="1886" spans="1:7" ht="12.4" customHeight="1">
      <c r="A1886" s="248"/>
      <c r="B1886" s="240" t="s">
        <v>133</v>
      </c>
      <c r="C1886" s="241"/>
      <c r="D1886" s="103">
        <f>D1875*20%+SUM(D1876:D1885)*80%</f>
        <v>100</v>
      </c>
      <c r="E1886" s="110" t="str">
        <v/>
      </c>
      <c r="F1886" s="104" t="str">
        <f t="shared" si="110"/>
        <v/>
      </c>
    </row>
    <row r="1888" spans="1:7" ht="12.4" customHeight="1">
      <c r="A1888" s="230" t="s">
        <v>121</v>
      </c>
      <c r="B1888" s="231"/>
      <c r="C1888" s="231"/>
      <c r="D1888" s="107" t="s">
        <v>123</v>
      </c>
      <c r="E1888" s="232" t="str">
        <f>I136</f>
        <v/>
      </c>
      <c r="F1888" s="233"/>
      <c r="G1888" s="101">
        <v>136</v>
      </c>
    </row>
    <row r="1889" spans="1:6" ht="12.4" customHeight="1">
      <c r="A1889" s="105" t="s">
        <v>122</v>
      </c>
      <c r="B1889" s="235" t="str">
        <f>$K$110</f>
        <v>FEBRUARY - JULY 2026</v>
      </c>
      <c r="C1889" s="235"/>
      <c r="D1889" s="106" t="s">
        <v>124</v>
      </c>
      <c r="E1889" s="235" t="str">
        <f>$I$110</f>
        <v/>
      </c>
      <c r="F1889" s="236"/>
    </row>
    <row r="1890" spans="1:6" ht="12.4" customHeight="1">
      <c r="A1890" s="237" t="s">
        <v>130</v>
      </c>
      <c r="B1890" s="238"/>
      <c r="C1890" s="238"/>
      <c r="D1890" s="238"/>
      <c r="E1890" s="238"/>
      <c r="F1890" s="239"/>
    </row>
    <row r="1891" spans="1:6" ht="12.4" customHeight="1">
      <c r="A1891" s="245" t="s">
        <v>14</v>
      </c>
      <c r="B1891" s="240" t="s">
        <v>125</v>
      </c>
      <c r="C1891" s="241"/>
      <c r="D1891" s="102" t="s">
        <v>126</v>
      </c>
      <c r="E1891" s="109" t="s">
        <v>127</v>
      </c>
      <c r="F1891" s="102" t="s">
        <v>128</v>
      </c>
    </row>
    <row r="1892" spans="1:6" ht="12.4" customHeight="1">
      <c r="A1892" s="246"/>
      <c r="B1892" s="240" t="s">
        <v>129</v>
      </c>
      <c r="C1892" s="241"/>
      <c r="D1892" s="102">
        <v>100</v>
      </c>
      <c r="E1892" s="110" t="str" cm="1">
        <f t="array" ref="E1892:E1903">TRANSPOSE(K136:V136)</f>
        <v/>
      </c>
      <c r="F1892" s="104" t="str">
        <f>IF(E1892="","",IF(E1892&lt;D1892*60%,"Try harder",""))</f>
        <v/>
      </c>
    </row>
    <row r="1893" spans="1:6" ht="12.4" customHeight="1">
      <c r="A1893" s="246"/>
      <c r="B1893" s="242" t="s">
        <v>132</v>
      </c>
      <c r="C1893" s="133" t="str" cm="1">
        <f t="array" ref="C1893:C1902">TRANSPOSE($L$113:$U$113)</f>
        <v>Up-Low C</v>
      </c>
      <c r="D1893" s="134">
        <v>10</v>
      </c>
      <c r="E1893" s="135" t="str">
        <v/>
      </c>
      <c r="F1893" s="136" t="str">
        <f t="shared" ref="F1893:F1903" si="111">IF(E1893="","",IF(E1893&lt;D1893*60%,"Try harder",""))</f>
        <v/>
      </c>
    </row>
    <row r="1894" spans="1:6" ht="12.4" customHeight="1">
      <c r="A1894" s="246"/>
      <c r="B1894" s="243"/>
      <c r="C1894" s="137" t="str">
        <v>Alphabet N</v>
      </c>
      <c r="D1894" s="138">
        <v>10</v>
      </c>
      <c r="E1894" s="139" t="str">
        <v/>
      </c>
      <c r="F1894" s="140" t="str">
        <f t="shared" si="111"/>
        <v/>
      </c>
    </row>
    <row r="1895" spans="1:6" ht="12.4" customHeight="1">
      <c r="A1895" s="246"/>
      <c r="B1895" s="243"/>
      <c r="C1895" s="137" t="str">
        <v>Alphabet S</v>
      </c>
      <c r="D1895" s="138">
        <v>10</v>
      </c>
      <c r="E1895" s="139" t="str">
        <v/>
      </c>
      <c r="F1895" s="140" t="str">
        <f t="shared" si="111"/>
        <v/>
      </c>
    </row>
    <row r="1896" spans="1:6" ht="12.4" customHeight="1">
      <c r="A1896" s="246"/>
      <c r="B1896" s="243"/>
      <c r="C1896" s="137" t="str">
        <v>Vocabulary</v>
      </c>
      <c r="D1896" s="138">
        <v>10</v>
      </c>
      <c r="E1896" s="139" t="str">
        <v/>
      </c>
      <c r="F1896" s="140" t="str">
        <f t="shared" si="111"/>
        <v/>
      </c>
    </row>
    <row r="1897" spans="1:6" ht="12.4" customHeight="1">
      <c r="A1897" s="247" t="s">
        <v>131</v>
      </c>
      <c r="B1897" s="243"/>
      <c r="C1897" s="137" t="str">
        <v>Sprouts</v>
      </c>
      <c r="D1897" s="138">
        <v>10</v>
      </c>
      <c r="E1897" s="139" t="str">
        <v/>
      </c>
      <c r="F1897" s="140" t="str">
        <f t="shared" si="111"/>
        <v/>
      </c>
    </row>
    <row r="1898" spans="1:6" ht="12.4" customHeight="1">
      <c r="A1898" s="247"/>
      <c r="B1898" s="243"/>
      <c r="C1898" s="137" t="str">
        <v>Phonics</v>
      </c>
      <c r="D1898" s="138">
        <v>10</v>
      </c>
      <c r="E1898" s="139" t="str">
        <v/>
      </c>
      <c r="F1898" s="140" t="str">
        <f t="shared" si="111"/>
        <v/>
      </c>
    </row>
    <row r="1899" spans="1:6" ht="12.4" customHeight="1">
      <c r="A1899" s="247"/>
      <c r="B1899" s="243"/>
      <c r="C1899" s="137" t="str">
        <v>Math</v>
      </c>
      <c r="D1899" s="138">
        <v>10</v>
      </c>
      <c r="E1899" s="139" t="str">
        <v/>
      </c>
      <c r="F1899" s="140" t="str">
        <f t="shared" si="111"/>
        <v/>
      </c>
    </row>
    <row r="1900" spans="1:6" ht="12.4" customHeight="1">
      <c r="A1900" s="247"/>
      <c r="B1900" s="243"/>
      <c r="C1900" s="137" t="str">
        <v>Shape</v>
      </c>
      <c r="D1900" s="138">
        <v>10</v>
      </c>
      <c r="E1900" s="139" t="str">
        <v/>
      </c>
      <c r="F1900" s="140" t="str">
        <f t="shared" si="111"/>
        <v/>
      </c>
    </row>
    <row r="1901" spans="1:6" ht="12.4" customHeight="1">
      <c r="A1901" s="247"/>
      <c r="B1901" s="243"/>
      <c r="C1901" s="137" t="str">
        <v>Science</v>
      </c>
      <c r="D1901" s="138">
        <v>10</v>
      </c>
      <c r="E1901" s="139" t="str">
        <v/>
      </c>
      <c r="F1901" s="140" t="str">
        <f t="shared" si="111"/>
        <v/>
      </c>
    </row>
    <row r="1902" spans="1:6" ht="12.4" customHeight="1">
      <c r="A1902" s="247"/>
      <c r="B1902" s="244"/>
      <c r="C1902" s="141" t="str">
        <v>Tracing</v>
      </c>
      <c r="D1902" s="142">
        <v>10</v>
      </c>
      <c r="E1902" s="143" t="str">
        <v/>
      </c>
      <c r="F1902" s="144" t="str">
        <f t="shared" si="111"/>
        <v/>
      </c>
    </row>
    <row r="1903" spans="1:6" ht="12.4" customHeight="1">
      <c r="A1903" s="248"/>
      <c r="B1903" s="240" t="s">
        <v>133</v>
      </c>
      <c r="C1903" s="241"/>
      <c r="D1903" s="103">
        <f>D1892*20%+SUM(D1893:D1902)*80%</f>
        <v>100</v>
      </c>
      <c r="E1903" s="110" t="str">
        <v/>
      </c>
      <c r="F1903" s="104" t="str">
        <f t="shared" si="111"/>
        <v/>
      </c>
    </row>
    <row r="1905" spans="1:7" ht="12.4" customHeight="1">
      <c r="A1905" s="230" t="s">
        <v>121</v>
      </c>
      <c r="B1905" s="231"/>
      <c r="C1905" s="231"/>
      <c r="D1905" s="107" t="s">
        <v>123</v>
      </c>
      <c r="E1905" s="232" t="str">
        <f>I137</f>
        <v/>
      </c>
      <c r="F1905" s="233"/>
      <c r="G1905" s="101">
        <v>137</v>
      </c>
    </row>
    <row r="1906" spans="1:7" ht="12.4" customHeight="1">
      <c r="A1906" s="105" t="s">
        <v>122</v>
      </c>
      <c r="B1906" s="235" t="str">
        <f>$K$110</f>
        <v>FEBRUARY - JULY 2026</v>
      </c>
      <c r="C1906" s="235"/>
      <c r="D1906" s="106" t="s">
        <v>124</v>
      </c>
      <c r="E1906" s="235" t="str">
        <f>$I$110</f>
        <v/>
      </c>
      <c r="F1906" s="236"/>
    </row>
    <row r="1907" spans="1:7" ht="12.4" customHeight="1">
      <c r="A1907" s="237" t="s">
        <v>130</v>
      </c>
      <c r="B1907" s="238"/>
      <c r="C1907" s="238"/>
      <c r="D1907" s="238"/>
      <c r="E1907" s="238"/>
      <c r="F1907" s="239"/>
    </row>
    <row r="1908" spans="1:7" ht="12.4" customHeight="1">
      <c r="A1908" s="245" t="s">
        <v>14</v>
      </c>
      <c r="B1908" s="240" t="s">
        <v>125</v>
      </c>
      <c r="C1908" s="241"/>
      <c r="D1908" s="102" t="s">
        <v>126</v>
      </c>
      <c r="E1908" s="109" t="s">
        <v>127</v>
      </c>
      <c r="F1908" s="102" t="s">
        <v>128</v>
      </c>
    </row>
    <row r="1909" spans="1:7" ht="12.4" customHeight="1">
      <c r="A1909" s="246"/>
      <c r="B1909" s="240" t="s">
        <v>129</v>
      </c>
      <c r="C1909" s="241"/>
      <c r="D1909" s="102">
        <v>100</v>
      </c>
      <c r="E1909" s="110" t="str" cm="1">
        <f t="array" ref="E1909:E1920">TRANSPOSE(K137:V137)</f>
        <v/>
      </c>
      <c r="F1909" s="104" t="str">
        <f>IF(E1909="","",IF(E1909&lt;D1909*60%,"Try harder",""))</f>
        <v/>
      </c>
    </row>
    <row r="1910" spans="1:7" ht="12.4" customHeight="1">
      <c r="A1910" s="246"/>
      <c r="B1910" s="242" t="s">
        <v>132</v>
      </c>
      <c r="C1910" s="133" t="str" cm="1">
        <f t="array" ref="C1910:C1919">TRANSPOSE($L$113:$U$113)</f>
        <v>Up-Low C</v>
      </c>
      <c r="D1910" s="134">
        <v>10</v>
      </c>
      <c r="E1910" s="135" t="str">
        <v/>
      </c>
      <c r="F1910" s="136" t="str">
        <f t="shared" ref="F1910:F1920" si="112">IF(E1910="","",IF(E1910&lt;D1910*60%,"Try harder",""))</f>
        <v/>
      </c>
    </row>
    <row r="1911" spans="1:7" ht="12.4" customHeight="1">
      <c r="A1911" s="246"/>
      <c r="B1911" s="243"/>
      <c r="C1911" s="137" t="str">
        <v>Alphabet N</v>
      </c>
      <c r="D1911" s="138">
        <v>10</v>
      </c>
      <c r="E1911" s="139" t="str">
        <v/>
      </c>
      <c r="F1911" s="140" t="str">
        <f t="shared" si="112"/>
        <v/>
      </c>
    </row>
    <row r="1912" spans="1:7" ht="12.4" customHeight="1">
      <c r="A1912" s="246"/>
      <c r="B1912" s="243"/>
      <c r="C1912" s="137" t="str">
        <v>Alphabet S</v>
      </c>
      <c r="D1912" s="138">
        <v>10</v>
      </c>
      <c r="E1912" s="139" t="str">
        <v/>
      </c>
      <c r="F1912" s="140" t="str">
        <f t="shared" si="112"/>
        <v/>
      </c>
    </row>
    <row r="1913" spans="1:7" ht="12.4" customHeight="1">
      <c r="A1913" s="246"/>
      <c r="B1913" s="243"/>
      <c r="C1913" s="137" t="str">
        <v>Vocabulary</v>
      </c>
      <c r="D1913" s="138">
        <v>10</v>
      </c>
      <c r="E1913" s="139" t="str">
        <v/>
      </c>
      <c r="F1913" s="140" t="str">
        <f t="shared" si="112"/>
        <v/>
      </c>
    </row>
    <row r="1914" spans="1:7" ht="12.4" customHeight="1">
      <c r="A1914" s="247" t="s">
        <v>131</v>
      </c>
      <c r="B1914" s="243"/>
      <c r="C1914" s="137" t="str">
        <v>Sprouts</v>
      </c>
      <c r="D1914" s="138">
        <v>10</v>
      </c>
      <c r="E1914" s="139" t="str">
        <v/>
      </c>
      <c r="F1914" s="140" t="str">
        <f t="shared" si="112"/>
        <v/>
      </c>
    </row>
    <row r="1915" spans="1:7" ht="12.4" customHeight="1">
      <c r="A1915" s="247"/>
      <c r="B1915" s="243"/>
      <c r="C1915" s="137" t="str">
        <v>Phonics</v>
      </c>
      <c r="D1915" s="138">
        <v>10</v>
      </c>
      <c r="E1915" s="139" t="str">
        <v/>
      </c>
      <c r="F1915" s="140" t="str">
        <f t="shared" si="112"/>
        <v/>
      </c>
    </row>
    <row r="1916" spans="1:7" ht="12.4" customHeight="1">
      <c r="A1916" s="247"/>
      <c r="B1916" s="243"/>
      <c r="C1916" s="137" t="str">
        <v>Math</v>
      </c>
      <c r="D1916" s="138">
        <v>10</v>
      </c>
      <c r="E1916" s="139" t="str">
        <v/>
      </c>
      <c r="F1916" s="140" t="str">
        <f t="shared" si="112"/>
        <v/>
      </c>
    </row>
    <row r="1917" spans="1:7" ht="12.4" customHeight="1">
      <c r="A1917" s="247"/>
      <c r="B1917" s="243"/>
      <c r="C1917" s="137" t="str">
        <v>Shape</v>
      </c>
      <c r="D1917" s="138">
        <v>10</v>
      </c>
      <c r="E1917" s="139" t="str">
        <v/>
      </c>
      <c r="F1917" s="140" t="str">
        <f t="shared" si="112"/>
        <v/>
      </c>
    </row>
    <row r="1918" spans="1:7" ht="12.4" customHeight="1">
      <c r="A1918" s="247"/>
      <c r="B1918" s="243"/>
      <c r="C1918" s="137" t="str">
        <v>Science</v>
      </c>
      <c r="D1918" s="138">
        <v>10</v>
      </c>
      <c r="E1918" s="139" t="str">
        <v/>
      </c>
      <c r="F1918" s="140" t="str">
        <f t="shared" si="112"/>
        <v/>
      </c>
    </row>
    <row r="1919" spans="1:7" ht="12.4" customHeight="1">
      <c r="A1919" s="247"/>
      <c r="B1919" s="244"/>
      <c r="C1919" s="141" t="str">
        <v>Tracing</v>
      </c>
      <c r="D1919" s="142">
        <v>10</v>
      </c>
      <c r="E1919" s="143" t="str">
        <v/>
      </c>
      <c r="F1919" s="144" t="str">
        <f t="shared" si="112"/>
        <v/>
      </c>
    </row>
    <row r="1920" spans="1:7" ht="12.4" customHeight="1">
      <c r="A1920" s="248"/>
      <c r="B1920" s="240" t="s">
        <v>133</v>
      </c>
      <c r="C1920" s="241"/>
      <c r="D1920" s="103">
        <f>D1909*20%+SUM(D1910:D1919)*80%</f>
        <v>100</v>
      </c>
      <c r="E1920" s="110" t="str">
        <v/>
      </c>
      <c r="F1920" s="104" t="str">
        <f t="shared" si="112"/>
        <v/>
      </c>
    </row>
    <row r="1922" spans="1:7" ht="12.4" customHeight="1">
      <c r="A1922" s="230" t="s">
        <v>121</v>
      </c>
      <c r="B1922" s="231"/>
      <c r="C1922" s="231"/>
      <c r="D1922" s="107" t="s">
        <v>123</v>
      </c>
      <c r="E1922" s="232" t="str">
        <f>I138</f>
        <v/>
      </c>
      <c r="F1922" s="233"/>
      <c r="G1922" s="101">
        <v>138</v>
      </c>
    </row>
    <row r="1923" spans="1:7" ht="12.4" customHeight="1">
      <c r="A1923" s="105" t="s">
        <v>122</v>
      </c>
      <c r="B1923" s="235" t="str">
        <f>$K$110</f>
        <v>FEBRUARY - JULY 2026</v>
      </c>
      <c r="C1923" s="235"/>
      <c r="D1923" s="106" t="s">
        <v>124</v>
      </c>
      <c r="E1923" s="235" t="str">
        <f>$I$110</f>
        <v/>
      </c>
      <c r="F1923" s="236"/>
    </row>
    <row r="1924" spans="1:7" ht="12.4" customHeight="1">
      <c r="A1924" s="237" t="s">
        <v>130</v>
      </c>
      <c r="B1924" s="238"/>
      <c r="C1924" s="238"/>
      <c r="D1924" s="238"/>
      <c r="E1924" s="238"/>
      <c r="F1924" s="239"/>
    </row>
    <row r="1925" spans="1:7" ht="12.4" customHeight="1">
      <c r="A1925" s="245" t="s">
        <v>14</v>
      </c>
      <c r="B1925" s="240" t="s">
        <v>125</v>
      </c>
      <c r="C1925" s="241"/>
      <c r="D1925" s="102" t="s">
        <v>126</v>
      </c>
      <c r="E1925" s="109" t="s">
        <v>127</v>
      </c>
      <c r="F1925" s="102" t="s">
        <v>128</v>
      </c>
    </row>
    <row r="1926" spans="1:7" ht="12.4" customHeight="1">
      <c r="A1926" s="246"/>
      <c r="B1926" s="240" t="s">
        <v>129</v>
      </c>
      <c r="C1926" s="241"/>
      <c r="D1926" s="102">
        <v>100</v>
      </c>
      <c r="E1926" s="110" t="str" cm="1">
        <f t="array" ref="E1926:E1937">TRANSPOSE(K138:V138)</f>
        <v/>
      </c>
      <c r="F1926" s="104" t="str">
        <f>IF(E1926="","",IF(E1926&lt;D1926*60%,"Try harder",""))</f>
        <v/>
      </c>
    </row>
    <row r="1927" spans="1:7" ht="12.4" customHeight="1">
      <c r="A1927" s="246"/>
      <c r="B1927" s="242" t="s">
        <v>132</v>
      </c>
      <c r="C1927" s="133" t="str" cm="1">
        <f t="array" ref="C1927:C1936">TRANSPOSE($L$113:$U$113)</f>
        <v>Up-Low C</v>
      </c>
      <c r="D1927" s="134">
        <v>10</v>
      </c>
      <c r="E1927" s="135" t="str">
        <v/>
      </c>
      <c r="F1927" s="136" t="str">
        <f t="shared" ref="F1927:F1937" si="113">IF(E1927="","",IF(E1927&lt;D1927*60%,"Try harder",""))</f>
        <v/>
      </c>
    </row>
    <row r="1928" spans="1:7" ht="12.4" customHeight="1">
      <c r="A1928" s="246"/>
      <c r="B1928" s="243"/>
      <c r="C1928" s="137" t="str">
        <v>Alphabet N</v>
      </c>
      <c r="D1928" s="138">
        <v>10</v>
      </c>
      <c r="E1928" s="139" t="str">
        <v/>
      </c>
      <c r="F1928" s="140" t="str">
        <f t="shared" si="113"/>
        <v/>
      </c>
    </row>
    <row r="1929" spans="1:7" ht="12.4" customHeight="1">
      <c r="A1929" s="246"/>
      <c r="B1929" s="243"/>
      <c r="C1929" s="137" t="str">
        <v>Alphabet S</v>
      </c>
      <c r="D1929" s="138">
        <v>10</v>
      </c>
      <c r="E1929" s="139" t="str">
        <v/>
      </c>
      <c r="F1929" s="140" t="str">
        <f t="shared" si="113"/>
        <v/>
      </c>
    </row>
    <row r="1930" spans="1:7" ht="12.4" customHeight="1">
      <c r="A1930" s="246"/>
      <c r="B1930" s="243"/>
      <c r="C1930" s="137" t="str">
        <v>Vocabulary</v>
      </c>
      <c r="D1930" s="138">
        <v>10</v>
      </c>
      <c r="E1930" s="139" t="str">
        <v/>
      </c>
      <c r="F1930" s="140" t="str">
        <f t="shared" si="113"/>
        <v/>
      </c>
    </row>
    <row r="1931" spans="1:7" ht="12.4" customHeight="1">
      <c r="A1931" s="247" t="s">
        <v>131</v>
      </c>
      <c r="B1931" s="243"/>
      <c r="C1931" s="137" t="str">
        <v>Sprouts</v>
      </c>
      <c r="D1931" s="138">
        <v>10</v>
      </c>
      <c r="E1931" s="139" t="str">
        <v/>
      </c>
      <c r="F1931" s="140" t="str">
        <f t="shared" si="113"/>
        <v/>
      </c>
    </row>
    <row r="1932" spans="1:7" ht="12.4" customHeight="1">
      <c r="A1932" s="247"/>
      <c r="B1932" s="243"/>
      <c r="C1932" s="137" t="str">
        <v>Phonics</v>
      </c>
      <c r="D1932" s="138">
        <v>10</v>
      </c>
      <c r="E1932" s="139" t="str">
        <v/>
      </c>
      <c r="F1932" s="140" t="str">
        <f t="shared" si="113"/>
        <v/>
      </c>
    </row>
    <row r="1933" spans="1:7" ht="12.4" customHeight="1">
      <c r="A1933" s="247"/>
      <c r="B1933" s="243"/>
      <c r="C1933" s="137" t="str">
        <v>Math</v>
      </c>
      <c r="D1933" s="138">
        <v>10</v>
      </c>
      <c r="E1933" s="139" t="str">
        <v/>
      </c>
      <c r="F1933" s="140" t="str">
        <f t="shared" si="113"/>
        <v/>
      </c>
    </row>
    <row r="1934" spans="1:7" ht="12.4" customHeight="1">
      <c r="A1934" s="247"/>
      <c r="B1934" s="243"/>
      <c r="C1934" s="137" t="str">
        <v>Shape</v>
      </c>
      <c r="D1934" s="138">
        <v>10</v>
      </c>
      <c r="E1934" s="139" t="str">
        <v/>
      </c>
      <c r="F1934" s="140" t="str">
        <f t="shared" si="113"/>
        <v/>
      </c>
    </row>
    <row r="1935" spans="1:7" ht="12.4" customHeight="1">
      <c r="A1935" s="247"/>
      <c r="B1935" s="243"/>
      <c r="C1935" s="137" t="str">
        <v>Science</v>
      </c>
      <c r="D1935" s="138">
        <v>10</v>
      </c>
      <c r="E1935" s="139" t="str">
        <v/>
      </c>
      <c r="F1935" s="140" t="str">
        <f t="shared" si="113"/>
        <v/>
      </c>
    </row>
    <row r="1936" spans="1:7" ht="12.4" customHeight="1">
      <c r="A1936" s="247"/>
      <c r="B1936" s="244"/>
      <c r="C1936" s="141" t="str">
        <v>Tracing</v>
      </c>
      <c r="D1936" s="142">
        <v>10</v>
      </c>
      <c r="E1936" s="143" t="str">
        <v/>
      </c>
      <c r="F1936" s="144" t="str">
        <f t="shared" si="113"/>
        <v/>
      </c>
    </row>
    <row r="1937" spans="1:7" ht="12.4" customHeight="1">
      <c r="A1937" s="248"/>
      <c r="B1937" s="240" t="s">
        <v>133</v>
      </c>
      <c r="C1937" s="241"/>
      <c r="D1937" s="103">
        <f>D1926*20%+SUM(D1927:D1936)*80%</f>
        <v>100</v>
      </c>
      <c r="E1937" s="110" t="str">
        <v/>
      </c>
      <c r="F1937" s="104" t="str">
        <f t="shared" si="113"/>
        <v/>
      </c>
    </row>
    <row r="1939" spans="1:7" ht="12.4" customHeight="1">
      <c r="A1939" s="230" t="s">
        <v>121</v>
      </c>
      <c r="B1939" s="231"/>
      <c r="C1939" s="231"/>
      <c r="D1939" s="107" t="s">
        <v>123</v>
      </c>
      <c r="E1939" s="232" t="str">
        <f>I139</f>
        <v/>
      </c>
      <c r="F1939" s="233"/>
      <c r="G1939" s="101">
        <v>139</v>
      </c>
    </row>
    <row r="1940" spans="1:7" ht="12.4" customHeight="1">
      <c r="A1940" s="105" t="s">
        <v>122</v>
      </c>
      <c r="B1940" s="235" t="str">
        <f>$K$110</f>
        <v>FEBRUARY - JULY 2026</v>
      </c>
      <c r="C1940" s="235"/>
      <c r="D1940" s="106" t="s">
        <v>124</v>
      </c>
      <c r="E1940" s="235" t="str">
        <f>$I$110</f>
        <v/>
      </c>
      <c r="F1940" s="236"/>
    </row>
    <row r="1941" spans="1:7" ht="12.4" customHeight="1">
      <c r="A1941" s="237" t="s">
        <v>130</v>
      </c>
      <c r="B1941" s="238"/>
      <c r="C1941" s="238"/>
      <c r="D1941" s="238"/>
      <c r="E1941" s="238"/>
      <c r="F1941" s="239"/>
    </row>
    <row r="1942" spans="1:7" ht="12.4" customHeight="1">
      <c r="A1942" s="245" t="s">
        <v>14</v>
      </c>
      <c r="B1942" s="240" t="s">
        <v>125</v>
      </c>
      <c r="C1942" s="241"/>
      <c r="D1942" s="102" t="s">
        <v>126</v>
      </c>
      <c r="E1942" s="109" t="s">
        <v>127</v>
      </c>
      <c r="F1942" s="102" t="s">
        <v>128</v>
      </c>
    </row>
    <row r="1943" spans="1:7" ht="12.4" customHeight="1">
      <c r="A1943" s="246"/>
      <c r="B1943" s="240" t="s">
        <v>129</v>
      </c>
      <c r="C1943" s="241"/>
      <c r="D1943" s="102">
        <v>100</v>
      </c>
      <c r="E1943" s="110" t="str" cm="1">
        <f t="array" ref="E1943:E1954">TRANSPOSE(K139:V139)</f>
        <v/>
      </c>
      <c r="F1943" s="104" t="str">
        <f>IF(E1943="","",IF(E1943&lt;D1943*60%,"Try harder",""))</f>
        <v/>
      </c>
    </row>
    <row r="1944" spans="1:7" ht="12.4" customHeight="1">
      <c r="A1944" s="246"/>
      <c r="B1944" s="242" t="s">
        <v>132</v>
      </c>
      <c r="C1944" s="133" t="str" cm="1">
        <f t="array" ref="C1944:C1953">TRANSPOSE($L$113:$U$113)</f>
        <v>Up-Low C</v>
      </c>
      <c r="D1944" s="134">
        <v>10</v>
      </c>
      <c r="E1944" s="135" t="str">
        <v/>
      </c>
      <c r="F1944" s="136" t="str">
        <f t="shared" ref="F1944:F1954" si="114">IF(E1944="","",IF(E1944&lt;D1944*60%,"Try harder",""))</f>
        <v/>
      </c>
    </row>
    <row r="1945" spans="1:7" ht="12.4" customHeight="1">
      <c r="A1945" s="246"/>
      <c r="B1945" s="243"/>
      <c r="C1945" s="137" t="str">
        <v>Alphabet N</v>
      </c>
      <c r="D1945" s="138">
        <v>10</v>
      </c>
      <c r="E1945" s="139" t="str">
        <v/>
      </c>
      <c r="F1945" s="140" t="str">
        <f t="shared" si="114"/>
        <v/>
      </c>
    </row>
    <row r="1946" spans="1:7" ht="12.4" customHeight="1">
      <c r="A1946" s="246"/>
      <c r="B1946" s="243"/>
      <c r="C1946" s="137" t="str">
        <v>Alphabet S</v>
      </c>
      <c r="D1946" s="138">
        <v>10</v>
      </c>
      <c r="E1946" s="139" t="str">
        <v/>
      </c>
      <c r="F1946" s="140" t="str">
        <f t="shared" si="114"/>
        <v/>
      </c>
    </row>
    <row r="1947" spans="1:7" ht="12.4" customHeight="1">
      <c r="A1947" s="246"/>
      <c r="B1947" s="243"/>
      <c r="C1947" s="137" t="str">
        <v>Vocabulary</v>
      </c>
      <c r="D1947" s="138">
        <v>10</v>
      </c>
      <c r="E1947" s="139" t="str">
        <v/>
      </c>
      <c r="F1947" s="140" t="str">
        <f t="shared" si="114"/>
        <v/>
      </c>
    </row>
    <row r="1948" spans="1:7" ht="12.4" customHeight="1">
      <c r="A1948" s="247" t="s">
        <v>131</v>
      </c>
      <c r="B1948" s="243"/>
      <c r="C1948" s="137" t="str">
        <v>Sprouts</v>
      </c>
      <c r="D1948" s="138">
        <v>10</v>
      </c>
      <c r="E1948" s="139" t="str">
        <v/>
      </c>
      <c r="F1948" s="140" t="str">
        <f t="shared" si="114"/>
        <v/>
      </c>
    </row>
    <row r="1949" spans="1:7" ht="12.4" customHeight="1">
      <c r="A1949" s="247"/>
      <c r="B1949" s="243"/>
      <c r="C1949" s="137" t="str">
        <v>Phonics</v>
      </c>
      <c r="D1949" s="138">
        <v>10</v>
      </c>
      <c r="E1949" s="139" t="str">
        <v/>
      </c>
      <c r="F1949" s="140" t="str">
        <f t="shared" si="114"/>
        <v/>
      </c>
    </row>
    <row r="1950" spans="1:7" ht="12.4" customHeight="1">
      <c r="A1950" s="247"/>
      <c r="B1950" s="243"/>
      <c r="C1950" s="137" t="str">
        <v>Math</v>
      </c>
      <c r="D1950" s="138">
        <v>10</v>
      </c>
      <c r="E1950" s="139" t="str">
        <v/>
      </c>
      <c r="F1950" s="140" t="str">
        <f t="shared" si="114"/>
        <v/>
      </c>
    </row>
    <row r="1951" spans="1:7" ht="12.4" customHeight="1">
      <c r="A1951" s="247"/>
      <c r="B1951" s="243"/>
      <c r="C1951" s="137" t="str">
        <v>Shape</v>
      </c>
      <c r="D1951" s="138">
        <v>10</v>
      </c>
      <c r="E1951" s="139" t="str">
        <v/>
      </c>
      <c r="F1951" s="140" t="str">
        <f t="shared" si="114"/>
        <v/>
      </c>
    </row>
    <row r="1952" spans="1:7" ht="12.4" customHeight="1">
      <c r="A1952" s="247"/>
      <c r="B1952" s="243"/>
      <c r="C1952" s="137" t="str">
        <v>Science</v>
      </c>
      <c r="D1952" s="138">
        <v>10</v>
      </c>
      <c r="E1952" s="139" t="str">
        <v/>
      </c>
      <c r="F1952" s="140" t="str">
        <f t="shared" si="114"/>
        <v/>
      </c>
    </row>
    <row r="1953" spans="1:7" ht="12.4" customHeight="1">
      <c r="A1953" s="247"/>
      <c r="B1953" s="244"/>
      <c r="C1953" s="141" t="str">
        <v>Tracing</v>
      </c>
      <c r="D1953" s="142">
        <v>10</v>
      </c>
      <c r="E1953" s="143" t="str">
        <v/>
      </c>
      <c r="F1953" s="144" t="str">
        <f t="shared" si="114"/>
        <v/>
      </c>
    </row>
    <row r="1954" spans="1:7" ht="12.4" customHeight="1">
      <c r="A1954" s="248"/>
      <c r="B1954" s="240" t="s">
        <v>133</v>
      </c>
      <c r="C1954" s="241"/>
      <c r="D1954" s="103">
        <f>D1943*20%+SUM(D1944:D1953)*80%</f>
        <v>100</v>
      </c>
      <c r="E1954" s="110" t="str">
        <v/>
      </c>
      <c r="F1954" s="104" t="str">
        <f t="shared" si="114"/>
        <v/>
      </c>
    </row>
    <row r="1956" spans="1:7" ht="12.4" customHeight="1">
      <c r="A1956" s="230" t="s">
        <v>121</v>
      </c>
      <c r="B1956" s="231"/>
      <c r="C1956" s="231"/>
      <c r="D1956" s="107" t="s">
        <v>123</v>
      </c>
      <c r="E1956" s="232" t="str">
        <f>I140</f>
        <v/>
      </c>
      <c r="F1956" s="233"/>
      <c r="G1956" s="101">
        <v>140</v>
      </c>
    </row>
    <row r="1957" spans="1:7" ht="12.4" customHeight="1">
      <c r="A1957" s="105" t="s">
        <v>122</v>
      </c>
      <c r="B1957" s="235" t="str">
        <f>$K$110</f>
        <v>FEBRUARY - JULY 2026</v>
      </c>
      <c r="C1957" s="235"/>
      <c r="D1957" s="106" t="s">
        <v>124</v>
      </c>
      <c r="E1957" s="235" t="str">
        <f>$I$110</f>
        <v/>
      </c>
      <c r="F1957" s="236"/>
    </row>
    <row r="1958" spans="1:7" ht="12.4" customHeight="1">
      <c r="A1958" s="237" t="s">
        <v>130</v>
      </c>
      <c r="B1958" s="238"/>
      <c r="C1958" s="238"/>
      <c r="D1958" s="238"/>
      <c r="E1958" s="238"/>
      <c r="F1958" s="239"/>
    </row>
    <row r="1959" spans="1:7" ht="12.4" customHeight="1">
      <c r="A1959" s="245" t="s">
        <v>14</v>
      </c>
      <c r="B1959" s="240" t="s">
        <v>125</v>
      </c>
      <c r="C1959" s="241"/>
      <c r="D1959" s="102" t="s">
        <v>126</v>
      </c>
      <c r="E1959" s="109" t="s">
        <v>127</v>
      </c>
      <c r="F1959" s="102" t="s">
        <v>128</v>
      </c>
    </row>
    <row r="1960" spans="1:7" ht="12.4" customHeight="1">
      <c r="A1960" s="246"/>
      <c r="B1960" s="240" t="s">
        <v>129</v>
      </c>
      <c r="C1960" s="241"/>
      <c r="D1960" s="102">
        <v>100</v>
      </c>
      <c r="E1960" s="110" t="str" cm="1">
        <f t="array" ref="E1960:E1971">TRANSPOSE(K140:V140)</f>
        <v/>
      </c>
      <c r="F1960" s="104" t="str">
        <f>IF(E1960="","",IF(E1960&lt;D1960*60%,"Try harder",""))</f>
        <v/>
      </c>
    </row>
    <row r="1961" spans="1:7" ht="12.4" customHeight="1">
      <c r="A1961" s="246"/>
      <c r="B1961" s="242" t="s">
        <v>132</v>
      </c>
      <c r="C1961" s="133" t="str" cm="1">
        <f t="array" ref="C1961:C1970">TRANSPOSE($L$113:$U$113)</f>
        <v>Up-Low C</v>
      </c>
      <c r="D1961" s="134">
        <v>10</v>
      </c>
      <c r="E1961" s="135" t="str">
        <v/>
      </c>
      <c r="F1961" s="136" t="str">
        <f t="shared" ref="F1961:F1971" si="115">IF(E1961="","",IF(E1961&lt;D1961*60%,"Try harder",""))</f>
        <v/>
      </c>
    </row>
    <row r="1962" spans="1:7" ht="12.4" customHeight="1">
      <c r="A1962" s="246"/>
      <c r="B1962" s="243"/>
      <c r="C1962" s="137" t="str">
        <v>Alphabet N</v>
      </c>
      <c r="D1962" s="138">
        <v>10</v>
      </c>
      <c r="E1962" s="139" t="str">
        <v/>
      </c>
      <c r="F1962" s="140" t="str">
        <f t="shared" si="115"/>
        <v/>
      </c>
    </row>
    <row r="1963" spans="1:7" ht="12.4" customHeight="1">
      <c r="A1963" s="246"/>
      <c r="B1963" s="243"/>
      <c r="C1963" s="137" t="str">
        <v>Alphabet S</v>
      </c>
      <c r="D1963" s="138">
        <v>10</v>
      </c>
      <c r="E1963" s="139" t="str">
        <v/>
      </c>
      <c r="F1963" s="140" t="str">
        <f t="shared" si="115"/>
        <v/>
      </c>
    </row>
    <row r="1964" spans="1:7" ht="12.4" customHeight="1">
      <c r="A1964" s="246"/>
      <c r="B1964" s="243"/>
      <c r="C1964" s="137" t="str">
        <v>Vocabulary</v>
      </c>
      <c r="D1964" s="138">
        <v>10</v>
      </c>
      <c r="E1964" s="139" t="str">
        <v/>
      </c>
      <c r="F1964" s="140" t="str">
        <f t="shared" si="115"/>
        <v/>
      </c>
    </row>
    <row r="1965" spans="1:7" ht="12.4" customHeight="1">
      <c r="A1965" s="247" t="s">
        <v>131</v>
      </c>
      <c r="B1965" s="243"/>
      <c r="C1965" s="137" t="str">
        <v>Sprouts</v>
      </c>
      <c r="D1965" s="138">
        <v>10</v>
      </c>
      <c r="E1965" s="139" t="str">
        <v/>
      </c>
      <c r="F1965" s="140" t="str">
        <f t="shared" si="115"/>
        <v/>
      </c>
    </row>
    <row r="1966" spans="1:7" ht="12.4" customHeight="1">
      <c r="A1966" s="247"/>
      <c r="B1966" s="243"/>
      <c r="C1966" s="137" t="str">
        <v>Phonics</v>
      </c>
      <c r="D1966" s="138">
        <v>10</v>
      </c>
      <c r="E1966" s="139" t="str">
        <v/>
      </c>
      <c r="F1966" s="140" t="str">
        <f t="shared" si="115"/>
        <v/>
      </c>
    </row>
    <row r="1967" spans="1:7" ht="12.4" customHeight="1">
      <c r="A1967" s="247"/>
      <c r="B1967" s="243"/>
      <c r="C1967" s="137" t="str">
        <v>Math</v>
      </c>
      <c r="D1967" s="138">
        <v>10</v>
      </c>
      <c r="E1967" s="139" t="str">
        <v/>
      </c>
      <c r="F1967" s="140" t="str">
        <f t="shared" si="115"/>
        <v/>
      </c>
    </row>
    <row r="1968" spans="1:7" ht="12.4" customHeight="1">
      <c r="A1968" s="247"/>
      <c r="B1968" s="243"/>
      <c r="C1968" s="137" t="str">
        <v>Shape</v>
      </c>
      <c r="D1968" s="138">
        <v>10</v>
      </c>
      <c r="E1968" s="139" t="str">
        <v/>
      </c>
      <c r="F1968" s="140" t="str">
        <f t="shared" si="115"/>
        <v/>
      </c>
    </row>
    <row r="1969" spans="1:7" ht="12.4" customHeight="1">
      <c r="A1969" s="247"/>
      <c r="B1969" s="243"/>
      <c r="C1969" s="137" t="str">
        <v>Science</v>
      </c>
      <c r="D1969" s="138">
        <v>10</v>
      </c>
      <c r="E1969" s="139" t="str">
        <v/>
      </c>
      <c r="F1969" s="140" t="str">
        <f t="shared" si="115"/>
        <v/>
      </c>
    </row>
    <row r="1970" spans="1:7" ht="12.4" customHeight="1">
      <c r="A1970" s="247"/>
      <c r="B1970" s="244"/>
      <c r="C1970" s="141" t="str">
        <v>Tracing</v>
      </c>
      <c r="D1970" s="142">
        <v>10</v>
      </c>
      <c r="E1970" s="143" t="str">
        <v/>
      </c>
      <c r="F1970" s="144" t="str">
        <f t="shared" si="115"/>
        <v/>
      </c>
    </row>
    <row r="1971" spans="1:7" ht="12.4" customHeight="1">
      <c r="A1971" s="248"/>
      <c r="B1971" s="240" t="s">
        <v>133</v>
      </c>
      <c r="C1971" s="241"/>
      <c r="D1971" s="103">
        <f>D1960*20%+SUM(D1961:D1970)*80%</f>
        <v>100</v>
      </c>
      <c r="E1971" s="110" t="str">
        <v/>
      </c>
      <c r="F1971" s="104" t="str">
        <f t="shared" si="115"/>
        <v/>
      </c>
    </row>
    <row r="1973" spans="1:7" ht="12.4" customHeight="1">
      <c r="A1973" s="230" t="s">
        <v>121</v>
      </c>
      <c r="B1973" s="231"/>
      <c r="C1973" s="231"/>
      <c r="D1973" s="107" t="s">
        <v>123</v>
      </c>
      <c r="E1973" s="232" t="str">
        <f>I141</f>
        <v/>
      </c>
      <c r="F1973" s="233"/>
      <c r="G1973" s="101">
        <v>141</v>
      </c>
    </row>
    <row r="1974" spans="1:7" ht="12.4" customHeight="1">
      <c r="A1974" s="105" t="s">
        <v>122</v>
      </c>
      <c r="B1974" s="235" t="str">
        <f>$K$110</f>
        <v>FEBRUARY - JULY 2026</v>
      </c>
      <c r="C1974" s="235"/>
      <c r="D1974" s="106" t="s">
        <v>124</v>
      </c>
      <c r="E1974" s="235" t="str">
        <f>$I$110</f>
        <v/>
      </c>
      <c r="F1974" s="236"/>
    </row>
    <row r="1975" spans="1:7" ht="12.4" customHeight="1">
      <c r="A1975" s="237" t="s">
        <v>130</v>
      </c>
      <c r="B1975" s="238"/>
      <c r="C1975" s="238"/>
      <c r="D1975" s="238"/>
      <c r="E1975" s="238"/>
      <c r="F1975" s="239"/>
    </row>
    <row r="1976" spans="1:7" ht="12.4" customHeight="1">
      <c r="A1976" s="245" t="s">
        <v>14</v>
      </c>
      <c r="B1976" s="240" t="s">
        <v>125</v>
      </c>
      <c r="C1976" s="241"/>
      <c r="D1976" s="102" t="s">
        <v>126</v>
      </c>
      <c r="E1976" s="109" t="s">
        <v>127</v>
      </c>
      <c r="F1976" s="102" t="s">
        <v>128</v>
      </c>
    </row>
    <row r="1977" spans="1:7" ht="12.4" customHeight="1">
      <c r="A1977" s="246"/>
      <c r="B1977" s="240" t="s">
        <v>129</v>
      </c>
      <c r="C1977" s="241"/>
      <c r="D1977" s="102">
        <v>100</v>
      </c>
      <c r="E1977" s="110" t="str" cm="1">
        <f t="array" ref="E1977:E1988">TRANSPOSE(K141:V141)</f>
        <v/>
      </c>
      <c r="F1977" s="104" t="str">
        <f>IF(E1977="","",IF(E1977&lt;D1977*60%,"Try harder",""))</f>
        <v/>
      </c>
    </row>
    <row r="1978" spans="1:7" ht="12.4" customHeight="1">
      <c r="A1978" s="246"/>
      <c r="B1978" s="242" t="s">
        <v>132</v>
      </c>
      <c r="C1978" s="133" t="str" cm="1">
        <f t="array" ref="C1978:C1987">TRANSPOSE($L$113:$U$113)</f>
        <v>Up-Low C</v>
      </c>
      <c r="D1978" s="134">
        <v>10</v>
      </c>
      <c r="E1978" s="135" t="str">
        <v/>
      </c>
      <c r="F1978" s="136" t="str">
        <f t="shared" ref="F1978:F1988" si="116">IF(E1978="","",IF(E1978&lt;D1978*60%,"Try harder",""))</f>
        <v/>
      </c>
    </row>
    <row r="1979" spans="1:7" ht="12.4" customHeight="1">
      <c r="A1979" s="246"/>
      <c r="B1979" s="243"/>
      <c r="C1979" s="137" t="str">
        <v>Alphabet N</v>
      </c>
      <c r="D1979" s="138">
        <v>10</v>
      </c>
      <c r="E1979" s="139" t="str">
        <v/>
      </c>
      <c r="F1979" s="140" t="str">
        <f t="shared" si="116"/>
        <v/>
      </c>
    </row>
    <row r="1980" spans="1:7" ht="12.4" customHeight="1">
      <c r="A1980" s="246"/>
      <c r="B1980" s="243"/>
      <c r="C1980" s="137" t="str">
        <v>Alphabet S</v>
      </c>
      <c r="D1980" s="138">
        <v>10</v>
      </c>
      <c r="E1980" s="139" t="str">
        <v/>
      </c>
      <c r="F1980" s="140" t="str">
        <f t="shared" si="116"/>
        <v/>
      </c>
    </row>
    <row r="1981" spans="1:7" ht="12.4" customHeight="1">
      <c r="A1981" s="246"/>
      <c r="B1981" s="243"/>
      <c r="C1981" s="137" t="str">
        <v>Vocabulary</v>
      </c>
      <c r="D1981" s="138">
        <v>10</v>
      </c>
      <c r="E1981" s="139" t="str">
        <v/>
      </c>
      <c r="F1981" s="140" t="str">
        <f t="shared" si="116"/>
        <v/>
      </c>
    </row>
    <row r="1982" spans="1:7" ht="12.4" customHeight="1">
      <c r="A1982" s="247" t="s">
        <v>131</v>
      </c>
      <c r="B1982" s="243"/>
      <c r="C1982" s="137" t="str">
        <v>Sprouts</v>
      </c>
      <c r="D1982" s="138">
        <v>10</v>
      </c>
      <c r="E1982" s="139" t="str">
        <v/>
      </c>
      <c r="F1982" s="140" t="str">
        <f t="shared" si="116"/>
        <v/>
      </c>
    </row>
    <row r="1983" spans="1:7" ht="12.4" customHeight="1">
      <c r="A1983" s="247"/>
      <c r="B1983" s="243"/>
      <c r="C1983" s="137" t="str">
        <v>Phonics</v>
      </c>
      <c r="D1983" s="138">
        <v>10</v>
      </c>
      <c r="E1983" s="139" t="str">
        <v/>
      </c>
      <c r="F1983" s="140" t="str">
        <f t="shared" si="116"/>
        <v/>
      </c>
    </row>
    <row r="1984" spans="1:7" ht="12.4" customHeight="1">
      <c r="A1984" s="247"/>
      <c r="B1984" s="243"/>
      <c r="C1984" s="137" t="str">
        <v>Math</v>
      </c>
      <c r="D1984" s="138">
        <v>10</v>
      </c>
      <c r="E1984" s="139" t="str">
        <v/>
      </c>
      <c r="F1984" s="140" t="str">
        <f t="shared" si="116"/>
        <v/>
      </c>
    </row>
    <row r="1985" spans="1:7" ht="12.4" customHeight="1">
      <c r="A1985" s="247"/>
      <c r="B1985" s="243"/>
      <c r="C1985" s="137" t="str">
        <v>Shape</v>
      </c>
      <c r="D1985" s="138">
        <v>10</v>
      </c>
      <c r="E1985" s="139" t="str">
        <v/>
      </c>
      <c r="F1985" s="140" t="str">
        <f t="shared" si="116"/>
        <v/>
      </c>
    </row>
    <row r="1986" spans="1:7" ht="12.4" customHeight="1">
      <c r="A1986" s="247"/>
      <c r="B1986" s="243"/>
      <c r="C1986" s="137" t="str">
        <v>Science</v>
      </c>
      <c r="D1986" s="138">
        <v>10</v>
      </c>
      <c r="E1986" s="139" t="str">
        <v/>
      </c>
      <c r="F1986" s="140" t="str">
        <f t="shared" si="116"/>
        <v/>
      </c>
    </row>
    <row r="1987" spans="1:7" ht="12.4" customHeight="1">
      <c r="A1987" s="247"/>
      <c r="B1987" s="244"/>
      <c r="C1987" s="141" t="str">
        <v>Tracing</v>
      </c>
      <c r="D1987" s="142">
        <v>10</v>
      </c>
      <c r="E1987" s="143" t="str">
        <v/>
      </c>
      <c r="F1987" s="144" t="str">
        <f t="shared" si="116"/>
        <v/>
      </c>
    </row>
    <row r="1988" spans="1:7" ht="12.4" customHeight="1">
      <c r="A1988" s="248"/>
      <c r="B1988" s="240" t="s">
        <v>133</v>
      </c>
      <c r="C1988" s="241"/>
      <c r="D1988" s="103">
        <f>D1977*20%+SUM(D1978:D1987)*80%</f>
        <v>100</v>
      </c>
      <c r="E1988" s="110" t="str">
        <v/>
      </c>
      <c r="F1988" s="104" t="str">
        <f t="shared" si="116"/>
        <v/>
      </c>
    </row>
    <row r="1990" spans="1:7" ht="12.4" customHeight="1">
      <c r="A1990" s="230" t="s">
        <v>121</v>
      </c>
      <c r="B1990" s="231"/>
      <c r="C1990" s="231"/>
      <c r="D1990" s="107" t="s">
        <v>123</v>
      </c>
      <c r="E1990" s="232" t="str">
        <f>I142</f>
        <v/>
      </c>
      <c r="F1990" s="233"/>
      <c r="G1990" s="101">
        <v>142</v>
      </c>
    </row>
    <row r="1991" spans="1:7" ht="12.4" customHeight="1">
      <c r="A1991" s="105" t="s">
        <v>122</v>
      </c>
      <c r="B1991" s="235" t="str">
        <f>$K$110</f>
        <v>FEBRUARY - JULY 2026</v>
      </c>
      <c r="C1991" s="235"/>
      <c r="D1991" s="106" t="s">
        <v>124</v>
      </c>
      <c r="E1991" s="235" t="str">
        <f>$I$110</f>
        <v/>
      </c>
      <c r="F1991" s="236"/>
    </row>
    <row r="1992" spans="1:7" ht="12.4" customHeight="1">
      <c r="A1992" s="237" t="s">
        <v>130</v>
      </c>
      <c r="B1992" s="238"/>
      <c r="C1992" s="238"/>
      <c r="D1992" s="238"/>
      <c r="E1992" s="238"/>
      <c r="F1992" s="239"/>
    </row>
    <row r="1993" spans="1:7" ht="12.4" customHeight="1">
      <c r="A1993" s="245" t="s">
        <v>14</v>
      </c>
      <c r="B1993" s="240" t="s">
        <v>125</v>
      </c>
      <c r="C1993" s="241"/>
      <c r="D1993" s="102" t="s">
        <v>126</v>
      </c>
      <c r="E1993" s="109" t="s">
        <v>127</v>
      </c>
      <c r="F1993" s="102" t="s">
        <v>128</v>
      </c>
    </row>
    <row r="1994" spans="1:7" ht="12.4" customHeight="1">
      <c r="A1994" s="246"/>
      <c r="B1994" s="240" t="s">
        <v>129</v>
      </c>
      <c r="C1994" s="241"/>
      <c r="D1994" s="102">
        <v>100</v>
      </c>
      <c r="E1994" s="110" t="str" cm="1">
        <f t="array" ref="E1994:E2005">TRANSPOSE(K142:V142)</f>
        <v/>
      </c>
      <c r="F1994" s="104" t="str">
        <f>IF(E1994="","",IF(E1994&lt;D1994*60%,"Try harder",""))</f>
        <v/>
      </c>
    </row>
    <row r="1995" spans="1:7" ht="12.4" customHeight="1">
      <c r="A1995" s="246"/>
      <c r="B1995" s="242" t="s">
        <v>132</v>
      </c>
      <c r="C1995" s="133" t="str" cm="1">
        <f t="array" ref="C1995:C2004">TRANSPOSE($L$113:$U$113)</f>
        <v>Up-Low C</v>
      </c>
      <c r="D1995" s="134">
        <v>10</v>
      </c>
      <c r="E1995" s="135" t="str">
        <v/>
      </c>
      <c r="F1995" s="136" t="str">
        <f t="shared" ref="F1995:F2005" si="117">IF(E1995="","",IF(E1995&lt;D1995*60%,"Try harder",""))</f>
        <v/>
      </c>
    </row>
    <row r="1996" spans="1:7" ht="12.4" customHeight="1">
      <c r="A1996" s="246"/>
      <c r="B1996" s="243"/>
      <c r="C1996" s="137" t="str">
        <v>Alphabet N</v>
      </c>
      <c r="D1996" s="138">
        <v>10</v>
      </c>
      <c r="E1996" s="139" t="str">
        <v/>
      </c>
      <c r="F1996" s="140" t="str">
        <f t="shared" si="117"/>
        <v/>
      </c>
    </row>
    <row r="1997" spans="1:7" ht="12.4" customHeight="1">
      <c r="A1997" s="246"/>
      <c r="B1997" s="243"/>
      <c r="C1997" s="137" t="str">
        <v>Alphabet S</v>
      </c>
      <c r="D1997" s="138">
        <v>10</v>
      </c>
      <c r="E1997" s="139" t="str">
        <v/>
      </c>
      <c r="F1997" s="140" t="str">
        <f t="shared" si="117"/>
        <v/>
      </c>
    </row>
    <row r="1998" spans="1:7" ht="12.4" customHeight="1">
      <c r="A1998" s="246"/>
      <c r="B1998" s="243"/>
      <c r="C1998" s="137" t="str">
        <v>Vocabulary</v>
      </c>
      <c r="D1998" s="138">
        <v>10</v>
      </c>
      <c r="E1998" s="139" t="str">
        <v/>
      </c>
      <c r="F1998" s="140" t="str">
        <f t="shared" si="117"/>
        <v/>
      </c>
    </row>
    <row r="1999" spans="1:7" ht="12.4" customHeight="1">
      <c r="A1999" s="247" t="s">
        <v>131</v>
      </c>
      <c r="B1999" s="243"/>
      <c r="C1999" s="137" t="str">
        <v>Sprouts</v>
      </c>
      <c r="D1999" s="138">
        <v>10</v>
      </c>
      <c r="E1999" s="139" t="str">
        <v/>
      </c>
      <c r="F1999" s="140" t="str">
        <f t="shared" si="117"/>
        <v/>
      </c>
    </row>
    <row r="2000" spans="1:7" ht="12.4" customHeight="1">
      <c r="A2000" s="247"/>
      <c r="B2000" s="243"/>
      <c r="C2000" s="137" t="str">
        <v>Phonics</v>
      </c>
      <c r="D2000" s="138">
        <v>10</v>
      </c>
      <c r="E2000" s="139" t="str">
        <v/>
      </c>
      <c r="F2000" s="140" t="str">
        <f t="shared" si="117"/>
        <v/>
      </c>
    </row>
    <row r="2001" spans="1:7" ht="12.4" customHeight="1">
      <c r="A2001" s="247"/>
      <c r="B2001" s="243"/>
      <c r="C2001" s="137" t="str">
        <v>Math</v>
      </c>
      <c r="D2001" s="138">
        <v>10</v>
      </c>
      <c r="E2001" s="139" t="str">
        <v/>
      </c>
      <c r="F2001" s="140" t="str">
        <f t="shared" si="117"/>
        <v/>
      </c>
    </row>
    <row r="2002" spans="1:7" ht="12.4" customHeight="1">
      <c r="A2002" s="247"/>
      <c r="B2002" s="243"/>
      <c r="C2002" s="137" t="str">
        <v>Shape</v>
      </c>
      <c r="D2002" s="138">
        <v>10</v>
      </c>
      <c r="E2002" s="139" t="str">
        <v/>
      </c>
      <c r="F2002" s="140" t="str">
        <f t="shared" si="117"/>
        <v/>
      </c>
    </row>
    <row r="2003" spans="1:7" ht="12.4" customHeight="1">
      <c r="A2003" s="247"/>
      <c r="B2003" s="243"/>
      <c r="C2003" s="137" t="str">
        <v>Science</v>
      </c>
      <c r="D2003" s="138">
        <v>10</v>
      </c>
      <c r="E2003" s="139" t="str">
        <v/>
      </c>
      <c r="F2003" s="140" t="str">
        <f t="shared" si="117"/>
        <v/>
      </c>
    </row>
    <row r="2004" spans="1:7" ht="12.4" customHeight="1">
      <c r="A2004" s="247"/>
      <c r="B2004" s="244"/>
      <c r="C2004" s="141" t="str">
        <v>Tracing</v>
      </c>
      <c r="D2004" s="142">
        <v>10</v>
      </c>
      <c r="E2004" s="143" t="str">
        <v/>
      </c>
      <c r="F2004" s="144" t="str">
        <f t="shared" si="117"/>
        <v/>
      </c>
    </row>
    <row r="2005" spans="1:7" ht="12.4" customHeight="1">
      <c r="A2005" s="248"/>
      <c r="B2005" s="240" t="s">
        <v>133</v>
      </c>
      <c r="C2005" s="241"/>
      <c r="D2005" s="103">
        <f>D1994*20%+SUM(D1995:D2004)*80%</f>
        <v>100</v>
      </c>
      <c r="E2005" s="110" t="str">
        <v/>
      </c>
      <c r="F2005" s="104" t="str">
        <f t="shared" si="117"/>
        <v/>
      </c>
    </row>
    <row r="2007" spans="1:7" ht="12.4" customHeight="1">
      <c r="A2007" s="230" t="s">
        <v>121</v>
      </c>
      <c r="B2007" s="231"/>
      <c r="C2007" s="231"/>
      <c r="D2007" s="107" t="s">
        <v>123</v>
      </c>
      <c r="E2007" s="232" t="str">
        <f>I143</f>
        <v/>
      </c>
      <c r="F2007" s="233"/>
      <c r="G2007" s="101">
        <v>143</v>
      </c>
    </row>
    <row r="2008" spans="1:7" ht="12.4" customHeight="1">
      <c r="A2008" s="105" t="s">
        <v>122</v>
      </c>
      <c r="B2008" s="235" t="str">
        <f>$K$110</f>
        <v>FEBRUARY - JULY 2026</v>
      </c>
      <c r="C2008" s="235"/>
      <c r="D2008" s="106" t="s">
        <v>124</v>
      </c>
      <c r="E2008" s="235" t="str">
        <f>$I$110</f>
        <v/>
      </c>
      <c r="F2008" s="236"/>
    </row>
    <row r="2009" spans="1:7" ht="12.4" customHeight="1">
      <c r="A2009" s="237" t="s">
        <v>130</v>
      </c>
      <c r="B2009" s="238"/>
      <c r="C2009" s="238"/>
      <c r="D2009" s="238"/>
      <c r="E2009" s="238"/>
      <c r="F2009" s="239"/>
    </row>
    <row r="2010" spans="1:7" ht="12.4" customHeight="1">
      <c r="A2010" s="245" t="s">
        <v>14</v>
      </c>
      <c r="B2010" s="240" t="s">
        <v>125</v>
      </c>
      <c r="C2010" s="241"/>
      <c r="D2010" s="102" t="s">
        <v>126</v>
      </c>
      <c r="E2010" s="109" t="s">
        <v>127</v>
      </c>
      <c r="F2010" s="102" t="s">
        <v>128</v>
      </c>
    </row>
    <row r="2011" spans="1:7" ht="12.4" customHeight="1">
      <c r="A2011" s="246"/>
      <c r="B2011" s="240" t="s">
        <v>129</v>
      </c>
      <c r="C2011" s="241"/>
      <c r="D2011" s="102">
        <v>100</v>
      </c>
      <c r="E2011" s="110" t="str" cm="1">
        <f t="array" ref="E2011:E2022">TRANSPOSE(K143:V143)</f>
        <v/>
      </c>
      <c r="F2011" s="104" t="str">
        <f>IF(E2011="","",IF(E2011&lt;D2011*60%,"Try harder",""))</f>
        <v/>
      </c>
    </row>
    <row r="2012" spans="1:7" ht="12.4" customHeight="1">
      <c r="A2012" s="246"/>
      <c r="B2012" s="242" t="s">
        <v>132</v>
      </c>
      <c r="C2012" s="133" t="str" cm="1">
        <f t="array" ref="C2012:C2021">TRANSPOSE($L$113:$U$113)</f>
        <v>Up-Low C</v>
      </c>
      <c r="D2012" s="134">
        <v>10</v>
      </c>
      <c r="E2012" s="135" t="str">
        <v/>
      </c>
      <c r="F2012" s="136" t="str">
        <f t="shared" ref="F2012:F2022" si="118">IF(E2012="","",IF(E2012&lt;D2012*60%,"Try harder",""))</f>
        <v/>
      </c>
    </row>
    <row r="2013" spans="1:7" ht="12.4" customHeight="1">
      <c r="A2013" s="246"/>
      <c r="B2013" s="243"/>
      <c r="C2013" s="137" t="str">
        <v>Alphabet N</v>
      </c>
      <c r="D2013" s="138">
        <v>10</v>
      </c>
      <c r="E2013" s="139" t="str">
        <v/>
      </c>
      <c r="F2013" s="140" t="str">
        <f t="shared" si="118"/>
        <v/>
      </c>
    </row>
    <row r="2014" spans="1:7" ht="12.4" customHeight="1">
      <c r="A2014" s="246"/>
      <c r="B2014" s="243"/>
      <c r="C2014" s="137" t="str">
        <v>Alphabet S</v>
      </c>
      <c r="D2014" s="138">
        <v>10</v>
      </c>
      <c r="E2014" s="139" t="str">
        <v/>
      </c>
      <c r="F2014" s="140" t="str">
        <f t="shared" si="118"/>
        <v/>
      </c>
    </row>
    <row r="2015" spans="1:7" ht="12.4" customHeight="1">
      <c r="A2015" s="246"/>
      <c r="B2015" s="243"/>
      <c r="C2015" s="137" t="str">
        <v>Vocabulary</v>
      </c>
      <c r="D2015" s="138">
        <v>10</v>
      </c>
      <c r="E2015" s="139" t="str">
        <v/>
      </c>
      <c r="F2015" s="140" t="str">
        <f t="shared" si="118"/>
        <v/>
      </c>
    </row>
    <row r="2016" spans="1:7" ht="12.4" customHeight="1">
      <c r="A2016" s="247" t="s">
        <v>131</v>
      </c>
      <c r="B2016" s="243"/>
      <c r="C2016" s="137" t="str">
        <v>Sprouts</v>
      </c>
      <c r="D2016" s="138">
        <v>10</v>
      </c>
      <c r="E2016" s="139" t="str">
        <v/>
      </c>
      <c r="F2016" s="140" t="str">
        <f t="shared" si="118"/>
        <v/>
      </c>
    </row>
    <row r="2017" spans="1:7" ht="12.4" customHeight="1">
      <c r="A2017" s="247"/>
      <c r="B2017" s="243"/>
      <c r="C2017" s="137" t="str">
        <v>Phonics</v>
      </c>
      <c r="D2017" s="138">
        <v>10</v>
      </c>
      <c r="E2017" s="139" t="str">
        <v/>
      </c>
      <c r="F2017" s="140" t="str">
        <f t="shared" si="118"/>
        <v/>
      </c>
    </row>
    <row r="2018" spans="1:7" ht="12.4" customHeight="1">
      <c r="A2018" s="247"/>
      <c r="B2018" s="243"/>
      <c r="C2018" s="137" t="str">
        <v>Math</v>
      </c>
      <c r="D2018" s="138">
        <v>10</v>
      </c>
      <c r="E2018" s="139" t="str">
        <v/>
      </c>
      <c r="F2018" s="140" t="str">
        <f t="shared" si="118"/>
        <v/>
      </c>
    </row>
    <row r="2019" spans="1:7" ht="12.4" customHeight="1">
      <c r="A2019" s="247"/>
      <c r="B2019" s="243"/>
      <c r="C2019" s="137" t="str">
        <v>Shape</v>
      </c>
      <c r="D2019" s="138">
        <v>10</v>
      </c>
      <c r="E2019" s="139" t="str">
        <v/>
      </c>
      <c r="F2019" s="140" t="str">
        <f t="shared" si="118"/>
        <v/>
      </c>
    </row>
    <row r="2020" spans="1:7" ht="12.4" customHeight="1">
      <c r="A2020" s="247"/>
      <c r="B2020" s="243"/>
      <c r="C2020" s="137" t="str">
        <v>Science</v>
      </c>
      <c r="D2020" s="138">
        <v>10</v>
      </c>
      <c r="E2020" s="139" t="str">
        <v/>
      </c>
      <c r="F2020" s="140" t="str">
        <f t="shared" si="118"/>
        <v/>
      </c>
    </row>
    <row r="2021" spans="1:7" ht="12.4" customHeight="1">
      <c r="A2021" s="247"/>
      <c r="B2021" s="244"/>
      <c r="C2021" s="141" t="str">
        <v>Tracing</v>
      </c>
      <c r="D2021" s="142">
        <v>10</v>
      </c>
      <c r="E2021" s="143" t="str">
        <v/>
      </c>
      <c r="F2021" s="144" t="str">
        <f t="shared" si="118"/>
        <v/>
      </c>
    </row>
    <row r="2022" spans="1:7" ht="12.4" customHeight="1">
      <c r="A2022" s="248"/>
      <c r="B2022" s="240" t="s">
        <v>133</v>
      </c>
      <c r="C2022" s="241"/>
      <c r="D2022" s="103">
        <f>D2011*20%+SUM(D2012:D2021)*80%</f>
        <v>100</v>
      </c>
      <c r="E2022" s="110" t="str">
        <v/>
      </c>
      <c r="F2022" s="104" t="str">
        <f t="shared" si="118"/>
        <v/>
      </c>
    </row>
    <row r="2024" spans="1:7" ht="12.4" customHeight="1">
      <c r="A2024" s="230" t="s">
        <v>121</v>
      </c>
      <c r="B2024" s="231"/>
      <c r="C2024" s="231"/>
      <c r="D2024" s="107" t="s">
        <v>123</v>
      </c>
      <c r="E2024" s="232" t="str">
        <f>I144</f>
        <v/>
      </c>
      <c r="F2024" s="233"/>
      <c r="G2024" s="101">
        <v>144</v>
      </c>
    </row>
    <row r="2025" spans="1:7" ht="12.4" customHeight="1">
      <c r="A2025" s="105" t="s">
        <v>122</v>
      </c>
      <c r="B2025" s="235" t="str">
        <f>$K$110</f>
        <v>FEBRUARY - JULY 2026</v>
      </c>
      <c r="C2025" s="235"/>
      <c r="D2025" s="106" t="s">
        <v>124</v>
      </c>
      <c r="E2025" s="235" t="str">
        <f>$I$110</f>
        <v/>
      </c>
      <c r="F2025" s="236"/>
    </row>
    <row r="2026" spans="1:7" ht="12.4" customHeight="1">
      <c r="A2026" s="237" t="s">
        <v>130</v>
      </c>
      <c r="B2026" s="238"/>
      <c r="C2026" s="238"/>
      <c r="D2026" s="238"/>
      <c r="E2026" s="238"/>
      <c r="F2026" s="239"/>
    </row>
    <row r="2027" spans="1:7" ht="12.4" customHeight="1">
      <c r="A2027" s="245" t="s">
        <v>14</v>
      </c>
      <c r="B2027" s="240" t="s">
        <v>125</v>
      </c>
      <c r="C2027" s="241"/>
      <c r="D2027" s="102" t="s">
        <v>126</v>
      </c>
      <c r="E2027" s="109" t="s">
        <v>127</v>
      </c>
      <c r="F2027" s="102" t="s">
        <v>128</v>
      </c>
    </row>
    <row r="2028" spans="1:7" ht="12.4" customHeight="1">
      <c r="A2028" s="246"/>
      <c r="B2028" s="240" t="s">
        <v>129</v>
      </c>
      <c r="C2028" s="241"/>
      <c r="D2028" s="102">
        <v>100</v>
      </c>
      <c r="E2028" s="110" t="str" cm="1">
        <f t="array" ref="E2028:E2039">TRANSPOSE(K144:V144)</f>
        <v/>
      </c>
      <c r="F2028" s="104" t="str">
        <f>IF(E2028="","",IF(E2028&lt;D2028*60%,"Try harder",""))</f>
        <v/>
      </c>
    </row>
    <row r="2029" spans="1:7" ht="12.4" customHeight="1">
      <c r="A2029" s="246"/>
      <c r="B2029" s="242" t="s">
        <v>132</v>
      </c>
      <c r="C2029" s="133" t="str" cm="1">
        <f t="array" ref="C2029:C2038">TRANSPOSE($L$113:$U$113)</f>
        <v>Up-Low C</v>
      </c>
      <c r="D2029" s="134">
        <v>10</v>
      </c>
      <c r="E2029" s="135" t="str">
        <v/>
      </c>
      <c r="F2029" s="136" t="str">
        <f t="shared" ref="F2029:F2039" si="119">IF(E2029="","",IF(E2029&lt;D2029*60%,"Try harder",""))</f>
        <v/>
      </c>
    </row>
    <row r="2030" spans="1:7" ht="12.4" customHeight="1">
      <c r="A2030" s="246"/>
      <c r="B2030" s="243"/>
      <c r="C2030" s="137" t="str">
        <v>Alphabet N</v>
      </c>
      <c r="D2030" s="138">
        <v>10</v>
      </c>
      <c r="E2030" s="139" t="str">
        <v/>
      </c>
      <c r="F2030" s="140" t="str">
        <f t="shared" si="119"/>
        <v/>
      </c>
    </row>
    <row r="2031" spans="1:7" ht="12.4" customHeight="1">
      <c r="A2031" s="246"/>
      <c r="B2031" s="243"/>
      <c r="C2031" s="137" t="str">
        <v>Alphabet S</v>
      </c>
      <c r="D2031" s="138">
        <v>10</v>
      </c>
      <c r="E2031" s="139" t="str">
        <v/>
      </c>
      <c r="F2031" s="140" t="str">
        <f t="shared" si="119"/>
        <v/>
      </c>
    </row>
    <row r="2032" spans="1:7" ht="12.4" customHeight="1">
      <c r="A2032" s="246"/>
      <c r="B2032" s="243"/>
      <c r="C2032" s="137" t="str">
        <v>Vocabulary</v>
      </c>
      <c r="D2032" s="138">
        <v>10</v>
      </c>
      <c r="E2032" s="139" t="str">
        <v/>
      </c>
      <c r="F2032" s="140" t="str">
        <f t="shared" si="119"/>
        <v/>
      </c>
    </row>
    <row r="2033" spans="1:7" ht="12.4" customHeight="1">
      <c r="A2033" s="247" t="s">
        <v>131</v>
      </c>
      <c r="B2033" s="243"/>
      <c r="C2033" s="137" t="str">
        <v>Sprouts</v>
      </c>
      <c r="D2033" s="138">
        <v>10</v>
      </c>
      <c r="E2033" s="139" t="str">
        <v/>
      </c>
      <c r="F2033" s="140" t="str">
        <f t="shared" si="119"/>
        <v/>
      </c>
    </row>
    <row r="2034" spans="1:7" ht="12.4" customHeight="1">
      <c r="A2034" s="247"/>
      <c r="B2034" s="243"/>
      <c r="C2034" s="137" t="str">
        <v>Phonics</v>
      </c>
      <c r="D2034" s="138">
        <v>10</v>
      </c>
      <c r="E2034" s="139" t="str">
        <v/>
      </c>
      <c r="F2034" s="140" t="str">
        <f t="shared" si="119"/>
        <v/>
      </c>
    </row>
    <row r="2035" spans="1:7" ht="12.4" customHeight="1">
      <c r="A2035" s="247"/>
      <c r="B2035" s="243"/>
      <c r="C2035" s="137" t="str">
        <v>Math</v>
      </c>
      <c r="D2035" s="138">
        <v>10</v>
      </c>
      <c r="E2035" s="139" t="str">
        <v/>
      </c>
      <c r="F2035" s="140" t="str">
        <f t="shared" si="119"/>
        <v/>
      </c>
    </row>
    <row r="2036" spans="1:7" ht="12.4" customHeight="1">
      <c r="A2036" s="247"/>
      <c r="B2036" s="243"/>
      <c r="C2036" s="137" t="str">
        <v>Shape</v>
      </c>
      <c r="D2036" s="138">
        <v>10</v>
      </c>
      <c r="E2036" s="139" t="str">
        <v/>
      </c>
      <c r="F2036" s="140" t="str">
        <f t="shared" si="119"/>
        <v/>
      </c>
    </row>
    <row r="2037" spans="1:7" ht="12.4" customHeight="1">
      <c r="A2037" s="247"/>
      <c r="B2037" s="243"/>
      <c r="C2037" s="137" t="str">
        <v>Science</v>
      </c>
      <c r="D2037" s="138">
        <v>10</v>
      </c>
      <c r="E2037" s="139" t="str">
        <v/>
      </c>
      <c r="F2037" s="140" t="str">
        <f t="shared" si="119"/>
        <v/>
      </c>
    </row>
    <row r="2038" spans="1:7" ht="12.4" customHeight="1">
      <c r="A2038" s="247"/>
      <c r="B2038" s="244"/>
      <c r="C2038" s="141" t="str">
        <v>Tracing</v>
      </c>
      <c r="D2038" s="142">
        <v>10</v>
      </c>
      <c r="E2038" s="143" t="str">
        <v/>
      </c>
      <c r="F2038" s="144" t="str">
        <f t="shared" si="119"/>
        <v/>
      </c>
    </row>
    <row r="2039" spans="1:7" ht="12.4" customHeight="1">
      <c r="A2039" s="248"/>
      <c r="B2039" s="240" t="s">
        <v>133</v>
      </c>
      <c r="C2039" s="241"/>
      <c r="D2039" s="103">
        <f>D2028*20%+SUM(D2029:D2038)*80%</f>
        <v>100</v>
      </c>
      <c r="E2039" s="110" t="str">
        <v/>
      </c>
      <c r="F2039" s="104" t="str">
        <f t="shared" si="119"/>
        <v/>
      </c>
    </row>
    <row r="2041" spans="1:7" ht="12.4" customHeight="1">
      <c r="A2041" s="230" t="s">
        <v>121</v>
      </c>
      <c r="B2041" s="231"/>
      <c r="C2041" s="231"/>
      <c r="D2041" s="107" t="s">
        <v>123</v>
      </c>
      <c r="E2041" s="232" t="str">
        <f>I151</f>
        <v/>
      </c>
      <c r="F2041" s="233"/>
      <c r="G2041" s="101">
        <v>151</v>
      </c>
    </row>
    <row r="2042" spans="1:7" ht="12.4" customHeight="1">
      <c r="A2042" s="105" t="s">
        <v>122</v>
      </c>
      <c r="B2042" s="235" t="str">
        <f>$K$146</f>
        <v>FEBRUARY - JULY 2026</v>
      </c>
      <c r="C2042" s="235"/>
      <c r="D2042" s="106" t="s">
        <v>124</v>
      </c>
      <c r="E2042" s="235" t="str">
        <f>$I$146</f>
        <v/>
      </c>
      <c r="F2042" s="236"/>
    </row>
    <row r="2043" spans="1:7" ht="12.4" customHeight="1">
      <c r="A2043" s="237" t="s">
        <v>130</v>
      </c>
      <c r="B2043" s="238"/>
      <c r="C2043" s="238"/>
      <c r="D2043" s="238"/>
      <c r="E2043" s="238"/>
      <c r="F2043" s="239"/>
    </row>
    <row r="2044" spans="1:7" ht="12.4" customHeight="1">
      <c r="A2044" s="245" t="s">
        <v>14</v>
      </c>
      <c r="B2044" s="240" t="s">
        <v>125</v>
      </c>
      <c r="C2044" s="241"/>
      <c r="D2044" s="102" t="s">
        <v>126</v>
      </c>
      <c r="E2044" s="109" t="s">
        <v>127</v>
      </c>
      <c r="F2044" s="102" t="s">
        <v>128</v>
      </c>
    </row>
    <row r="2045" spans="1:7" ht="12.4" customHeight="1">
      <c r="A2045" s="246"/>
      <c r="B2045" s="240" t="s">
        <v>129</v>
      </c>
      <c r="C2045" s="241"/>
      <c r="D2045" s="102">
        <v>100</v>
      </c>
      <c r="E2045" s="110" t="str" cm="1">
        <f t="array" ref="E2045:E2056">TRANSPOSE(K151:V151)</f>
        <v/>
      </c>
      <c r="F2045" s="104" t="str">
        <f>IF(E2045="","",IF(E2045&lt;D2045*60%,"Try harder",""))</f>
        <v/>
      </c>
    </row>
    <row r="2046" spans="1:7" ht="12.4" customHeight="1">
      <c r="A2046" s="246"/>
      <c r="B2046" s="242" t="s">
        <v>132</v>
      </c>
      <c r="C2046" s="133" t="str" cm="1">
        <f t="array" ref="C2046:C2055">TRANSPOSE($L$149:$U$149)</f>
        <v>Up-Low C</v>
      </c>
      <c r="D2046" s="134">
        <v>10</v>
      </c>
      <c r="E2046" s="135" t="str">
        <v/>
      </c>
      <c r="F2046" s="136" t="str">
        <f t="shared" ref="F2046:F2056" si="120">IF(E2046="","",IF(E2046&lt;D2046*60%,"Try harder",""))</f>
        <v/>
      </c>
    </row>
    <row r="2047" spans="1:7" ht="12.4" customHeight="1">
      <c r="A2047" s="246"/>
      <c r="B2047" s="243"/>
      <c r="C2047" s="137" t="str">
        <v>Alphabet N</v>
      </c>
      <c r="D2047" s="138">
        <v>10</v>
      </c>
      <c r="E2047" s="139" t="str">
        <v/>
      </c>
      <c r="F2047" s="140" t="str">
        <f t="shared" si="120"/>
        <v/>
      </c>
    </row>
    <row r="2048" spans="1:7" ht="12.4" customHeight="1">
      <c r="A2048" s="246"/>
      <c r="B2048" s="243"/>
      <c r="C2048" s="137" t="str">
        <v>Alphabet S</v>
      </c>
      <c r="D2048" s="138">
        <v>10</v>
      </c>
      <c r="E2048" s="139" t="str">
        <v/>
      </c>
      <c r="F2048" s="140" t="str">
        <f t="shared" si="120"/>
        <v/>
      </c>
    </row>
    <row r="2049" spans="1:7" ht="12.4" customHeight="1">
      <c r="A2049" s="246"/>
      <c r="B2049" s="243"/>
      <c r="C2049" s="137" t="str">
        <v>Vocabulary</v>
      </c>
      <c r="D2049" s="138">
        <v>10</v>
      </c>
      <c r="E2049" s="139" t="str">
        <v/>
      </c>
      <c r="F2049" s="140" t="str">
        <f t="shared" si="120"/>
        <v/>
      </c>
    </row>
    <row r="2050" spans="1:7" ht="12.4" customHeight="1">
      <c r="A2050" s="247" t="s">
        <v>131</v>
      </c>
      <c r="B2050" s="243"/>
      <c r="C2050" s="137" t="str">
        <v>Sprouts</v>
      </c>
      <c r="D2050" s="138">
        <v>10</v>
      </c>
      <c r="E2050" s="139" t="str">
        <v/>
      </c>
      <c r="F2050" s="140" t="str">
        <f t="shared" si="120"/>
        <v/>
      </c>
    </row>
    <row r="2051" spans="1:7" ht="12.4" customHeight="1">
      <c r="A2051" s="247"/>
      <c r="B2051" s="243"/>
      <c r="C2051" s="137" t="str">
        <v>Phonics</v>
      </c>
      <c r="D2051" s="138">
        <v>10</v>
      </c>
      <c r="E2051" s="139" t="str">
        <v/>
      </c>
      <c r="F2051" s="140" t="str">
        <f t="shared" si="120"/>
        <v/>
      </c>
    </row>
    <row r="2052" spans="1:7" ht="12.4" customHeight="1">
      <c r="A2052" s="247"/>
      <c r="B2052" s="243"/>
      <c r="C2052" s="137" t="str">
        <v>Math</v>
      </c>
      <c r="D2052" s="138">
        <v>10</v>
      </c>
      <c r="E2052" s="139" t="str">
        <v/>
      </c>
      <c r="F2052" s="140" t="str">
        <f t="shared" si="120"/>
        <v/>
      </c>
    </row>
    <row r="2053" spans="1:7" ht="12.4" customHeight="1">
      <c r="A2053" s="247"/>
      <c r="B2053" s="243"/>
      <c r="C2053" s="137" t="str">
        <v>Shape</v>
      </c>
      <c r="D2053" s="138">
        <v>10</v>
      </c>
      <c r="E2053" s="139" t="str">
        <v/>
      </c>
      <c r="F2053" s="140" t="str">
        <f t="shared" si="120"/>
        <v/>
      </c>
    </row>
    <row r="2054" spans="1:7" ht="12.4" customHeight="1">
      <c r="A2054" s="247"/>
      <c r="B2054" s="243"/>
      <c r="C2054" s="137" t="str">
        <v>Science</v>
      </c>
      <c r="D2054" s="138">
        <v>10</v>
      </c>
      <c r="E2054" s="139" t="str">
        <v/>
      </c>
      <c r="F2054" s="140" t="str">
        <f t="shared" si="120"/>
        <v/>
      </c>
    </row>
    <row r="2055" spans="1:7" ht="12.4" customHeight="1">
      <c r="A2055" s="247"/>
      <c r="B2055" s="244"/>
      <c r="C2055" s="141" t="str">
        <v>Tracing</v>
      </c>
      <c r="D2055" s="142">
        <v>10</v>
      </c>
      <c r="E2055" s="143" t="str">
        <v/>
      </c>
      <c r="F2055" s="144" t="str">
        <f t="shared" si="120"/>
        <v/>
      </c>
    </row>
    <row r="2056" spans="1:7" ht="12.4" customHeight="1">
      <c r="A2056" s="248"/>
      <c r="B2056" s="240" t="s">
        <v>133</v>
      </c>
      <c r="C2056" s="241"/>
      <c r="D2056" s="103">
        <f>D2045*20%+SUM(D2046:D2055)*80%</f>
        <v>100</v>
      </c>
      <c r="E2056" s="110" t="str">
        <v/>
      </c>
      <c r="F2056" s="104" t="str">
        <f t="shared" si="120"/>
        <v/>
      </c>
    </row>
    <row r="2058" spans="1:7" ht="12.4" customHeight="1">
      <c r="A2058" s="230" t="s">
        <v>121</v>
      </c>
      <c r="B2058" s="231"/>
      <c r="C2058" s="231"/>
      <c r="D2058" s="107" t="s">
        <v>123</v>
      </c>
      <c r="E2058" s="232" t="str">
        <f>I152</f>
        <v/>
      </c>
      <c r="F2058" s="233"/>
      <c r="G2058" s="101">
        <v>152</v>
      </c>
    </row>
    <row r="2059" spans="1:7" ht="12.4" customHeight="1">
      <c r="A2059" s="105" t="s">
        <v>122</v>
      </c>
      <c r="B2059" s="235" t="str">
        <f>$K$146</f>
        <v>FEBRUARY - JULY 2026</v>
      </c>
      <c r="C2059" s="235"/>
      <c r="D2059" s="106" t="s">
        <v>124</v>
      </c>
      <c r="E2059" s="235" t="str">
        <f>$I$146</f>
        <v/>
      </c>
      <c r="F2059" s="236"/>
    </row>
    <row r="2060" spans="1:7" ht="12.4" customHeight="1">
      <c r="A2060" s="237" t="s">
        <v>130</v>
      </c>
      <c r="B2060" s="238"/>
      <c r="C2060" s="238"/>
      <c r="D2060" s="238"/>
      <c r="E2060" s="238"/>
      <c r="F2060" s="239"/>
    </row>
    <row r="2061" spans="1:7" ht="12.4" customHeight="1">
      <c r="A2061" s="245" t="s">
        <v>14</v>
      </c>
      <c r="B2061" s="240" t="s">
        <v>125</v>
      </c>
      <c r="C2061" s="241"/>
      <c r="D2061" s="102" t="s">
        <v>126</v>
      </c>
      <c r="E2061" s="109" t="s">
        <v>127</v>
      </c>
      <c r="F2061" s="102" t="s">
        <v>128</v>
      </c>
    </row>
    <row r="2062" spans="1:7" ht="12.4" customHeight="1">
      <c r="A2062" s="246"/>
      <c r="B2062" s="240" t="s">
        <v>129</v>
      </c>
      <c r="C2062" s="241"/>
      <c r="D2062" s="102">
        <v>100</v>
      </c>
      <c r="E2062" s="110" t="str" cm="1">
        <f t="array" ref="E2062:E2073">TRANSPOSE(K152:V152)</f>
        <v/>
      </c>
      <c r="F2062" s="104" t="str">
        <f>IF(E2062="","",IF(E2062&lt;D2062*60%,"Try harder",""))</f>
        <v/>
      </c>
    </row>
    <row r="2063" spans="1:7" ht="12.4" customHeight="1">
      <c r="A2063" s="246"/>
      <c r="B2063" s="242" t="s">
        <v>132</v>
      </c>
      <c r="C2063" s="133" t="str" cm="1">
        <f t="array" ref="C2063:C2072">TRANSPOSE($L$149:$U$149)</f>
        <v>Up-Low C</v>
      </c>
      <c r="D2063" s="134">
        <v>10</v>
      </c>
      <c r="E2063" s="135" t="str">
        <v/>
      </c>
      <c r="F2063" s="136" t="str">
        <f t="shared" ref="F2063:F2073" si="121">IF(E2063="","",IF(E2063&lt;D2063*60%,"Try harder",""))</f>
        <v/>
      </c>
    </row>
    <row r="2064" spans="1:7" ht="12.4" customHeight="1">
      <c r="A2064" s="246"/>
      <c r="B2064" s="243"/>
      <c r="C2064" s="137" t="str">
        <v>Alphabet N</v>
      </c>
      <c r="D2064" s="138">
        <v>10</v>
      </c>
      <c r="E2064" s="139" t="str">
        <v/>
      </c>
      <c r="F2064" s="140" t="str">
        <f t="shared" si="121"/>
        <v/>
      </c>
    </row>
    <row r="2065" spans="1:7" ht="12.4" customHeight="1">
      <c r="A2065" s="246"/>
      <c r="B2065" s="243"/>
      <c r="C2065" s="137" t="str">
        <v>Alphabet S</v>
      </c>
      <c r="D2065" s="138">
        <v>10</v>
      </c>
      <c r="E2065" s="139" t="str">
        <v/>
      </c>
      <c r="F2065" s="140" t="str">
        <f t="shared" si="121"/>
        <v/>
      </c>
    </row>
    <row r="2066" spans="1:7" ht="12.4" customHeight="1">
      <c r="A2066" s="246"/>
      <c r="B2066" s="243"/>
      <c r="C2066" s="137" t="str">
        <v>Vocabulary</v>
      </c>
      <c r="D2066" s="138">
        <v>10</v>
      </c>
      <c r="E2066" s="139" t="str">
        <v/>
      </c>
      <c r="F2066" s="140" t="str">
        <f t="shared" si="121"/>
        <v/>
      </c>
    </row>
    <row r="2067" spans="1:7" ht="12.4" customHeight="1">
      <c r="A2067" s="247" t="s">
        <v>131</v>
      </c>
      <c r="B2067" s="243"/>
      <c r="C2067" s="137" t="str">
        <v>Sprouts</v>
      </c>
      <c r="D2067" s="138">
        <v>10</v>
      </c>
      <c r="E2067" s="139" t="str">
        <v/>
      </c>
      <c r="F2067" s="140" t="str">
        <f t="shared" si="121"/>
        <v/>
      </c>
    </row>
    <row r="2068" spans="1:7" ht="12.4" customHeight="1">
      <c r="A2068" s="247"/>
      <c r="B2068" s="243"/>
      <c r="C2068" s="137" t="str">
        <v>Phonics</v>
      </c>
      <c r="D2068" s="138">
        <v>10</v>
      </c>
      <c r="E2068" s="139" t="str">
        <v/>
      </c>
      <c r="F2068" s="140" t="str">
        <f t="shared" si="121"/>
        <v/>
      </c>
    </row>
    <row r="2069" spans="1:7" ht="12.4" customHeight="1">
      <c r="A2069" s="247"/>
      <c r="B2069" s="243"/>
      <c r="C2069" s="137" t="str">
        <v>Math</v>
      </c>
      <c r="D2069" s="138">
        <v>10</v>
      </c>
      <c r="E2069" s="139" t="str">
        <v/>
      </c>
      <c r="F2069" s="140" t="str">
        <f t="shared" si="121"/>
        <v/>
      </c>
    </row>
    <row r="2070" spans="1:7" ht="12.4" customHeight="1">
      <c r="A2070" s="247"/>
      <c r="B2070" s="243"/>
      <c r="C2070" s="137" t="str">
        <v>Shape</v>
      </c>
      <c r="D2070" s="138">
        <v>10</v>
      </c>
      <c r="E2070" s="139" t="str">
        <v/>
      </c>
      <c r="F2070" s="140" t="str">
        <f t="shared" si="121"/>
        <v/>
      </c>
    </row>
    <row r="2071" spans="1:7" ht="12.4" customHeight="1">
      <c r="A2071" s="247"/>
      <c r="B2071" s="243"/>
      <c r="C2071" s="137" t="str">
        <v>Science</v>
      </c>
      <c r="D2071" s="138">
        <v>10</v>
      </c>
      <c r="E2071" s="139" t="str">
        <v/>
      </c>
      <c r="F2071" s="140" t="str">
        <f t="shared" si="121"/>
        <v/>
      </c>
    </row>
    <row r="2072" spans="1:7" ht="12.4" customHeight="1">
      <c r="A2072" s="247"/>
      <c r="B2072" s="244"/>
      <c r="C2072" s="141" t="str">
        <v>Tracing</v>
      </c>
      <c r="D2072" s="142">
        <v>10</v>
      </c>
      <c r="E2072" s="143" t="str">
        <v/>
      </c>
      <c r="F2072" s="144" t="str">
        <f t="shared" si="121"/>
        <v/>
      </c>
    </row>
    <row r="2073" spans="1:7" ht="12.4" customHeight="1">
      <c r="A2073" s="248"/>
      <c r="B2073" s="240" t="s">
        <v>133</v>
      </c>
      <c r="C2073" s="241"/>
      <c r="D2073" s="103">
        <f>D2062*20%+SUM(D2063:D2072)*80%</f>
        <v>100</v>
      </c>
      <c r="E2073" s="110" t="str">
        <v/>
      </c>
      <c r="F2073" s="104" t="str">
        <f t="shared" si="121"/>
        <v/>
      </c>
    </row>
    <row r="2075" spans="1:7" ht="12.4" customHeight="1">
      <c r="A2075" s="230" t="s">
        <v>121</v>
      </c>
      <c r="B2075" s="231"/>
      <c r="C2075" s="231"/>
      <c r="D2075" s="107" t="s">
        <v>123</v>
      </c>
      <c r="E2075" s="232" t="str">
        <f>I153</f>
        <v/>
      </c>
      <c r="F2075" s="233"/>
      <c r="G2075" s="101">
        <v>153</v>
      </c>
    </row>
    <row r="2076" spans="1:7" ht="12.4" customHeight="1">
      <c r="A2076" s="105" t="s">
        <v>122</v>
      </c>
      <c r="B2076" s="235" t="str">
        <f>$K$146</f>
        <v>FEBRUARY - JULY 2026</v>
      </c>
      <c r="C2076" s="235"/>
      <c r="D2076" s="106" t="s">
        <v>124</v>
      </c>
      <c r="E2076" s="235" t="str">
        <f>$I$146</f>
        <v/>
      </c>
      <c r="F2076" s="236"/>
    </row>
    <row r="2077" spans="1:7" ht="12.4" customHeight="1">
      <c r="A2077" s="237" t="s">
        <v>130</v>
      </c>
      <c r="B2077" s="238"/>
      <c r="C2077" s="238"/>
      <c r="D2077" s="238"/>
      <c r="E2077" s="238"/>
      <c r="F2077" s="239"/>
    </row>
    <row r="2078" spans="1:7" ht="12.4" customHeight="1">
      <c r="A2078" s="245" t="s">
        <v>14</v>
      </c>
      <c r="B2078" s="240" t="s">
        <v>125</v>
      </c>
      <c r="C2078" s="241"/>
      <c r="D2078" s="102" t="s">
        <v>126</v>
      </c>
      <c r="E2078" s="109" t="s">
        <v>127</v>
      </c>
      <c r="F2078" s="102" t="s">
        <v>128</v>
      </c>
    </row>
    <row r="2079" spans="1:7" ht="12.4" customHeight="1">
      <c r="A2079" s="246"/>
      <c r="B2079" s="240" t="s">
        <v>129</v>
      </c>
      <c r="C2079" s="241"/>
      <c r="D2079" s="102">
        <v>100</v>
      </c>
      <c r="E2079" s="110" t="str" cm="1">
        <f t="array" ref="E2079:E2090">TRANSPOSE(K153:V153)</f>
        <v/>
      </c>
      <c r="F2079" s="104" t="str">
        <f>IF(E2079="","",IF(E2079&lt;D2079*60%,"Try harder",""))</f>
        <v/>
      </c>
    </row>
    <row r="2080" spans="1:7" ht="12.4" customHeight="1">
      <c r="A2080" s="246"/>
      <c r="B2080" s="242" t="s">
        <v>132</v>
      </c>
      <c r="C2080" s="133" t="str" cm="1">
        <f t="array" ref="C2080:C2089">TRANSPOSE($L$149:$U$149)</f>
        <v>Up-Low C</v>
      </c>
      <c r="D2080" s="134">
        <v>10</v>
      </c>
      <c r="E2080" s="135" t="str">
        <v/>
      </c>
      <c r="F2080" s="136" t="str">
        <f t="shared" ref="F2080:F2090" si="122">IF(E2080="","",IF(E2080&lt;D2080*60%,"Try harder",""))</f>
        <v/>
      </c>
    </row>
    <row r="2081" spans="1:7" ht="12.4" customHeight="1">
      <c r="A2081" s="246"/>
      <c r="B2081" s="243"/>
      <c r="C2081" s="137" t="str">
        <v>Alphabet N</v>
      </c>
      <c r="D2081" s="138">
        <v>10</v>
      </c>
      <c r="E2081" s="139" t="str">
        <v/>
      </c>
      <c r="F2081" s="140" t="str">
        <f t="shared" si="122"/>
        <v/>
      </c>
    </row>
    <row r="2082" spans="1:7" ht="12.4" customHeight="1">
      <c r="A2082" s="246"/>
      <c r="B2082" s="243"/>
      <c r="C2082" s="137" t="str">
        <v>Alphabet S</v>
      </c>
      <c r="D2082" s="138">
        <v>10</v>
      </c>
      <c r="E2082" s="139" t="str">
        <v/>
      </c>
      <c r="F2082" s="140" t="str">
        <f t="shared" si="122"/>
        <v/>
      </c>
    </row>
    <row r="2083" spans="1:7" ht="12.4" customHeight="1">
      <c r="A2083" s="246"/>
      <c r="B2083" s="243"/>
      <c r="C2083" s="137" t="str">
        <v>Vocabulary</v>
      </c>
      <c r="D2083" s="138">
        <v>10</v>
      </c>
      <c r="E2083" s="139" t="str">
        <v/>
      </c>
      <c r="F2083" s="140" t="str">
        <f t="shared" si="122"/>
        <v/>
      </c>
    </row>
    <row r="2084" spans="1:7" ht="12.4" customHeight="1">
      <c r="A2084" s="247" t="s">
        <v>131</v>
      </c>
      <c r="B2084" s="243"/>
      <c r="C2084" s="137" t="str">
        <v>Sprouts</v>
      </c>
      <c r="D2084" s="138">
        <v>10</v>
      </c>
      <c r="E2084" s="139" t="str">
        <v/>
      </c>
      <c r="F2084" s="140" t="str">
        <f t="shared" si="122"/>
        <v/>
      </c>
    </row>
    <row r="2085" spans="1:7" ht="12.4" customHeight="1">
      <c r="A2085" s="247"/>
      <c r="B2085" s="243"/>
      <c r="C2085" s="137" t="str">
        <v>Phonics</v>
      </c>
      <c r="D2085" s="138">
        <v>10</v>
      </c>
      <c r="E2085" s="139" t="str">
        <v/>
      </c>
      <c r="F2085" s="140" t="str">
        <f t="shared" si="122"/>
        <v/>
      </c>
    </row>
    <row r="2086" spans="1:7" ht="12.4" customHeight="1">
      <c r="A2086" s="247"/>
      <c r="B2086" s="243"/>
      <c r="C2086" s="137" t="str">
        <v>Math</v>
      </c>
      <c r="D2086" s="138">
        <v>10</v>
      </c>
      <c r="E2086" s="139" t="str">
        <v/>
      </c>
      <c r="F2086" s="140" t="str">
        <f t="shared" si="122"/>
        <v/>
      </c>
    </row>
    <row r="2087" spans="1:7" ht="12.4" customHeight="1">
      <c r="A2087" s="247"/>
      <c r="B2087" s="243"/>
      <c r="C2087" s="137" t="str">
        <v>Shape</v>
      </c>
      <c r="D2087" s="138">
        <v>10</v>
      </c>
      <c r="E2087" s="139" t="str">
        <v/>
      </c>
      <c r="F2087" s="140" t="str">
        <f t="shared" si="122"/>
        <v/>
      </c>
    </row>
    <row r="2088" spans="1:7" ht="12.4" customHeight="1">
      <c r="A2088" s="247"/>
      <c r="B2088" s="243"/>
      <c r="C2088" s="137" t="str">
        <v>Science</v>
      </c>
      <c r="D2088" s="138">
        <v>10</v>
      </c>
      <c r="E2088" s="139" t="str">
        <v/>
      </c>
      <c r="F2088" s="140" t="str">
        <f t="shared" si="122"/>
        <v/>
      </c>
    </row>
    <row r="2089" spans="1:7" ht="12.4" customHeight="1">
      <c r="A2089" s="247"/>
      <c r="B2089" s="244"/>
      <c r="C2089" s="141" t="str">
        <v>Tracing</v>
      </c>
      <c r="D2089" s="142">
        <v>10</v>
      </c>
      <c r="E2089" s="143" t="str">
        <v/>
      </c>
      <c r="F2089" s="144" t="str">
        <f t="shared" si="122"/>
        <v/>
      </c>
    </row>
    <row r="2090" spans="1:7" ht="12.4" customHeight="1">
      <c r="A2090" s="248"/>
      <c r="B2090" s="240" t="s">
        <v>133</v>
      </c>
      <c r="C2090" s="241"/>
      <c r="D2090" s="103">
        <f>D2079*20%+SUM(D2080:D2089)*80%</f>
        <v>100</v>
      </c>
      <c r="E2090" s="110" t="str">
        <v/>
      </c>
      <c r="F2090" s="104" t="str">
        <f t="shared" si="122"/>
        <v/>
      </c>
    </row>
    <row r="2092" spans="1:7" ht="12.4" customHeight="1">
      <c r="A2092" s="230" t="s">
        <v>121</v>
      </c>
      <c r="B2092" s="231"/>
      <c r="C2092" s="231"/>
      <c r="D2092" s="107" t="s">
        <v>123</v>
      </c>
      <c r="E2092" s="232" t="str">
        <f>I154</f>
        <v/>
      </c>
      <c r="F2092" s="233"/>
      <c r="G2092" s="101">
        <v>154</v>
      </c>
    </row>
    <row r="2093" spans="1:7" ht="12.4" customHeight="1">
      <c r="A2093" s="105" t="s">
        <v>122</v>
      </c>
      <c r="B2093" s="235" t="str">
        <f>$K$146</f>
        <v>FEBRUARY - JULY 2026</v>
      </c>
      <c r="C2093" s="235"/>
      <c r="D2093" s="106" t="s">
        <v>124</v>
      </c>
      <c r="E2093" s="235" t="str">
        <f>$I$146</f>
        <v/>
      </c>
      <c r="F2093" s="236"/>
    </row>
    <row r="2094" spans="1:7" ht="12.4" customHeight="1">
      <c r="A2094" s="237" t="s">
        <v>130</v>
      </c>
      <c r="B2094" s="238"/>
      <c r="C2094" s="238"/>
      <c r="D2094" s="238"/>
      <c r="E2094" s="238"/>
      <c r="F2094" s="239"/>
    </row>
    <row r="2095" spans="1:7" ht="12.4" customHeight="1">
      <c r="A2095" s="245" t="s">
        <v>14</v>
      </c>
      <c r="B2095" s="240" t="s">
        <v>125</v>
      </c>
      <c r="C2095" s="241"/>
      <c r="D2095" s="102" t="s">
        <v>126</v>
      </c>
      <c r="E2095" s="109" t="s">
        <v>127</v>
      </c>
      <c r="F2095" s="102" t="s">
        <v>128</v>
      </c>
    </row>
    <row r="2096" spans="1:7" ht="12.4" customHeight="1">
      <c r="A2096" s="246"/>
      <c r="B2096" s="240" t="s">
        <v>129</v>
      </c>
      <c r="C2096" s="241"/>
      <c r="D2096" s="102">
        <v>100</v>
      </c>
      <c r="E2096" s="110" t="str" cm="1">
        <f t="array" ref="E2096:E2107">TRANSPOSE(K154:V154)</f>
        <v/>
      </c>
      <c r="F2096" s="104" t="str">
        <f>IF(E2096="","",IF(E2096&lt;D2096*60%,"Try harder",""))</f>
        <v/>
      </c>
    </row>
    <row r="2097" spans="1:7" ht="12.4" customHeight="1">
      <c r="A2097" s="246"/>
      <c r="B2097" s="242" t="s">
        <v>132</v>
      </c>
      <c r="C2097" s="133" t="str" cm="1">
        <f t="array" ref="C2097:C2106">TRANSPOSE($L$149:$U$149)</f>
        <v>Up-Low C</v>
      </c>
      <c r="D2097" s="134">
        <v>10</v>
      </c>
      <c r="E2097" s="135" t="str">
        <v/>
      </c>
      <c r="F2097" s="136" t="str">
        <f t="shared" ref="F2097:F2107" si="123">IF(E2097="","",IF(E2097&lt;D2097*60%,"Try harder",""))</f>
        <v/>
      </c>
    </row>
    <row r="2098" spans="1:7" ht="12.4" customHeight="1">
      <c r="A2098" s="246"/>
      <c r="B2098" s="243"/>
      <c r="C2098" s="137" t="str">
        <v>Alphabet N</v>
      </c>
      <c r="D2098" s="138">
        <v>10</v>
      </c>
      <c r="E2098" s="139" t="str">
        <v/>
      </c>
      <c r="F2098" s="140" t="str">
        <f t="shared" si="123"/>
        <v/>
      </c>
    </row>
    <row r="2099" spans="1:7" ht="12.4" customHeight="1">
      <c r="A2099" s="246"/>
      <c r="B2099" s="243"/>
      <c r="C2099" s="137" t="str">
        <v>Alphabet S</v>
      </c>
      <c r="D2099" s="138">
        <v>10</v>
      </c>
      <c r="E2099" s="139" t="str">
        <v/>
      </c>
      <c r="F2099" s="140" t="str">
        <f t="shared" si="123"/>
        <v/>
      </c>
    </row>
    <row r="2100" spans="1:7" ht="12.4" customHeight="1">
      <c r="A2100" s="246"/>
      <c r="B2100" s="243"/>
      <c r="C2100" s="137" t="str">
        <v>Vocabulary</v>
      </c>
      <c r="D2100" s="138">
        <v>10</v>
      </c>
      <c r="E2100" s="139" t="str">
        <v/>
      </c>
      <c r="F2100" s="140" t="str">
        <f t="shared" si="123"/>
        <v/>
      </c>
    </row>
    <row r="2101" spans="1:7" ht="12.4" customHeight="1">
      <c r="A2101" s="247" t="s">
        <v>131</v>
      </c>
      <c r="B2101" s="243"/>
      <c r="C2101" s="137" t="str">
        <v>Sprouts</v>
      </c>
      <c r="D2101" s="138">
        <v>10</v>
      </c>
      <c r="E2101" s="139" t="str">
        <v/>
      </c>
      <c r="F2101" s="140" t="str">
        <f t="shared" si="123"/>
        <v/>
      </c>
    </row>
    <row r="2102" spans="1:7" ht="12.4" customHeight="1">
      <c r="A2102" s="247"/>
      <c r="B2102" s="243"/>
      <c r="C2102" s="137" t="str">
        <v>Phonics</v>
      </c>
      <c r="D2102" s="138">
        <v>10</v>
      </c>
      <c r="E2102" s="139" t="str">
        <v/>
      </c>
      <c r="F2102" s="140" t="str">
        <f t="shared" si="123"/>
        <v/>
      </c>
    </row>
    <row r="2103" spans="1:7" ht="12.4" customHeight="1">
      <c r="A2103" s="247"/>
      <c r="B2103" s="243"/>
      <c r="C2103" s="137" t="str">
        <v>Math</v>
      </c>
      <c r="D2103" s="138">
        <v>10</v>
      </c>
      <c r="E2103" s="139" t="str">
        <v/>
      </c>
      <c r="F2103" s="140" t="str">
        <f t="shared" si="123"/>
        <v/>
      </c>
    </row>
    <row r="2104" spans="1:7" ht="12.4" customHeight="1">
      <c r="A2104" s="247"/>
      <c r="B2104" s="243"/>
      <c r="C2104" s="137" t="str">
        <v>Shape</v>
      </c>
      <c r="D2104" s="138">
        <v>10</v>
      </c>
      <c r="E2104" s="139" t="str">
        <v/>
      </c>
      <c r="F2104" s="140" t="str">
        <f t="shared" si="123"/>
        <v/>
      </c>
    </row>
    <row r="2105" spans="1:7" ht="12.4" customHeight="1">
      <c r="A2105" s="247"/>
      <c r="B2105" s="243"/>
      <c r="C2105" s="137" t="str">
        <v>Science</v>
      </c>
      <c r="D2105" s="138">
        <v>10</v>
      </c>
      <c r="E2105" s="139" t="str">
        <v/>
      </c>
      <c r="F2105" s="140" t="str">
        <f t="shared" si="123"/>
        <v/>
      </c>
    </row>
    <row r="2106" spans="1:7" ht="12.4" customHeight="1">
      <c r="A2106" s="247"/>
      <c r="B2106" s="244"/>
      <c r="C2106" s="141" t="str">
        <v>Tracing</v>
      </c>
      <c r="D2106" s="142">
        <v>10</v>
      </c>
      <c r="E2106" s="143" t="str">
        <v/>
      </c>
      <c r="F2106" s="144" t="str">
        <f t="shared" si="123"/>
        <v/>
      </c>
    </row>
    <row r="2107" spans="1:7" ht="12.4" customHeight="1">
      <c r="A2107" s="248"/>
      <c r="B2107" s="240" t="s">
        <v>133</v>
      </c>
      <c r="C2107" s="241"/>
      <c r="D2107" s="103">
        <f>D2096*20%+SUM(D2097:D2106)*80%</f>
        <v>100</v>
      </c>
      <c r="E2107" s="110" t="str">
        <v/>
      </c>
      <c r="F2107" s="104" t="str">
        <f t="shared" si="123"/>
        <v/>
      </c>
    </row>
    <row r="2109" spans="1:7" ht="12.4" customHeight="1">
      <c r="A2109" s="230" t="s">
        <v>121</v>
      </c>
      <c r="B2109" s="231"/>
      <c r="C2109" s="231"/>
      <c r="D2109" s="107" t="s">
        <v>123</v>
      </c>
      <c r="E2109" s="232" t="str">
        <f>I155</f>
        <v/>
      </c>
      <c r="F2109" s="233"/>
      <c r="G2109" s="101">
        <v>155</v>
      </c>
    </row>
    <row r="2110" spans="1:7" ht="12.4" customHeight="1">
      <c r="A2110" s="105" t="s">
        <v>122</v>
      </c>
      <c r="B2110" s="235" t="str">
        <f>$K$146</f>
        <v>FEBRUARY - JULY 2026</v>
      </c>
      <c r="C2110" s="235"/>
      <c r="D2110" s="106" t="s">
        <v>124</v>
      </c>
      <c r="E2110" s="235" t="str">
        <f>$I$146</f>
        <v/>
      </c>
      <c r="F2110" s="236"/>
    </row>
    <row r="2111" spans="1:7" ht="12.4" customHeight="1">
      <c r="A2111" s="237" t="s">
        <v>130</v>
      </c>
      <c r="B2111" s="238"/>
      <c r="C2111" s="238"/>
      <c r="D2111" s="238"/>
      <c r="E2111" s="238"/>
      <c r="F2111" s="239"/>
    </row>
    <row r="2112" spans="1:7" ht="12.4" customHeight="1">
      <c r="A2112" s="245" t="s">
        <v>14</v>
      </c>
      <c r="B2112" s="240" t="s">
        <v>125</v>
      </c>
      <c r="C2112" s="241"/>
      <c r="D2112" s="102" t="s">
        <v>126</v>
      </c>
      <c r="E2112" s="109" t="s">
        <v>127</v>
      </c>
      <c r="F2112" s="102" t="s">
        <v>128</v>
      </c>
    </row>
    <row r="2113" spans="1:7" ht="12.4" customHeight="1">
      <c r="A2113" s="246"/>
      <c r="B2113" s="240" t="s">
        <v>129</v>
      </c>
      <c r="C2113" s="241"/>
      <c r="D2113" s="102">
        <v>100</v>
      </c>
      <c r="E2113" s="110" t="str" cm="1">
        <f t="array" ref="E2113:E2124">TRANSPOSE(K155:V155)</f>
        <v/>
      </c>
      <c r="F2113" s="104" t="str">
        <f>IF(E2113="","",IF(E2113&lt;D2113*60%,"Try harder",""))</f>
        <v/>
      </c>
    </row>
    <row r="2114" spans="1:7" ht="12.4" customHeight="1">
      <c r="A2114" s="246"/>
      <c r="B2114" s="242" t="s">
        <v>132</v>
      </c>
      <c r="C2114" s="133" t="str" cm="1">
        <f t="array" ref="C2114:C2123">TRANSPOSE($L$149:$U$149)</f>
        <v>Up-Low C</v>
      </c>
      <c r="D2114" s="134">
        <v>10</v>
      </c>
      <c r="E2114" s="135" t="str">
        <v/>
      </c>
      <c r="F2114" s="136" t="str">
        <f t="shared" ref="F2114:F2124" si="124">IF(E2114="","",IF(E2114&lt;D2114*60%,"Try harder",""))</f>
        <v/>
      </c>
    </row>
    <row r="2115" spans="1:7" ht="12.4" customHeight="1">
      <c r="A2115" s="246"/>
      <c r="B2115" s="243"/>
      <c r="C2115" s="137" t="str">
        <v>Alphabet N</v>
      </c>
      <c r="D2115" s="138">
        <v>10</v>
      </c>
      <c r="E2115" s="139" t="str">
        <v/>
      </c>
      <c r="F2115" s="140" t="str">
        <f t="shared" si="124"/>
        <v/>
      </c>
    </row>
    <row r="2116" spans="1:7" ht="12.4" customHeight="1">
      <c r="A2116" s="246"/>
      <c r="B2116" s="243"/>
      <c r="C2116" s="137" t="str">
        <v>Alphabet S</v>
      </c>
      <c r="D2116" s="138">
        <v>10</v>
      </c>
      <c r="E2116" s="139" t="str">
        <v/>
      </c>
      <c r="F2116" s="140" t="str">
        <f t="shared" si="124"/>
        <v/>
      </c>
    </row>
    <row r="2117" spans="1:7" ht="12.4" customHeight="1">
      <c r="A2117" s="246"/>
      <c r="B2117" s="243"/>
      <c r="C2117" s="137" t="str">
        <v>Vocabulary</v>
      </c>
      <c r="D2117" s="138">
        <v>10</v>
      </c>
      <c r="E2117" s="139" t="str">
        <v/>
      </c>
      <c r="F2117" s="140" t="str">
        <f t="shared" si="124"/>
        <v/>
      </c>
    </row>
    <row r="2118" spans="1:7" ht="12.4" customHeight="1">
      <c r="A2118" s="247" t="s">
        <v>131</v>
      </c>
      <c r="B2118" s="243"/>
      <c r="C2118" s="137" t="str">
        <v>Sprouts</v>
      </c>
      <c r="D2118" s="138">
        <v>10</v>
      </c>
      <c r="E2118" s="139" t="str">
        <v/>
      </c>
      <c r="F2118" s="140" t="str">
        <f t="shared" si="124"/>
        <v/>
      </c>
    </row>
    <row r="2119" spans="1:7" ht="12.4" customHeight="1">
      <c r="A2119" s="247"/>
      <c r="B2119" s="243"/>
      <c r="C2119" s="137" t="str">
        <v>Phonics</v>
      </c>
      <c r="D2119" s="138">
        <v>10</v>
      </c>
      <c r="E2119" s="139" t="str">
        <v/>
      </c>
      <c r="F2119" s="140" t="str">
        <f t="shared" si="124"/>
        <v/>
      </c>
    </row>
    <row r="2120" spans="1:7" ht="12.4" customHeight="1">
      <c r="A2120" s="247"/>
      <c r="B2120" s="243"/>
      <c r="C2120" s="137" t="str">
        <v>Math</v>
      </c>
      <c r="D2120" s="138">
        <v>10</v>
      </c>
      <c r="E2120" s="139" t="str">
        <v/>
      </c>
      <c r="F2120" s="140" t="str">
        <f t="shared" si="124"/>
        <v/>
      </c>
    </row>
    <row r="2121" spans="1:7" ht="12.4" customHeight="1">
      <c r="A2121" s="247"/>
      <c r="B2121" s="243"/>
      <c r="C2121" s="137" t="str">
        <v>Shape</v>
      </c>
      <c r="D2121" s="138">
        <v>10</v>
      </c>
      <c r="E2121" s="139" t="str">
        <v/>
      </c>
      <c r="F2121" s="140" t="str">
        <f t="shared" si="124"/>
        <v/>
      </c>
    </row>
    <row r="2122" spans="1:7" ht="12.4" customHeight="1">
      <c r="A2122" s="247"/>
      <c r="B2122" s="243"/>
      <c r="C2122" s="137" t="str">
        <v>Science</v>
      </c>
      <c r="D2122" s="138">
        <v>10</v>
      </c>
      <c r="E2122" s="139" t="str">
        <v/>
      </c>
      <c r="F2122" s="140" t="str">
        <f t="shared" si="124"/>
        <v/>
      </c>
    </row>
    <row r="2123" spans="1:7" ht="12.4" customHeight="1">
      <c r="A2123" s="247"/>
      <c r="B2123" s="244"/>
      <c r="C2123" s="141" t="str">
        <v>Tracing</v>
      </c>
      <c r="D2123" s="142">
        <v>10</v>
      </c>
      <c r="E2123" s="143" t="str">
        <v/>
      </c>
      <c r="F2123" s="144" t="str">
        <f t="shared" si="124"/>
        <v/>
      </c>
    </row>
    <row r="2124" spans="1:7" ht="12.4" customHeight="1">
      <c r="A2124" s="248"/>
      <c r="B2124" s="240" t="s">
        <v>133</v>
      </c>
      <c r="C2124" s="241"/>
      <c r="D2124" s="103">
        <f>D2113*20%+SUM(D2114:D2123)*80%</f>
        <v>100</v>
      </c>
      <c r="E2124" s="110" t="str">
        <v/>
      </c>
      <c r="F2124" s="104" t="str">
        <f t="shared" si="124"/>
        <v/>
      </c>
    </row>
    <row r="2126" spans="1:7" ht="12.4" customHeight="1">
      <c r="A2126" s="230" t="s">
        <v>121</v>
      </c>
      <c r="B2126" s="231"/>
      <c r="C2126" s="231"/>
      <c r="D2126" s="107" t="s">
        <v>123</v>
      </c>
      <c r="E2126" s="232" t="str">
        <f>I156</f>
        <v/>
      </c>
      <c r="F2126" s="233"/>
      <c r="G2126" s="101">
        <v>156</v>
      </c>
    </row>
    <row r="2127" spans="1:7" ht="12.4" customHeight="1">
      <c r="A2127" s="105" t="s">
        <v>122</v>
      </c>
      <c r="B2127" s="235" t="str">
        <f>$K$146</f>
        <v>FEBRUARY - JULY 2026</v>
      </c>
      <c r="C2127" s="235"/>
      <c r="D2127" s="106" t="s">
        <v>124</v>
      </c>
      <c r="E2127" s="235" t="str">
        <f>$I$146</f>
        <v/>
      </c>
      <c r="F2127" s="236"/>
    </row>
    <row r="2128" spans="1:7" ht="12.4" customHeight="1">
      <c r="A2128" s="237" t="s">
        <v>130</v>
      </c>
      <c r="B2128" s="238"/>
      <c r="C2128" s="238"/>
      <c r="D2128" s="238"/>
      <c r="E2128" s="238"/>
      <c r="F2128" s="239"/>
    </row>
    <row r="2129" spans="1:7" ht="12.4" customHeight="1">
      <c r="A2129" s="245" t="s">
        <v>14</v>
      </c>
      <c r="B2129" s="240" t="s">
        <v>125</v>
      </c>
      <c r="C2129" s="241"/>
      <c r="D2129" s="102" t="s">
        <v>126</v>
      </c>
      <c r="E2129" s="109" t="s">
        <v>127</v>
      </c>
      <c r="F2129" s="102" t="s">
        <v>128</v>
      </c>
    </row>
    <row r="2130" spans="1:7" ht="12.4" customHeight="1">
      <c r="A2130" s="246"/>
      <c r="B2130" s="240" t="s">
        <v>129</v>
      </c>
      <c r="C2130" s="241"/>
      <c r="D2130" s="102">
        <v>100</v>
      </c>
      <c r="E2130" s="110" t="str" cm="1">
        <f t="array" ref="E2130:E2141">TRANSPOSE(K156:V156)</f>
        <v/>
      </c>
      <c r="F2130" s="104" t="str">
        <f>IF(E2130="","",IF(E2130&lt;D2130*60%,"Try harder",""))</f>
        <v/>
      </c>
    </row>
    <row r="2131" spans="1:7" ht="12.4" customHeight="1">
      <c r="A2131" s="246"/>
      <c r="B2131" s="242" t="s">
        <v>132</v>
      </c>
      <c r="C2131" s="133" t="str" cm="1">
        <f t="array" ref="C2131:C2140">TRANSPOSE($L$149:$U$149)</f>
        <v>Up-Low C</v>
      </c>
      <c r="D2131" s="134">
        <v>10</v>
      </c>
      <c r="E2131" s="135" t="str">
        <v/>
      </c>
      <c r="F2131" s="136" t="str">
        <f t="shared" ref="F2131:F2141" si="125">IF(E2131="","",IF(E2131&lt;D2131*60%,"Try harder",""))</f>
        <v/>
      </c>
    </row>
    <row r="2132" spans="1:7" ht="12.4" customHeight="1">
      <c r="A2132" s="246"/>
      <c r="B2132" s="243"/>
      <c r="C2132" s="137" t="str">
        <v>Alphabet N</v>
      </c>
      <c r="D2132" s="138">
        <v>10</v>
      </c>
      <c r="E2132" s="139" t="str">
        <v/>
      </c>
      <c r="F2132" s="140" t="str">
        <f t="shared" si="125"/>
        <v/>
      </c>
    </row>
    <row r="2133" spans="1:7" ht="12.4" customHeight="1">
      <c r="A2133" s="246"/>
      <c r="B2133" s="243"/>
      <c r="C2133" s="137" t="str">
        <v>Alphabet S</v>
      </c>
      <c r="D2133" s="138">
        <v>10</v>
      </c>
      <c r="E2133" s="139" t="str">
        <v/>
      </c>
      <c r="F2133" s="140" t="str">
        <f t="shared" si="125"/>
        <v/>
      </c>
    </row>
    <row r="2134" spans="1:7" ht="12.4" customHeight="1">
      <c r="A2134" s="246"/>
      <c r="B2134" s="243"/>
      <c r="C2134" s="137" t="str">
        <v>Vocabulary</v>
      </c>
      <c r="D2134" s="138">
        <v>10</v>
      </c>
      <c r="E2134" s="139" t="str">
        <v/>
      </c>
      <c r="F2134" s="140" t="str">
        <f t="shared" si="125"/>
        <v/>
      </c>
    </row>
    <row r="2135" spans="1:7" ht="12.4" customHeight="1">
      <c r="A2135" s="247" t="s">
        <v>131</v>
      </c>
      <c r="B2135" s="243"/>
      <c r="C2135" s="137" t="str">
        <v>Sprouts</v>
      </c>
      <c r="D2135" s="138">
        <v>10</v>
      </c>
      <c r="E2135" s="139" t="str">
        <v/>
      </c>
      <c r="F2135" s="140" t="str">
        <f t="shared" si="125"/>
        <v/>
      </c>
    </row>
    <row r="2136" spans="1:7" ht="12.4" customHeight="1">
      <c r="A2136" s="247"/>
      <c r="B2136" s="243"/>
      <c r="C2136" s="137" t="str">
        <v>Phonics</v>
      </c>
      <c r="D2136" s="138">
        <v>10</v>
      </c>
      <c r="E2136" s="139" t="str">
        <v/>
      </c>
      <c r="F2136" s="140" t="str">
        <f t="shared" si="125"/>
        <v/>
      </c>
    </row>
    <row r="2137" spans="1:7" ht="12.4" customHeight="1">
      <c r="A2137" s="247"/>
      <c r="B2137" s="243"/>
      <c r="C2137" s="137" t="str">
        <v>Math</v>
      </c>
      <c r="D2137" s="138">
        <v>10</v>
      </c>
      <c r="E2137" s="139" t="str">
        <v/>
      </c>
      <c r="F2137" s="140" t="str">
        <f t="shared" si="125"/>
        <v/>
      </c>
    </row>
    <row r="2138" spans="1:7" ht="12.4" customHeight="1">
      <c r="A2138" s="247"/>
      <c r="B2138" s="243"/>
      <c r="C2138" s="137" t="str">
        <v>Shape</v>
      </c>
      <c r="D2138" s="138">
        <v>10</v>
      </c>
      <c r="E2138" s="139" t="str">
        <v/>
      </c>
      <c r="F2138" s="140" t="str">
        <f t="shared" si="125"/>
        <v/>
      </c>
    </row>
    <row r="2139" spans="1:7" ht="12.4" customHeight="1">
      <c r="A2139" s="247"/>
      <c r="B2139" s="243"/>
      <c r="C2139" s="137" t="str">
        <v>Science</v>
      </c>
      <c r="D2139" s="138">
        <v>10</v>
      </c>
      <c r="E2139" s="139" t="str">
        <v/>
      </c>
      <c r="F2139" s="140" t="str">
        <f t="shared" si="125"/>
        <v/>
      </c>
    </row>
    <row r="2140" spans="1:7" ht="12.4" customHeight="1">
      <c r="A2140" s="247"/>
      <c r="B2140" s="244"/>
      <c r="C2140" s="141" t="str">
        <v>Tracing</v>
      </c>
      <c r="D2140" s="142">
        <v>10</v>
      </c>
      <c r="E2140" s="143" t="str">
        <v/>
      </c>
      <c r="F2140" s="144" t="str">
        <f t="shared" si="125"/>
        <v/>
      </c>
    </row>
    <row r="2141" spans="1:7" ht="12.4" customHeight="1">
      <c r="A2141" s="248"/>
      <c r="B2141" s="240" t="s">
        <v>133</v>
      </c>
      <c r="C2141" s="241"/>
      <c r="D2141" s="103">
        <f>D2130*20%+SUM(D2131:D2140)*80%</f>
        <v>100</v>
      </c>
      <c r="E2141" s="110" t="str">
        <v/>
      </c>
      <c r="F2141" s="104" t="str">
        <f t="shared" si="125"/>
        <v/>
      </c>
    </row>
    <row r="2143" spans="1:7" ht="12.4" customHeight="1">
      <c r="A2143" s="230" t="s">
        <v>121</v>
      </c>
      <c r="B2143" s="231"/>
      <c r="C2143" s="231"/>
      <c r="D2143" s="107" t="s">
        <v>123</v>
      </c>
      <c r="E2143" s="232" t="str">
        <f>I157</f>
        <v/>
      </c>
      <c r="F2143" s="233"/>
      <c r="G2143" s="101">
        <v>157</v>
      </c>
    </row>
    <row r="2144" spans="1:7" ht="12.4" customHeight="1">
      <c r="A2144" s="105" t="s">
        <v>122</v>
      </c>
      <c r="B2144" s="235" t="str">
        <f>$K$146</f>
        <v>FEBRUARY - JULY 2026</v>
      </c>
      <c r="C2144" s="235"/>
      <c r="D2144" s="106" t="s">
        <v>124</v>
      </c>
      <c r="E2144" s="235" t="str">
        <f>$I$146</f>
        <v/>
      </c>
      <c r="F2144" s="236"/>
    </row>
    <row r="2145" spans="1:7" ht="12.4" customHeight="1">
      <c r="A2145" s="237" t="s">
        <v>130</v>
      </c>
      <c r="B2145" s="238"/>
      <c r="C2145" s="238"/>
      <c r="D2145" s="238"/>
      <c r="E2145" s="238"/>
      <c r="F2145" s="239"/>
    </row>
    <row r="2146" spans="1:7" ht="12.4" customHeight="1">
      <c r="A2146" s="245" t="s">
        <v>14</v>
      </c>
      <c r="B2146" s="240" t="s">
        <v>125</v>
      </c>
      <c r="C2146" s="241"/>
      <c r="D2146" s="102" t="s">
        <v>126</v>
      </c>
      <c r="E2146" s="109" t="s">
        <v>127</v>
      </c>
      <c r="F2146" s="102" t="s">
        <v>128</v>
      </c>
    </row>
    <row r="2147" spans="1:7" ht="12.4" customHeight="1">
      <c r="A2147" s="246"/>
      <c r="B2147" s="240" t="s">
        <v>129</v>
      </c>
      <c r="C2147" s="241"/>
      <c r="D2147" s="102">
        <v>100</v>
      </c>
      <c r="E2147" s="110" t="str" cm="1">
        <f t="array" ref="E2147:E2158">TRANSPOSE(K157:V157)</f>
        <v/>
      </c>
      <c r="F2147" s="104" t="str">
        <f>IF(E2147="","",IF(E2147&lt;D2147*60%,"Try harder",""))</f>
        <v/>
      </c>
    </row>
    <row r="2148" spans="1:7" ht="12.4" customHeight="1">
      <c r="A2148" s="246"/>
      <c r="B2148" s="242" t="s">
        <v>132</v>
      </c>
      <c r="C2148" s="133" t="str" cm="1">
        <f t="array" ref="C2148:C2157">TRANSPOSE($L$149:$U$149)</f>
        <v>Up-Low C</v>
      </c>
      <c r="D2148" s="134">
        <v>10</v>
      </c>
      <c r="E2148" s="135" t="str">
        <v/>
      </c>
      <c r="F2148" s="136" t="str">
        <f t="shared" ref="F2148:F2158" si="126">IF(E2148="","",IF(E2148&lt;D2148*60%,"Try harder",""))</f>
        <v/>
      </c>
    </row>
    <row r="2149" spans="1:7" ht="12.4" customHeight="1">
      <c r="A2149" s="246"/>
      <c r="B2149" s="243"/>
      <c r="C2149" s="137" t="str">
        <v>Alphabet N</v>
      </c>
      <c r="D2149" s="138">
        <v>10</v>
      </c>
      <c r="E2149" s="139" t="str">
        <v/>
      </c>
      <c r="F2149" s="140" t="str">
        <f t="shared" si="126"/>
        <v/>
      </c>
    </row>
    <row r="2150" spans="1:7" ht="12.4" customHeight="1">
      <c r="A2150" s="246"/>
      <c r="B2150" s="243"/>
      <c r="C2150" s="137" t="str">
        <v>Alphabet S</v>
      </c>
      <c r="D2150" s="138">
        <v>10</v>
      </c>
      <c r="E2150" s="139" t="str">
        <v/>
      </c>
      <c r="F2150" s="140" t="str">
        <f t="shared" si="126"/>
        <v/>
      </c>
    </row>
    <row r="2151" spans="1:7" ht="12.4" customHeight="1">
      <c r="A2151" s="246"/>
      <c r="B2151" s="243"/>
      <c r="C2151" s="137" t="str">
        <v>Vocabulary</v>
      </c>
      <c r="D2151" s="138">
        <v>10</v>
      </c>
      <c r="E2151" s="139" t="str">
        <v/>
      </c>
      <c r="F2151" s="140" t="str">
        <f t="shared" si="126"/>
        <v/>
      </c>
    </row>
    <row r="2152" spans="1:7" ht="12.4" customHeight="1">
      <c r="A2152" s="247" t="s">
        <v>131</v>
      </c>
      <c r="B2152" s="243"/>
      <c r="C2152" s="137" t="str">
        <v>Sprouts</v>
      </c>
      <c r="D2152" s="138">
        <v>10</v>
      </c>
      <c r="E2152" s="139" t="str">
        <v/>
      </c>
      <c r="F2152" s="140" t="str">
        <f t="shared" si="126"/>
        <v/>
      </c>
    </row>
    <row r="2153" spans="1:7" ht="12.4" customHeight="1">
      <c r="A2153" s="247"/>
      <c r="B2153" s="243"/>
      <c r="C2153" s="137" t="str">
        <v>Phonics</v>
      </c>
      <c r="D2153" s="138">
        <v>10</v>
      </c>
      <c r="E2153" s="139" t="str">
        <v/>
      </c>
      <c r="F2153" s="140" t="str">
        <f t="shared" si="126"/>
        <v/>
      </c>
    </row>
    <row r="2154" spans="1:7" ht="12.4" customHeight="1">
      <c r="A2154" s="247"/>
      <c r="B2154" s="243"/>
      <c r="C2154" s="137" t="str">
        <v>Math</v>
      </c>
      <c r="D2154" s="138">
        <v>10</v>
      </c>
      <c r="E2154" s="139" t="str">
        <v/>
      </c>
      <c r="F2154" s="140" t="str">
        <f t="shared" si="126"/>
        <v/>
      </c>
    </row>
    <row r="2155" spans="1:7" ht="12.4" customHeight="1">
      <c r="A2155" s="247"/>
      <c r="B2155" s="243"/>
      <c r="C2155" s="137" t="str">
        <v>Shape</v>
      </c>
      <c r="D2155" s="138">
        <v>10</v>
      </c>
      <c r="E2155" s="139" t="str">
        <v/>
      </c>
      <c r="F2155" s="140" t="str">
        <f t="shared" si="126"/>
        <v/>
      </c>
    </row>
    <row r="2156" spans="1:7" ht="12.4" customHeight="1">
      <c r="A2156" s="247"/>
      <c r="B2156" s="243"/>
      <c r="C2156" s="137" t="str">
        <v>Science</v>
      </c>
      <c r="D2156" s="138">
        <v>10</v>
      </c>
      <c r="E2156" s="139" t="str">
        <v/>
      </c>
      <c r="F2156" s="140" t="str">
        <f t="shared" si="126"/>
        <v/>
      </c>
    </row>
    <row r="2157" spans="1:7" ht="12.4" customHeight="1">
      <c r="A2157" s="247"/>
      <c r="B2157" s="244"/>
      <c r="C2157" s="141" t="str">
        <v>Tracing</v>
      </c>
      <c r="D2157" s="142">
        <v>10</v>
      </c>
      <c r="E2157" s="143" t="str">
        <v/>
      </c>
      <c r="F2157" s="144" t="str">
        <f t="shared" si="126"/>
        <v/>
      </c>
    </row>
    <row r="2158" spans="1:7" ht="12.4" customHeight="1">
      <c r="A2158" s="248"/>
      <c r="B2158" s="240" t="s">
        <v>133</v>
      </c>
      <c r="C2158" s="241"/>
      <c r="D2158" s="103">
        <f>D2147*20%+SUM(D2148:D2157)*80%</f>
        <v>100</v>
      </c>
      <c r="E2158" s="110" t="str">
        <v/>
      </c>
      <c r="F2158" s="104" t="str">
        <f t="shared" si="126"/>
        <v/>
      </c>
    </row>
    <row r="2160" spans="1:7" ht="12.4" customHeight="1">
      <c r="A2160" s="230" t="s">
        <v>121</v>
      </c>
      <c r="B2160" s="231"/>
      <c r="C2160" s="231"/>
      <c r="D2160" s="107" t="s">
        <v>123</v>
      </c>
      <c r="E2160" s="232" t="str">
        <f>I158</f>
        <v/>
      </c>
      <c r="F2160" s="233"/>
      <c r="G2160" s="101">
        <v>158</v>
      </c>
    </row>
    <row r="2161" spans="1:6" ht="12.4" customHeight="1">
      <c r="A2161" s="105" t="s">
        <v>122</v>
      </c>
      <c r="B2161" s="235" t="str">
        <f>$K$146</f>
        <v>FEBRUARY - JULY 2026</v>
      </c>
      <c r="C2161" s="235"/>
      <c r="D2161" s="106" t="s">
        <v>124</v>
      </c>
      <c r="E2161" s="235" t="str">
        <f>$I$146</f>
        <v/>
      </c>
      <c r="F2161" s="236"/>
    </row>
    <row r="2162" spans="1:6" ht="12.4" customHeight="1">
      <c r="A2162" s="237" t="s">
        <v>130</v>
      </c>
      <c r="B2162" s="238"/>
      <c r="C2162" s="238"/>
      <c r="D2162" s="238"/>
      <c r="E2162" s="238"/>
      <c r="F2162" s="239"/>
    </row>
    <row r="2163" spans="1:6" ht="12.4" customHeight="1">
      <c r="A2163" s="245" t="s">
        <v>14</v>
      </c>
      <c r="B2163" s="240" t="s">
        <v>125</v>
      </c>
      <c r="C2163" s="241"/>
      <c r="D2163" s="102" t="s">
        <v>126</v>
      </c>
      <c r="E2163" s="109" t="s">
        <v>127</v>
      </c>
      <c r="F2163" s="102" t="s">
        <v>128</v>
      </c>
    </row>
    <row r="2164" spans="1:6" ht="12.4" customHeight="1">
      <c r="A2164" s="246"/>
      <c r="B2164" s="240" t="s">
        <v>129</v>
      </c>
      <c r="C2164" s="241"/>
      <c r="D2164" s="102">
        <v>100</v>
      </c>
      <c r="E2164" s="110" t="str" cm="1">
        <f t="array" ref="E2164:E2175">TRANSPOSE(K158:V158)</f>
        <v/>
      </c>
      <c r="F2164" s="104" t="str">
        <f>IF(E2164="","",IF(E2164&lt;D2164*60%,"Try harder",""))</f>
        <v/>
      </c>
    </row>
    <row r="2165" spans="1:6" ht="12.4" customHeight="1">
      <c r="A2165" s="246"/>
      <c r="B2165" s="242" t="s">
        <v>132</v>
      </c>
      <c r="C2165" s="133" t="str" cm="1">
        <f t="array" ref="C2165:C2174">TRANSPOSE($L$149:$U$149)</f>
        <v>Up-Low C</v>
      </c>
      <c r="D2165" s="134">
        <v>10</v>
      </c>
      <c r="E2165" s="135" t="str">
        <v/>
      </c>
      <c r="F2165" s="136" t="str">
        <f t="shared" ref="F2165:F2175" si="127">IF(E2165="","",IF(E2165&lt;D2165*60%,"Try harder",""))</f>
        <v/>
      </c>
    </row>
    <row r="2166" spans="1:6" ht="12.4" customHeight="1">
      <c r="A2166" s="246"/>
      <c r="B2166" s="243"/>
      <c r="C2166" s="137" t="str">
        <v>Alphabet N</v>
      </c>
      <c r="D2166" s="138">
        <v>10</v>
      </c>
      <c r="E2166" s="139" t="str">
        <v/>
      </c>
      <c r="F2166" s="140" t="str">
        <f t="shared" si="127"/>
        <v/>
      </c>
    </row>
    <row r="2167" spans="1:6" ht="12.4" customHeight="1">
      <c r="A2167" s="246"/>
      <c r="B2167" s="243"/>
      <c r="C2167" s="137" t="str">
        <v>Alphabet S</v>
      </c>
      <c r="D2167" s="138">
        <v>10</v>
      </c>
      <c r="E2167" s="139" t="str">
        <v/>
      </c>
      <c r="F2167" s="140" t="str">
        <f t="shared" si="127"/>
        <v/>
      </c>
    </row>
    <row r="2168" spans="1:6" ht="12.4" customHeight="1">
      <c r="A2168" s="246"/>
      <c r="B2168" s="243"/>
      <c r="C2168" s="137" t="str">
        <v>Vocabulary</v>
      </c>
      <c r="D2168" s="138">
        <v>10</v>
      </c>
      <c r="E2168" s="139" t="str">
        <v/>
      </c>
      <c r="F2168" s="140" t="str">
        <f t="shared" si="127"/>
        <v/>
      </c>
    </row>
    <row r="2169" spans="1:6" ht="12.4" customHeight="1">
      <c r="A2169" s="247" t="s">
        <v>131</v>
      </c>
      <c r="B2169" s="243"/>
      <c r="C2169" s="137" t="str">
        <v>Sprouts</v>
      </c>
      <c r="D2169" s="138">
        <v>10</v>
      </c>
      <c r="E2169" s="139" t="str">
        <v/>
      </c>
      <c r="F2169" s="140" t="str">
        <f t="shared" si="127"/>
        <v/>
      </c>
    </row>
    <row r="2170" spans="1:6" ht="12.4" customHeight="1">
      <c r="A2170" s="247"/>
      <c r="B2170" s="243"/>
      <c r="C2170" s="137" t="str">
        <v>Phonics</v>
      </c>
      <c r="D2170" s="138">
        <v>10</v>
      </c>
      <c r="E2170" s="139" t="str">
        <v/>
      </c>
      <c r="F2170" s="140" t="str">
        <f t="shared" si="127"/>
        <v/>
      </c>
    </row>
    <row r="2171" spans="1:6" ht="12.4" customHeight="1">
      <c r="A2171" s="247"/>
      <c r="B2171" s="243"/>
      <c r="C2171" s="137" t="str">
        <v>Math</v>
      </c>
      <c r="D2171" s="138">
        <v>10</v>
      </c>
      <c r="E2171" s="139" t="str">
        <v/>
      </c>
      <c r="F2171" s="140" t="str">
        <f t="shared" si="127"/>
        <v/>
      </c>
    </row>
    <row r="2172" spans="1:6" ht="12.4" customHeight="1">
      <c r="A2172" s="247"/>
      <c r="B2172" s="243"/>
      <c r="C2172" s="137" t="str">
        <v>Shape</v>
      </c>
      <c r="D2172" s="138">
        <v>10</v>
      </c>
      <c r="E2172" s="139" t="str">
        <v/>
      </c>
      <c r="F2172" s="140" t="str">
        <f t="shared" si="127"/>
        <v/>
      </c>
    </row>
    <row r="2173" spans="1:6" ht="12.4" customHeight="1">
      <c r="A2173" s="247"/>
      <c r="B2173" s="243"/>
      <c r="C2173" s="137" t="str">
        <v>Science</v>
      </c>
      <c r="D2173" s="138">
        <v>10</v>
      </c>
      <c r="E2173" s="139" t="str">
        <v/>
      </c>
      <c r="F2173" s="140" t="str">
        <f t="shared" si="127"/>
        <v/>
      </c>
    </row>
    <row r="2174" spans="1:6" ht="12.4" customHeight="1">
      <c r="A2174" s="247"/>
      <c r="B2174" s="244"/>
      <c r="C2174" s="141" t="str">
        <v>Tracing</v>
      </c>
      <c r="D2174" s="142">
        <v>10</v>
      </c>
      <c r="E2174" s="143" t="str">
        <v/>
      </c>
      <c r="F2174" s="144" t="str">
        <f t="shared" si="127"/>
        <v/>
      </c>
    </row>
    <row r="2175" spans="1:6" ht="12.4" customHeight="1">
      <c r="A2175" s="248"/>
      <c r="B2175" s="240" t="s">
        <v>133</v>
      </c>
      <c r="C2175" s="241"/>
      <c r="D2175" s="103">
        <f>D2164*20%+SUM(D2165:D2174)*80%</f>
        <v>100</v>
      </c>
      <c r="E2175" s="110" t="str">
        <v/>
      </c>
      <c r="F2175" s="104" t="str">
        <f t="shared" si="127"/>
        <v/>
      </c>
    </row>
    <row r="2177" spans="1:7" ht="12.4" customHeight="1">
      <c r="A2177" s="230" t="s">
        <v>121</v>
      </c>
      <c r="B2177" s="231"/>
      <c r="C2177" s="231"/>
      <c r="D2177" s="107" t="s">
        <v>123</v>
      </c>
      <c r="E2177" s="232" t="str">
        <f>I159</f>
        <v/>
      </c>
      <c r="F2177" s="233"/>
      <c r="G2177" s="101">
        <v>159</v>
      </c>
    </row>
    <row r="2178" spans="1:7" ht="12.4" customHeight="1">
      <c r="A2178" s="105" t="s">
        <v>122</v>
      </c>
      <c r="B2178" s="235" t="str">
        <f>$K$146</f>
        <v>FEBRUARY - JULY 2026</v>
      </c>
      <c r="C2178" s="235"/>
      <c r="D2178" s="106" t="s">
        <v>124</v>
      </c>
      <c r="E2178" s="235" t="str">
        <f>$I$146</f>
        <v/>
      </c>
      <c r="F2178" s="236"/>
    </row>
    <row r="2179" spans="1:7" ht="12.4" customHeight="1">
      <c r="A2179" s="237" t="s">
        <v>130</v>
      </c>
      <c r="B2179" s="238"/>
      <c r="C2179" s="238"/>
      <c r="D2179" s="238"/>
      <c r="E2179" s="238"/>
      <c r="F2179" s="239"/>
    </row>
    <row r="2180" spans="1:7" ht="12.4" customHeight="1">
      <c r="A2180" s="245" t="s">
        <v>14</v>
      </c>
      <c r="B2180" s="240" t="s">
        <v>125</v>
      </c>
      <c r="C2180" s="241"/>
      <c r="D2180" s="102" t="s">
        <v>126</v>
      </c>
      <c r="E2180" s="109" t="s">
        <v>127</v>
      </c>
      <c r="F2180" s="102" t="s">
        <v>128</v>
      </c>
    </row>
    <row r="2181" spans="1:7" ht="12.4" customHeight="1">
      <c r="A2181" s="246"/>
      <c r="B2181" s="240" t="s">
        <v>129</v>
      </c>
      <c r="C2181" s="241"/>
      <c r="D2181" s="102">
        <v>100</v>
      </c>
      <c r="E2181" s="110" t="str" cm="1">
        <f t="array" ref="E2181:E2192">TRANSPOSE(K159:V159)</f>
        <v/>
      </c>
      <c r="F2181" s="104" t="str">
        <f>IF(E2181="","",IF(E2181&lt;D2181*60%,"Try harder",""))</f>
        <v/>
      </c>
    </row>
    <row r="2182" spans="1:7" ht="12.4" customHeight="1">
      <c r="A2182" s="246"/>
      <c r="B2182" s="242" t="s">
        <v>132</v>
      </c>
      <c r="C2182" s="133" t="str" cm="1">
        <f t="array" ref="C2182:C2191">TRANSPOSE($L$149:$U$149)</f>
        <v>Up-Low C</v>
      </c>
      <c r="D2182" s="134">
        <v>10</v>
      </c>
      <c r="E2182" s="135" t="str">
        <v/>
      </c>
      <c r="F2182" s="136" t="str">
        <f t="shared" ref="F2182:F2192" si="128">IF(E2182="","",IF(E2182&lt;D2182*60%,"Try harder",""))</f>
        <v/>
      </c>
    </row>
    <row r="2183" spans="1:7" ht="12.4" customHeight="1">
      <c r="A2183" s="246"/>
      <c r="B2183" s="243"/>
      <c r="C2183" s="137" t="str">
        <v>Alphabet N</v>
      </c>
      <c r="D2183" s="138">
        <v>10</v>
      </c>
      <c r="E2183" s="139" t="str">
        <v/>
      </c>
      <c r="F2183" s="140" t="str">
        <f t="shared" si="128"/>
        <v/>
      </c>
    </row>
    <row r="2184" spans="1:7" ht="12.4" customHeight="1">
      <c r="A2184" s="246"/>
      <c r="B2184" s="243"/>
      <c r="C2184" s="137" t="str">
        <v>Alphabet S</v>
      </c>
      <c r="D2184" s="138">
        <v>10</v>
      </c>
      <c r="E2184" s="139" t="str">
        <v/>
      </c>
      <c r="F2184" s="140" t="str">
        <f t="shared" si="128"/>
        <v/>
      </c>
    </row>
    <row r="2185" spans="1:7" ht="12.4" customHeight="1">
      <c r="A2185" s="246"/>
      <c r="B2185" s="243"/>
      <c r="C2185" s="137" t="str">
        <v>Vocabulary</v>
      </c>
      <c r="D2185" s="138">
        <v>10</v>
      </c>
      <c r="E2185" s="139" t="str">
        <v/>
      </c>
      <c r="F2185" s="140" t="str">
        <f t="shared" si="128"/>
        <v/>
      </c>
    </row>
    <row r="2186" spans="1:7" ht="12.4" customHeight="1">
      <c r="A2186" s="247" t="s">
        <v>131</v>
      </c>
      <c r="B2186" s="243"/>
      <c r="C2186" s="137" t="str">
        <v>Sprouts</v>
      </c>
      <c r="D2186" s="138">
        <v>10</v>
      </c>
      <c r="E2186" s="139" t="str">
        <v/>
      </c>
      <c r="F2186" s="140" t="str">
        <f t="shared" si="128"/>
        <v/>
      </c>
    </row>
    <row r="2187" spans="1:7" ht="12.4" customHeight="1">
      <c r="A2187" s="247"/>
      <c r="B2187" s="243"/>
      <c r="C2187" s="137" t="str">
        <v>Phonics</v>
      </c>
      <c r="D2187" s="138">
        <v>10</v>
      </c>
      <c r="E2187" s="139" t="str">
        <v/>
      </c>
      <c r="F2187" s="140" t="str">
        <f t="shared" si="128"/>
        <v/>
      </c>
    </row>
    <row r="2188" spans="1:7" ht="12.4" customHeight="1">
      <c r="A2188" s="247"/>
      <c r="B2188" s="243"/>
      <c r="C2188" s="137" t="str">
        <v>Math</v>
      </c>
      <c r="D2188" s="138">
        <v>10</v>
      </c>
      <c r="E2188" s="139" t="str">
        <v/>
      </c>
      <c r="F2188" s="140" t="str">
        <f t="shared" si="128"/>
        <v/>
      </c>
    </row>
    <row r="2189" spans="1:7" ht="12.4" customHeight="1">
      <c r="A2189" s="247"/>
      <c r="B2189" s="243"/>
      <c r="C2189" s="137" t="str">
        <v>Shape</v>
      </c>
      <c r="D2189" s="138">
        <v>10</v>
      </c>
      <c r="E2189" s="139" t="str">
        <v/>
      </c>
      <c r="F2189" s="140" t="str">
        <f t="shared" si="128"/>
        <v/>
      </c>
    </row>
    <row r="2190" spans="1:7" ht="12.4" customHeight="1">
      <c r="A2190" s="247"/>
      <c r="B2190" s="243"/>
      <c r="C2190" s="137" t="str">
        <v>Science</v>
      </c>
      <c r="D2190" s="138">
        <v>10</v>
      </c>
      <c r="E2190" s="139" t="str">
        <v/>
      </c>
      <c r="F2190" s="140" t="str">
        <f t="shared" si="128"/>
        <v/>
      </c>
    </row>
    <row r="2191" spans="1:7" ht="12.4" customHeight="1">
      <c r="A2191" s="247"/>
      <c r="B2191" s="244"/>
      <c r="C2191" s="141" t="str">
        <v>Tracing</v>
      </c>
      <c r="D2191" s="142">
        <v>10</v>
      </c>
      <c r="E2191" s="143" t="str">
        <v/>
      </c>
      <c r="F2191" s="144" t="str">
        <f t="shared" si="128"/>
        <v/>
      </c>
    </row>
    <row r="2192" spans="1:7" ht="12.4" customHeight="1">
      <c r="A2192" s="248"/>
      <c r="B2192" s="240" t="s">
        <v>133</v>
      </c>
      <c r="C2192" s="241"/>
      <c r="D2192" s="103">
        <f>D2181*20%+SUM(D2182:D2191)*80%</f>
        <v>100</v>
      </c>
      <c r="E2192" s="110" t="str">
        <v/>
      </c>
      <c r="F2192" s="104" t="str">
        <f t="shared" si="128"/>
        <v/>
      </c>
    </row>
    <row r="2194" spans="1:7" ht="12.4" customHeight="1">
      <c r="A2194" s="230" t="s">
        <v>121</v>
      </c>
      <c r="B2194" s="231"/>
      <c r="C2194" s="231"/>
      <c r="D2194" s="107" t="s">
        <v>123</v>
      </c>
      <c r="E2194" s="232" t="str">
        <f>I160</f>
        <v/>
      </c>
      <c r="F2194" s="233"/>
      <c r="G2194" s="101">
        <v>160</v>
      </c>
    </row>
    <row r="2195" spans="1:7" ht="12.4" customHeight="1">
      <c r="A2195" s="105" t="s">
        <v>122</v>
      </c>
      <c r="B2195" s="235" t="str">
        <f>$K$146</f>
        <v>FEBRUARY - JULY 2026</v>
      </c>
      <c r="C2195" s="235"/>
      <c r="D2195" s="106" t="s">
        <v>124</v>
      </c>
      <c r="E2195" s="235" t="str">
        <f>$I$146</f>
        <v/>
      </c>
      <c r="F2195" s="236"/>
    </row>
    <row r="2196" spans="1:7" ht="12.4" customHeight="1">
      <c r="A2196" s="237" t="s">
        <v>130</v>
      </c>
      <c r="B2196" s="238"/>
      <c r="C2196" s="238"/>
      <c r="D2196" s="238"/>
      <c r="E2196" s="238"/>
      <c r="F2196" s="239"/>
    </row>
    <row r="2197" spans="1:7" ht="12.4" customHeight="1">
      <c r="A2197" s="245" t="s">
        <v>14</v>
      </c>
      <c r="B2197" s="240" t="s">
        <v>125</v>
      </c>
      <c r="C2197" s="241"/>
      <c r="D2197" s="102" t="s">
        <v>126</v>
      </c>
      <c r="E2197" s="109" t="s">
        <v>127</v>
      </c>
      <c r="F2197" s="102" t="s">
        <v>128</v>
      </c>
    </row>
    <row r="2198" spans="1:7" ht="12.4" customHeight="1">
      <c r="A2198" s="246"/>
      <c r="B2198" s="240" t="s">
        <v>129</v>
      </c>
      <c r="C2198" s="241"/>
      <c r="D2198" s="102">
        <v>100</v>
      </c>
      <c r="E2198" s="110" t="str" cm="1">
        <f t="array" ref="E2198:E2209">TRANSPOSE(K160:V160)</f>
        <v/>
      </c>
      <c r="F2198" s="104" t="str">
        <f>IF(E2198="","",IF(E2198&lt;D2198*60%,"Try harder",""))</f>
        <v/>
      </c>
    </row>
    <row r="2199" spans="1:7" ht="12.4" customHeight="1">
      <c r="A2199" s="246"/>
      <c r="B2199" s="242" t="s">
        <v>132</v>
      </c>
      <c r="C2199" s="133" t="str" cm="1">
        <f t="array" ref="C2199:C2208">TRANSPOSE($L$149:$U$149)</f>
        <v>Up-Low C</v>
      </c>
      <c r="D2199" s="134">
        <v>10</v>
      </c>
      <c r="E2199" s="135" t="str">
        <v/>
      </c>
      <c r="F2199" s="136" t="str">
        <f t="shared" ref="F2199:F2209" si="129">IF(E2199="","",IF(E2199&lt;D2199*60%,"Try harder",""))</f>
        <v/>
      </c>
    </row>
    <row r="2200" spans="1:7" ht="12.4" customHeight="1">
      <c r="A2200" s="246"/>
      <c r="B2200" s="243"/>
      <c r="C2200" s="137" t="str">
        <v>Alphabet N</v>
      </c>
      <c r="D2200" s="138">
        <v>10</v>
      </c>
      <c r="E2200" s="139" t="str">
        <v/>
      </c>
      <c r="F2200" s="140" t="str">
        <f t="shared" si="129"/>
        <v/>
      </c>
    </row>
    <row r="2201" spans="1:7" ht="12.4" customHeight="1">
      <c r="A2201" s="246"/>
      <c r="B2201" s="243"/>
      <c r="C2201" s="137" t="str">
        <v>Alphabet S</v>
      </c>
      <c r="D2201" s="138">
        <v>10</v>
      </c>
      <c r="E2201" s="139" t="str">
        <v/>
      </c>
      <c r="F2201" s="140" t="str">
        <f t="shared" si="129"/>
        <v/>
      </c>
    </row>
    <row r="2202" spans="1:7" ht="12.4" customHeight="1">
      <c r="A2202" s="246"/>
      <c r="B2202" s="243"/>
      <c r="C2202" s="137" t="str">
        <v>Vocabulary</v>
      </c>
      <c r="D2202" s="138">
        <v>10</v>
      </c>
      <c r="E2202" s="139" t="str">
        <v/>
      </c>
      <c r="F2202" s="140" t="str">
        <f t="shared" si="129"/>
        <v/>
      </c>
    </row>
    <row r="2203" spans="1:7" ht="12.4" customHeight="1">
      <c r="A2203" s="247" t="s">
        <v>131</v>
      </c>
      <c r="B2203" s="243"/>
      <c r="C2203" s="137" t="str">
        <v>Sprouts</v>
      </c>
      <c r="D2203" s="138">
        <v>10</v>
      </c>
      <c r="E2203" s="139" t="str">
        <v/>
      </c>
      <c r="F2203" s="140" t="str">
        <f t="shared" si="129"/>
        <v/>
      </c>
    </row>
    <row r="2204" spans="1:7" ht="12.4" customHeight="1">
      <c r="A2204" s="247"/>
      <c r="B2204" s="243"/>
      <c r="C2204" s="137" t="str">
        <v>Phonics</v>
      </c>
      <c r="D2204" s="138">
        <v>10</v>
      </c>
      <c r="E2204" s="139" t="str">
        <v/>
      </c>
      <c r="F2204" s="140" t="str">
        <f t="shared" si="129"/>
        <v/>
      </c>
    </row>
    <row r="2205" spans="1:7" ht="12.4" customHeight="1">
      <c r="A2205" s="247"/>
      <c r="B2205" s="243"/>
      <c r="C2205" s="137" t="str">
        <v>Math</v>
      </c>
      <c r="D2205" s="138">
        <v>10</v>
      </c>
      <c r="E2205" s="139" t="str">
        <v/>
      </c>
      <c r="F2205" s="140" t="str">
        <f t="shared" si="129"/>
        <v/>
      </c>
    </row>
    <row r="2206" spans="1:7" ht="12.4" customHeight="1">
      <c r="A2206" s="247"/>
      <c r="B2206" s="243"/>
      <c r="C2206" s="137" t="str">
        <v>Shape</v>
      </c>
      <c r="D2206" s="138">
        <v>10</v>
      </c>
      <c r="E2206" s="139" t="str">
        <v/>
      </c>
      <c r="F2206" s="140" t="str">
        <f t="shared" si="129"/>
        <v/>
      </c>
    </row>
    <row r="2207" spans="1:7" ht="12.4" customHeight="1">
      <c r="A2207" s="247"/>
      <c r="B2207" s="243"/>
      <c r="C2207" s="137" t="str">
        <v>Science</v>
      </c>
      <c r="D2207" s="138">
        <v>10</v>
      </c>
      <c r="E2207" s="139" t="str">
        <v/>
      </c>
      <c r="F2207" s="140" t="str">
        <f t="shared" si="129"/>
        <v/>
      </c>
    </row>
    <row r="2208" spans="1:7" ht="12.4" customHeight="1">
      <c r="A2208" s="247"/>
      <c r="B2208" s="244"/>
      <c r="C2208" s="141" t="str">
        <v>Tracing</v>
      </c>
      <c r="D2208" s="142">
        <v>10</v>
      </c>
      <c r="E2208" s="143" t="str">
        <v/>
      </c>
      <c r="F2208" s="144" t="str">
        <f t="shared" si="129"/>
        <v/>
      </c>
    </row>
    <row r="2209" spans="1:7" ht="12.4" customHeight="1">
      <c r="A2209" s="248"/>
      <c r="B2209" s="240" t="s">
        <v>133</v>
      </c>
      <c r="C2209" s="241"/>
      <c r="D2209" s="103">
        <f>D2198*20%+SUM(D2199:D2208)*80%</f>
        <v>100</v>
      </c>
      <c r="E2209" s="110" t="str">
        <v/>
      </c>
      <c r="F2209" s="104" t="str">
        <f t="shared" si="129"/>
        <v/>
      </c>
    </row>
    <row r="2211" spans="1:7" ht="12.4" customHeight="1">
      <c r="A2211" s="230" t="s">
        <v>121</v>
      </c>
      <c r="B2211" s="231"/>
      <c r="C2211" s="231"/>
      <c r="D2211" s="107" t="s">
        <v>123</v>
      </c>
      <c r="E2211" s="232" t="str">
        <f>I161</f>
        <v/>
      </c>
      <c r="F2211" s="233"/>
      <c r="G2211" s="101">
        <v>161</v>
      </c>
    </row>
    <row r="2212" spans="1:7" ht="12.4" customHeight="1">
      <c r="A2212" s="105" t="s">
        <v>122</v>
      </c>
      <c r="B2212" s="235" t="str">
        <f>$K$146</f>
        <v>FEBRUARY - JULY 2026</v>
      </c>
      <c r="C2212" s="235"/>
      <c r="D2212" s="106" t="s">
        <v>124</v>
      </c>
      <c r="E2212" s="235" t="str">
        <f>$I$146</f>
        <v/>
      </c>
      <c r="F2212" s="236"/>
    </row>
    <row r="2213" spans="1:7" ht="12.4" customHeight="1">
      <c r="A2213" s="237" t="s">
        <v>130</v>
      </c>
      <c r="B2213" s="238"/>
      <c r="C2213" s="238"/>
      <c r="D2213" s="238"/>
      <c r="E2213" s="238"/>
      <c r="F2213" s="239"/>
    </row>
    <row r="2214" spans="1:7" ht="12.4" customHeight="1">
      <c r="A2214" s="245" t="s">
        <v>14</v>
      </c>
      <c r="B2214" s="240" t="s">
        <v>125</v>
      </c>
      <c r="C2214" s="241"/>
      <c r="D2214" s="102" t="s">
        <v>126</v>
      </c>
      <c r="E2214" s="109" t="s">
        <v>127</v>
      </c>
      <c r="F2214" s="102" t="s">
        <v>128</v>
      </c>
    </row>
    <row r="2215" spans="1:7" ht="12.4" customHeight="1">
      <c r="A2215" s="246"/>
      <c r="B2215" s="240" t="s">
        <v>129</v>
      </c>
      <c r="C2215" s="241"/>
      <c r="D2215" s="102">
        <v>100</v>
      </c>
      <c r="E2215" s="110" t="str" cm="1">
        <f t="array" ref="E2215:E2226">TRANSPOSE(K161:V161)</f>
        <v/>
      </c>
      <c r="F2215" s="104" t="str">
        <f>IF(E2215="","",IF(E2215&lt;D2215*60%,"Try harder",""))</f>
        <v/>
      </c>
    </row>
    <row r="2216" spans="1:7" ht="12.4" customHeight="1">
      <c r="A2216" s="246"/>
      <c r="B2216" s="242" t="s">
        <v>132</v>
      </c>
      <c r="C2216" s="133" t="str" cm="1">
        <f t="array" ref="C2216:C2225">TRANSPOSE($L$149:$U$149)</f>
        <v>Up-Low C</v>
      </c>
      <c r="D2216" s="134">
        <v>10</v>
      </c>
      <c r="E2216" s="135" t="str">
        <v/>
      </c>
      <c r="F2216" s="136" t="str">
        <f t="shared" ref="F2216:F2226" si="130">IF(E2216="","",IF(E2216&lt;D2216*60%,"Try harder",""))</f>
        <v/>
      </c>
    </row>
    <row r="2217" spans="1:7" ht="12.4" customHeight="1">
      <c r="A2217" s="246"/>
      <c r="B2217" s="243"/>
      <c r="C2217" s="137" t="str">
        <v>Alphabet N</v>
      </c>
      <c r="D2217" s="138">
        <v>10</v>
      </c>
      <c r="E2217" s="139" t="str">
        <v/>
      </c>
      <c r="F2217" s="140" t="str">
        <f t="shared" si="130"/>
        <v/>
      </c>
    </row>
    <row r="2218" spans="1:7" ht="12.4" customHeight="1">
      <c r="A2218" s="246"/>
      <c r="B2218" s="243"/>
      <c r="C2218" s="137" t="str">
        <v>Alphabet S</v>
      </c>
      <c r="D2218" s="138">
        <v>10</v>
      </c>
      <c r="E2218" s="139" t="str">
        <v/>
      </c>
      <c r="F2218" s="140" t="str">
        <f t="shared" si="130"/>
        <v/>
      </c>
    </row>
    <row r="2219" spans="1:7" ht="12.4" customHeight="1">
      <c r="A2219" s="246"/>
      <c r="B2219" s="243"/>
      <c r="C2219" s="137" t="str">
        <v>Vocabulary</v>
      </c>
      <c r="D2219" s="138">
        <v>10</v>
      </c>
      <c r="E2219" s="139" t="str">
        <v/>
      </c>
      <c r="F2219" s="140" t="str">
        <f t="shared" si="130"/>
        <v/>
      </c>
    </row>
    <row r="2220" spans="1:7" ht="12.4" customHeight="1">
      <c r="A2220" s="247" t="s">
        <v>131</v>
      </c>
      <c r="B2220" s="243"/>
      <c r="C2220" s="137" t="str">
        <v>Sprouts</v>
      </c>
      <c r="D2220" s="138">
        <v>10</v>
      </c>
      <c r="E2220" s="139" t="str">
        <v/>
      </c>
      <c r="F2220" s="140" t="str">
        <f t="shared" si="130"/>
        <v/>
      </c>
    </row>
    <row r="2221" spans="1:7" ht="12.4" customHeight="1">
      <c r="A2221" s="247"/>
      <c r="B2221" s="243"/>
      <c r="C2221" s="137" t="str">
        <v>Phonics</v>
      </c>
      <c r="D2221" s="138">
        <v>10</v>
      </c>
      <c r="E2221" s="139" t="str">
        <v/>
      </c>
      <c r="F2221" s="140" t="str">
        <f t="shared" si="130"/>
        <v/>
      </c>
    </row>
    <row r="2222" spans="1:7" ht="12.4" customHeight="1">
      <c r="A2222" s="247"/>
      <c r="B2222" s="243"/>
      <c r="C2222" s="137" t="str">
        <v>Math</v>
      </c>
      <c r="D2222" s="138">
        <v>10</v>
      </c>
      <c r="E2222" s="139" t="str">
        <v/>
      </c>
      <c r="F2222" s="140" t="str">
        <f t="shared" si="130"/>
        <v/>
      </c>
    </row>
    <row r="2223" spans="1:7" ht="12.4" customHeight="1">
      <c r="A2223" s="247"/>
      <c r="B2223" s="243"/>
      <c r="C2223" s="137" t="str">
        <v>Shape</v>
      </c>
      <c r="D2223" s="138">
        <v>10</v>
      </c>
      <c r="E2223" s="139" t="str">
        <v/>
      </c>
      <c r="F2223" s="140" t="str">
        <f t="shared" si="130"/>
        <v/>
      </c>
    </row>
    <row r="2224" spans="1:7" ht="12.4" customHeight="1">
      <c r="A2224" s="247"/>
      <c r="B2224" s="243"/>
      <c r="C2224" s="137" t="str">
        <v>Science</v>
      </c>
      <c r="D2224" s="138">
        <v>10</v>
      </c>
      <c r="E2224" s="139" t="str">
        <v/>
      </c>
      <c r="F2224" s="140" t="str">
        <f t="shared" si="130"/>
        <v/>
      </c>
    </row>
    <row r="2225" spans="1:7" ht="12.4" customHeight="1">
      <c r="A2225" s="247"/>
      <c r="B2225" s="244"/>
      <c r="C2225" s="141" t="str">
        <v>Tracing</v>
      </c>
      <c r="D2225" s="142">
        <v>10</v>
      </c>
      <c r="E2225" s="143" t="str">
        <v/>
      </c>
      <c r="F2225" s="144" t="str">
        <f t="shared" si="130"/>
        <v/>
      </c>
    </row>
    <row r="2226" spans="1:7" ht="12.4" customHeight="1">
      <c r="A2226" s="248"/>
      <c r="B2226" s="240" t="s">
        <v>133</v>
      </c>
      <c r="C2226" s="241"/>
      <c r="D2226" s="103">
        <f>D2215*20%+SUM(D2216:D2225)*80%</f>
        <v>100</v>
      </c>
      <c r="E2226" s="110" t="str">
        <v/>
      </c>
      <c r="F2226" s="104" t="str">
        <f t="shared" si="130"/>
        <v/>
      </c>
    </row>
    <row r="2228" spans="1:7" ht="12.4" customHeight="1">
      <c r="A2228" s="230" t="s">
        <v>121</v>
      </c>
      <c r="B2228" s="231"/>
      <c r="C2228" s="231"/>
      <c r="D2228" s="107" t="s">
        <v>123</v>
      </c>
      <c r="E2228" s="232" t="str">
        <f>I162</f>
        <v/>
      </c>
      <c r="F2228" s="233"/>
      <c r="G2228" s="101">
        <v>162</v>
      </c>
    </row>
    <row r="2229" spans="1:7" ht="12.4" customHeight="1">
      <c r="A2229" s="105" t="s">
        <v>122</v>
      </c>
      <c r="B2229" s="235" t="str">
        <f>$K$146</f>
        <v>FEBRUARY - JULY 2026</v>
      </c>
      <c r="C2229" s="235"/>
      <c r="D2229" s="106" t="s">
        <v>124</v>
      </c>
      <c r="E2229" s="235" t="str">
        <f>$I$146</f>
        <v/>
      </c>
      <c r="F2229" s="236"/>
    </row>
    <row r="2230" spans="1:7" ht="12.4" customHeight="1">
      <c r="A2230" s="237" t="s">
        <v>130</v>
      </c>
      <c r="B2230" s="238"/>
      <c r="C2230" s="238"/>
      <c r="D2230" s="238"/>
      <c r="E2230" s="238"/>
      <c r="F2230" s="239"/>
    </row>
    <row r="2231" spans="1:7" ht="12.4" customHeight="1">
      <c r="A2231" s="245" t="s">
        <v>14</v>
      </c>
      <c r="B2231" s="240" t="s">
        <v>125</v>
      </c>
      <c r="C2231" s="241"/>
      <c r="D2231" s="102" t="s">
        <v>126</v>
      </c>
      <c r="E2231" s="109" t="s">
        <v>127</v>
      </c>
      <c r="F2231" s="102" t="s">
        <v>128</v>
      </c>
    </row>
    <row r="2232" spans="1:7" ht="12.4" customHeight="1">
      <c r="A2232" s="246"/>
      <c r="B2232" s="240" t="s">
        <v>129</v>
      </c>
      <c r="C2232" s="241"/>
      <c r="D2232" s="102">
        <v>100</v>
      </c>
      <c r="E2232" s="110" t="str" cm="1">
        <f t="array" ref="E2232:E2243">TRANSPOSE(K162:V162)</f>
        <v/>
      </c>
      <c r="F2232" s="104" t="str">
        <f>IF(E2232="","",IF(E2232&lt;D2232*60%,"Try harder",""))</f>
        <v/>
      </c>
    </row>
    <row r="2233" spans="1:7" ht="12.4" customHeight="1">
      <c r="A2233" s="246"/>
      <c r="B2233" s="242" t="s">
        <v>132</v>
      </c>
      <c r="C2233" s="133" t="str" cm="1">
        <f t="array" ref="C2233:C2242">TRANSPOSE($L$149:$U$149)</f>
        <v>Up-Low C</v>
      </c>
      <c r="D2233" s="134">
        <v>10</v>
      </c>
      <c r="E2233" s="135" t="str">
        <v/>
      </c>
      <c r="F2233" s="136" t="str">
        <f t="shared" ref="F2233:F2243" si="131">IF(E2233="","",IF(E2233&lt;D2233*60%,"Try harder",""))</f>
        <v/>
      </c>
    </row>
    <row r="2234" spans="1:7" ht="12.4" customHeight="1">
      <c r="A2234" s="246"/>
      <c r="B2234" s="243"/>
      <c r="C2234" s="137" t="str">
        <v>Alphabet N</v>
      </c>
      <c r="D2234" s="138">
        <v>10</v>
      </c>
      <c r="E2234" s="139" t="str">
        <v/>
      </c>
      <c r="F2234" s="140" t="str">
        <f t="shared" si="131"/>
        <v/>
      </c>
    </row>
    <row r="2235" spans="1:7" ht="12.4" customHeight="1">
      <c r="A2235" s="246"/>
      <c r="B2235" s="243"/>
      <c r="C2235" s="137" t="str">
        <v>Alphabet S</v>
      </c>
      <c r="D2235" s="138">
        <v>10</v>
      </c>
      <c r="E2235" s="139" t="str">
        <v/>
      </c>
      <c r="F2235" s="140" t="str">
        <f t="shared" si="131"/>
        <v/>
      </c>
    </row>
    <row r="2236" spans="1:7" ht="12.4" customHeight="1">
      <c r="A2236" s="246"/>
      <c r="B2236" s="243"/>
      <c r="C2236" s="137" t="str">
        <v>Vocabulary</v>
      </c>
      <c r="D2236" s="138">
        <v>10</v>
      </c>
      <c r="E2236" s="139" t="str">
        <v/>
      </c>
      <c r="F2236" s="140" t="str">
        <f t="shared" si="131"/>
        <v/>
      </c>
    </row>
    <row r="2237" spans="1:7" ht="12.4" customHeight="1">
      <c r="A2237" s="247" t="s">
        <v>131</v>
      </c>
      <c r="B2237" s="243"/>
      <c r="C2237" s="137" t="str">
        <v>Sprouts</v>
      </c>
      <c r="D2237" s="138">
        <v>10</v>
      </c>
      <c r="E2237" s="139" t="str">
        <v/>
      </c>
      <c r="F2237" s="140" t="str">
        <f t="shared" si="131"/>
        <v/>
      </c>
    </row>
    <row r="2238" spans="1:7" ht="12.4" customHeight="1">
      <c r="A2238" s="247"/>
      <c r="B2238" s="243"/>
      <c r="C2238" s="137" t="str">
        <v>Phonics</v>
      </c>
      <c r="D2238" s="138">
        <v>10</v>
      </c>
      <c r="E2238" s="139" t="str">
        <v/>
      </c>
      <c r="F2238" s="140" t="str">
        <f t="shared" si="131"/>
        <v/>
      </c>
    </row>
    <row r="2239" spans="1:7" ht="12.4" customHeight="1">
      <c r="A2239" s="247"/>
      <c r="B2239" s="243"/>
      <c r="C2239" s="137" t="str">
        <v>Math</v>
      </c>
      <c r="D2239" s="138">
        <v>10</v>
      </c>
      <c r="E2239" s="139" t="str">
        <v/>
      </c>
      <c r="F2239" s="140" t="str">
        <f t="shared" si="131"/>
        <v/>
      </c>
    </row>
    <row r="2240" spans="1:7" ht="12.4" customHeight="1">
      <c r="A2240" s="247"/>
      <c r="B2240" s="243"/>
      <c r="C2240" s="137" t="str">
        <v>Shape</v>
      </c>
      <c r="D2240" s="138">
        <v>10</v>
      </c>
      <c r="E2240" s="139" t="str">
        <v/>
      </c>
      <c r="F2240" s="140" t="str">
        <f t="shared" si="131"/>
        <v/>
      </c>
    </row>
    <row r="2241" spans="1:7" ht="12.4" customHeight="1">
      <c r="A2241" s="247"/>
      <c r="B2241" s="243"/>
      <c r="C2241" s="137" t="str">
        <v>Science</v>
      </c>
      <c r="D2241" s="138">
        <v>10</v>
      </c>
      <c r="E2241" s="139" t="str">
        <v/>
      </c>
      <c r="F2241" s="140" t="str">
        <f t="shared" si="131"/>
        <v/>
      </c>
    </row>
    <row r="2242" spans="1:7" ht="12.4" customHeight="1">
      <c r="A2242" s="247"/>
      <c r="B2242" s="244"/>
      <c r="C2242" s="141" t="str">
        <v>Tracing</v>
      </c>
      <c r="D2242" s="142">
        <v>10</v>
      </c>
      <c r="E2242" s="143" t="str">
        <v/>
      </c>
      <c r="F2242" s="144" t="str">
        <f t="shared" si="131"/>
        <v/>
      </c>
    </row>
    <row r="2243" spans="1:7" ht="12.4" customHeight="1">
      <c r="A2243" s="248"/>
      <c r="B2243" s="240" t="s">
        <v>133</v>
      </c>
      <c r="C2243" s="241"/>
      <c r="D2243" s="103">
        <f>D2232*20%+SUM(D2233:D2242)*80%</f>
        <v>100</v>
      </c>
      <c r="E2243" s="110" t="str">
        <v/>
      </c>
      <c r="F2243" s="104" t="str">
        <f t="shared" si="131"/>
        <v/>
      </c>
    </row>
    <row r="2245" spans="1:7" ht="12.4" customHeight="1">
      <c r="A2245" s="230" t="s">
        <v>121</v>
      </c>
      <c r="B2245" s="231"/>
      <c r="C2245" s="231"/>
      <c r="D2245" s="107" t="s">
        <v>123</v>
      </c>
      <c r="E2245" s="232" t="str">
        <f>I163</f>
        <v/>
      </c>
      <c r="F2245" s="233"/>
      <c r="G2245" s="101">
        <v>163</v>
      </c>
    </row>
    <row r="2246" spans="1:7" ht="12.4" customHeight="1">
      <c r="A2246" s="105" t="s">
        <v>122</v>
      </c>
      <c r="B2246" s="235" t="str">
        <f>$K$146</f>
        <v>FEBRUARY - JULY 2026</v>
      </c>
      <c r="C2246" s="235"/>
      <c r="D2246" s="106" t="s">
        <v>124</v>
      </c>
      <c r="E2246" s="235" t="str">
        <f>$I$146</f>
        <v/>
      </c>
      <c r="F2246" s="236"/>
    </row>
    <row r="2247" spans="1:7" ht="12.4" customHeight="1">
      <c r="A2247" s="237" t="s">
        <v>130</v>
      </c>
      <c r="B2247" s="238"/>
      <c r="C2247" s="238"/>
      <c r="D2247" s="238"/>
      <c r="E2247" s="238"/>
      <c r="F2247" s="239"/>
    </row>
    <row r="2248" spans="1:7" ht="12.4" customHeight="1">
      <c r="A2248" s="245" t="s">
        <v>14</v>
      </c>
      <c r="B2248" s="240" t="s">
        <v>125</v>
      </c>
      <c r="C2248" s="241"/>
      <c r="D2248" s="102" t="s">
        <v>126</v>
      </c>
      <c r="E2248" s="109" t="s">
        <v>127</v>
      </c>
      <c r="F2248" s="102" t="s">
        <v>128</v>
      </c>
    </row>
    <row r="2249" spans="1:7" ht="12.4" customHeight="1">
      <c r="A2249" s="246"/>
      <c r="B2249" s="240" t="s">
        <v>129</v>
      </c>
      <c r="C2249" s="241"/>
      <c r="D2249" s="102">
        <v>100</v>
      </c>
      <c r="E2249" s="110" t="str" cm="1">
        <f t="array" ref="E2249:E2260">TRANSPOSE(K163:V163)</f>
        <v/>
      </c>
      <c r="F2249" s="104" t="str">
        <f>IF(E2249="","",IF(E2249&lt;D2249*60%,"Try harder",""))</f>
        <v/>
      </c>
    </row>
    <row r="2250" spans="1:7" ht="12.4" customHeight="1">
      <c r="A2250" s="246"/>
      <c r="B2250" s="242" t="s">
        <v>132</v>
      </c>
      <c r="C2250" s="133" t="str" cm="1">
        <f t="array" ref="C2250:C2259">TRANSPOSE($L$149:$U$149)</f>
        <v>Up-Low C</v>
      </c>
      <c r="D2250" s="134">
        <v>10</v>
      </c>
      <c r="E2250" s="135" t="str">
        <v/>
      </c>
      <c r="F2250" s="136" t="str">
        <f t="shared" ref="F2250:F2260" si="132">IF(E2250="","",IF(E2250&lt;D2250*60%,"Try harder",""))</f>
        <v/>
      </c>
    </row>
    <row r="2251" spans="1:7" ht="12.4" customHeight="1">
      <c r="A2251" s="246"/>
      <c r="B2251" s="243"/>
      <c r="C2251" s="137" t="str">
        <v>Alphabet N</v>
      </c>
      <c r="D2251" s="138">
        <v>10</v>
      </c>
      <c r="E2251" s="139" t="str">
        <v/>
      </c>
      <c r="F2251" s="140" t="str">
        <f t="shared" si="132"/>
        <v/>
      </c>
    </row>
    <row r="2252" spans="1:7" ht="12.4" customHeight="1">
      <c r="A2252" s="246"/>
      <c r="B2252" s="243"/>
      <c r="C2252" s="137" t="str">
        <v>Alphabet S</v>
      </c>
      <c r="D2252" s="138">
        <v>10</v>
      </c>
      <c r="E2252" s="139" t="str">
        <v/>
      </c>
      <c r="F2252" s="140" t="str">
        <f t="shared" si="132"/>
        <v/>
      </c>
    </row>
    <row r="2253" spans="1:7" ht="12.4" customHeight="1">
      <c r="A2253" s="246"/>
      <c r="B2253" s="243"/>
      <c r="C2253" s="137" t="str">
        <v>Vocabulary</v>
      </c>
      <c r="D2253" s="138">
        <v>10</v>
      </c>
      <c r="E2253" s="139" t="str">
        <v/>
      </c>
      <c r="F2253" s="140" t="str">
        <f t="shared" si="132"/>
        <v/>
      </c>
    </row>
    <row r="2254" spans="1:7" ht="12.4" customHeight="1">
      <c r="A2254" s="247" t="s">
        <v>131</v>
      </c>
      <c r="B2254" s="243"/>
      <c r="C2254" s="137" t="str">
        <v>Sprouts</v>
      </c>
      <c r="D2254" s="138">
        <v>10</v>
      </c>
      <c r="E2254" s="139" t="str">
        <v/>
      </c>
      <c r="F2254" s="140" t="str">
        <f t="shared" si="132"/>
        <v/>
      </c>
    </row>
    <row r="2255" spans="1:7" ht="12.4" customHeight="1">
      <c r="A2255" s="247"/>
      <c r="B2255" s="243"/>
      <c r="C2255" s="137" t="str">
        <v>Phonics</v>
      </c>
      <c r="D2255" s="138">
        <v>10</v>
      </c>
      <c r="E2255" s="139" t="str">
        <v/>
      </c>
      <c r="F2255" s="140" t="str">
        <f t="shared" si="132"/>
        <v/>
      </c>
    </row>
    <row r="2256" spans="1:7" ht="12.4" customHeight="1">
      <c r="A2256" s="247"/>
      <c r="B2256" s="243"/>
      <c r="C2256" s="137" t="str">
        <v>Math</v>
      </c>
      <c r="D2256" s="138">
        <v>10</v>
      </c>
      <c r="E2256" s="139" t="str">
        <v/>
      </c>
      <c r="F2256" s="140" t="str">
        <f t="shared" si="132"/>
        <v/>
      </c>
    </row>
    <row r="2257" spans="1:7" ht="12.4" customHeight="1">
      <c r="A2257" s="247"/>
      <c r="B2257" s="243"/>
      <c r="C2257" s="137" t="str">
        <v>Shape</v>
      </c>
      <c r="D2257" s="138">
        <v>10</v>
      </c>
      <c r="E2257" s="139" t="str">
        <v/>
      </c>
      <c r="F2257" s="140" t="str">
        <f t="shared" si="132"/>
        <v/>
      </c>
    </row>
    <row r="2258" spans="1:7" ht="12.4" customHeight="1">
      <c r="A2258" s="247"/>
      <c r="B2258" s="243"/>
      <c r="C2258" s="137" t="str">
        <v>Science</v>
      </c>
      <c r="D2258" s="138">
        <v>10</v>
      </c>
      <c r="E2258" s="139" t="str">
        <v/>
      </c>
      <c r="F2258" s="140" t="str">
        <f t="shared" si="132"/>
        <v/>
      </c>
    </row>
    <row r="2259" spans="1:7" ht="12.4" customHeight="1">
      <c r="A2259" s="247"/>
      <c r="B2259" s="244"/>
      <c r="C2259" s="141" t="str">
        <v>Tracing</v>
      </c>
      <c r="D2259" s="142">
        <v>10</v>
      </c>
      <c r="E2259" s="143" t="str">
        <v/>
      </c>
      <c r="F2259" s="144" t="str">
        <f t="shared" si="132"/>
        <v/>
      </c>
    </row>
    <row r="2260" spans="1:7" ht="12.4" customHeight="1">
      <c r="A2260" s="248"/>
      <c r="B2260" s="240" t="s">
        <v>133</v>
      </c>
      <c r="C2260" s="241"/>
      <c r="D2260" s="103">
        <f>D2249*20%+SUM(D2250:D2259)*80%</f>
        <v>100</v>
      </c>
      <c r="E2260" s="110" t="str">
        <v/>
      </c>
      <c r="F2260" s="104" t="str">
        <f t="shared" si="132"/>
        <v/>
      </c>
    </row>
    <row r="2262" spans="1:7" ht="12.4" customHeight="1">
      <c r="A2262" s="230" t="s">
        <v>121</v>
      </c>
      <c r="B2262" s="231"/>
      <c r="C2262" s="231"/>
      <c r="D2262" s="107" t="s">
        <v>123</v>
      </c>
      <c r="E2262" s="232" t="str">
        <f>I164</f>
        <v/>
      </c>
      <c r="F2262" s="233"/>
      <c r="G2262" s="101">
        <v>164</v>
      </c>
    </row>
    <row r="2263" spans="1:7" ht="12.4" customHeight="1">
      <c r="A2263" s="105" t="s">
        <v>122</v>
      </c>
      <c r="B2263" s="235" t="str">
        <f>$K$146</f>
        <v>FEBRUARY - JULY 2026</v>
      </c>
      <c r="C2263" s="235"/>
      <c r="D2263" s="106" t="s">
        <v>124</v>
      </c>
      <c r="E2263" s="235" t="str">
        <f>$I$146</f>
        <v/>
      </c>
      <c r="F2263" s="236"/>
    </row>
    <row r="2264" spans="1:7" ht="12.4" customHeight="1">
      <c r="A2264" s="237" t="s">
        <v>130</v>
      </c>
      <c r="B2264" s="238"/>
      <c r="C2264" s="238"/>
      <c r="D2264" s="238"/>
      <c r="E2264" s="238"/>
      <c r="F2264" s="239"/>
    </row>
    <row r="2265" spans="1:7" ht="12.4" customHeight="1">
      <c r="A2265" s="245" t="s">
        <v>14</v>
      </c>
      <c r="B2265" s="240" t="s">
        <v>125</v>
      </c>
      <c r="C2265" s="241"/>
      <c r="D2265" s="102" t="s">
        <v>126</v>
      </c>
      <c r="E2265" s="109" t="s">
        <v>127</v>
      </c>
      <c r="F2265" s="102" t="s">
        <v>128</v>
      </c>
    </row>
    <row r="2266" spans="1:7" ht="12.4" customHeight="1">
      <c r="A2266" s="246"/>
      <c r="B2266" s="240" t="s">
        <v>129</v>
      </c>
      <c r="C2266" s="241"/>
      <c r="D2266" s="102">
        <v>100</v>
      </c>
      <c r="E2266" s="110" t="str" cm="1">
        <f t="array" ref="E2266:E2277">TRANSPOSE(K164:V164)</f>
        <v/>
      </c>
      <c r="F2266" s="104" t="str">
        <f>IF(E2266="","",IF(E2266&lt;D2266*60%,"Try harder",""))</f>
        <v/>
      </c>
    </row>
    <row r="2267" spans="1:7" ht="12.4" customHeight="1">
      <c r="A2267" s="246"/>
      <c r="B2267" s="242" t="s">
        <v>132</v>
      </c>
      <c r="C2267" s="133" t="str" cm="1">
        <f t="array" ref="C2267:C2276">TRANSPOSE($L$149:$U$149)</f>
        <v>Up-Low C</v>
      </c>
      <c r="D2267" s="134">
        <v>10</v>
      </c>
      <c r="E2267" s="135" t="str">
        <v/>
      </c>
      <c r="F2267" s="136" t="str">
        <f t="shared" ref="F2267:F2277" si="133">IF(E2267="","",IF(E2267&lt;D2267*60%,"Try harder",""))</f>
        <v/>
      </c>
    </row>
    <row r="2268" spans="1:7" ht="12.4" customHeight="1">
      <c r="A2268" s="246"/>
      <c r="B2268" s="243"/>
      <c r="C2268" s="137" t="str">
        <v>Alphabet N</v>
      </c>
      <c r="D2268" s="138">
        <v>10</v>
      </c>
      <c r="E2268" s="139" t="str">
        <v/>
      </c>
      <c r="F2268" s="140" t="str">
        <f t="shared" si="133"/>
        <v/>
      </c>
    </row>
    <row r="2269" spans="1:7" ht="12.4" customHeight="1">
      <c r="A2269" s="246"/>
      <c r="B2269" s="243"/>
      <c r="C2269" s="137" t="str">
        <v>Alphabet S</v>
      </c>
      <c r="D2269" s="138">
        <v>10</v>
      </c>
      <c r="E2269" s="139" t="str">
        <v/>
      </c>
      <c r="F2269" s="140" t="str">
        <f t="shared" si="133"/>
        <v/>
      </c>
    </row>
    <row r="2270" spans="1:7" ht="12.4" customHeight="1">
      <c r="A2270" s="246"/>
      <c r="B2270" s="243"/>
      <c r="C2270" s="137" t="str">
        <v>Vocabulary</v>
      </c>
      <c r="D2270" s="138">
        <v>10</v>
      </c>
      <c r="E2270" s="139" t="str">
        <v/>
      </c>
      <c r="F2270" s="140" t="str">
        <f t="shared" si="133"/>
        <v/>
      </c>
    </row>
    <row r="2271" spans="1:7" ht="12.4" customHeight="1">
      <c r="A2271" s="247" t="s">
        <v>131</v>
      </c>
      <c r="B2271" s="243"/>
      <c r="C2271" s="137" t="str">
        <v>Sprouts</v>
      </c>
      <c r="D2271" s="138">
        <v>10</v>
      </c>
      <c r="E2271" s="139" t="str">
        <v/>
      </c>
      <c r="F2271" s="140" t="str">
        <f t="shared" si="133"/>
        <v/>
      </c>
    </row>
    <row r="2272" spans="1:7" ht="12.4" customHeight="1">
      <c r="A2272" s="247"/>
      <c r="B2272" s="243"/>
      <c r="C2272" s="137" t="str">
        <v>Phonics</v>
      </c>
      <c r="D2272" s="138">
        <v>10</v>
      </c>
      <c r="E2272" s="139" t="str">
        <v/>
      </c>
      <c r="F2272" s="140" t="str">
        <f t="shared" si="133"/>
        <v/>
      </c>
    </row>
    <row r="2273" spans="1:7" ht="12.4" customHeight="1">
      <c r="A2273" s="247"/>
      <c r="B2273" s="243"/>
      <c r="C2273" s="137" t="str">
        <v>Math</v>
      </c>
      <c r="D2273" s="138">
        <v>10</v>
      </c>
      <c r="E2273" s="139" t="str">
        <v/>
      </c>
      <c r="F2273" s="140" t="str">
        <f t="shared" si="133"/>
        <v/>
      </c>
    </row>
    <row r="2274" spans="1:7" ht="12.4" customHeight="1">
      <c r="A2274" s="247"/>
      <c r="B2274" s="243"/>
      <c r="C2274" s="137" t="str">
        <v>Shape</v>
      </c>
      <c r="D2274" s="138">
        <v>10</v>
      </c>
      <c r="E2274" s="139" t="str">
        <v/>
      </c>
      <c r="F2274" s="140" t="str">
        <f t="shared" si="133"/>
        <v/>
      </c>
    </row>
    <row r="2275" spans="1:7" ht="12.4" customHeight="1">
      <c r="A2275" s="247"/>
      <c r="B2275" s="243"/>
      <c r="C2275" s="137" t="str">
        <v>Science</v>
      </c>
      <c r="D2275" s="138">
        <v>10</v>
      </c>
      <c r="E2275" s="139" t="str">
        <v/>
      </c>
      <c r="F2275" s="140" t="str">
        <f t="shared" si="133"/>
        <v/>
      </c>
    </row>
    <row r="2276" spans="1:7" ht="12.4" customHeight="1">
      <c r="A2276" s="247"/>
      <c r="B2276" s="244"/>
      <c r="C2276" s="141" t="str">
        <v>Tracing</v>
      </c>
      <c r="D2276" s="142">
        <v>10</v>
      </c>
      <c r="E2276" s="143" t="str">
        <v/>
      </c>
      <c r="F2276" s="144" t="str">
        <f t="shared" si="133"/>
        <v/>
      </c>
    </row>
    <row r="2277" spans="1:7" ht="12.4" customHeight="1">
      <c r="A2277" s="248"/>
      <c r="B2277" s="240" t="s">
        <v>133</v>
      </c>
      <c r="C2277" s="241"/>
      <c r="D2277" s="103">
        <f>D2266*20%+SUM(D2267:D2276)*80%</f>
        <v>100</v>
      </c>
      <c r="E2277" s="110" t="str">
        <v/>
      </c>
      <c r="F2277" s="104" t="str">
        <f t="shared" si="133"/>
        <v/>
      </c>
    </row>
    <row r="2279" spans="1:7" ht="12.4" customHeight="1">
      <c r="A2279" s="230" t="s">
        <v>121</v>
      </c>
      <c r="B2279" s="231"/>
      <c r="C2279" s="231"/>
      <c r="D2279" s="107" t="s">
        <v>123</v>
      </c>
      <c r="E2279" s="232" t="str">
        <f>I165</f>
        <v/>
      </c>
      <c r="F2279" s="233"/>
      <c r="G2279" s="101">
        <v>165</v>
      </c>
    </row>
    <row r="2280" spans="1:7" ht="12.4" customHeight="1">
      <c r="A2280" s="105" t="s">
        <v>122</v>
      </c>
      <c r="B2280" s="235" t="str">
        <f>$K$146</f>
        <v>FEBRUARY - JULY 2026</v>
      </c>
      <c r="C2280" s="235"/>
      <c r="D2280" s="106" t="s">
        <v>124</v>
      </c>
      <c r="E2280" s="235" t="str">
        <f>$I$146</f>
        <v/>
      </c>
      <c r="F2280" s="236"/>
    </row>
    <row r="2281" spans="1:7" ht="12.4" customHeight="1">
      <c r="A2281" s="237" t="s">
        <v>130</v>
      </c>
      <c r="B2281" s="238"/>
      <c r="C2281" s="238"/>
      <c r="D2281" s="238"/>
      <c r="E2281" s="238"/>
      <c r="F2281" s="239"/>
    </row>
    <row r="2282" spans="1:7" ht="12.4" customHeight="1">
      <c r="A2282" s="245" t="s">
        <v>14</v>
      </c>
      <c r="B2282" s="240" t="s">
        <v>125</v>
      </c>
      <c r="C2282" s="241"/>
      <c r="D2282" s="102" t="s">
        <v>126</v>
      </c>
      <c r="E2282" s="109" t="s">
        <v>127</v>
      </c>
      <c r="F2282" s="102" t="s">
        <v>128</v>
      </c>
    </row>
    <row r="2283" spans="1:7" ht="12.4" customHeight="1">
      <c r="A2283" s="246"/>
      <c r="B2283" s="240" t="s">
        <v>129</v>
      </c>
      <c r="C2283" s="241"/>
      <c r="D2283" s="102">
        <v>100</v>
      </c>
      <c r="E2283" s="110" t="str" cm="1">
        <f t="array" ref="E2283:E2294">TRANSPOSE(K165:V165)</f>
        <v/>
      </c>
      <c r="F2283" s="104" t="str">
        <f>IF(E2283="","",IF(E2283&lt;D2283*60%,"Try harder",""))</f>
        <v/>
      </c>
    </row>
    <row r="2284" spans="1:7" ht="12.4" customHeight="1">
      <c r="A2284" s="246"/>
      <c r="B2284" s="242" t="s">
        <v>132</v>
      </c>
      <c r="C2284" s="133" t="str" cm="1">
        <f t="array" ref="C2284:C2293">TRANSPOSE($L$149:$U$149)</f>
        <v>Up-Low C</v>
      </c>
      <c r="D2284" s="134">
        <v>10</v>
      </c>
      <c r="E2284" s="135" t="str">
        <v/>
      </c>
      <c r="F2284" s="136" t="str">
        <f t="shared" ref="F2284:F2294" si="134">IF(E2284="","",IF(E2284&lt;D2284*60%,"Try harder",""))</f>
        <v/>
      </c>
    </row>
    <row r="2285" spans="1:7" ht="12.4" customHeight="1">
      <c r="A2285" s="246"/>
      <c r="B2285" s="243"/>
      <c r="C2285" s="137" t="str">
        <v>Alphabet N</v>
      </c>
      <c r="D2285" s="138">
        <v>10</v>
      </c>
      <c r="E2285" s="139" t="str">
        <v/>
      </c>
      <c r="F2285" s="140" t="str">
        <f t="shared" si="134"/>
        <v/>
      </c>
    </row>
    <row r="2286" spans="1:7" ht="12.4" customHeight="1">
      <c r="A2286" s="246"/>
      <c r="B2286" s="243"/>
      <c r="C2286" s="137" t="str">
        <v>Alphabet S</v>
      </c>
      <c r="D2286" s="138">
        <v>10</v>
      </c>
      <c r="E2286" s="139" t="str">
        <v/>
      </c>
      <c r="F2286" s="140" t="str">
        <f t="shared" si="134"/>
        <v/>
      </c>
    </row>
    <row r="2287" spans="1:7" ht="12.4" customHeight="1">
      <c r="A2287" s="246"/>
      <c r="B2287" s="243"/>
      <c r="C2287" s="137" t="str">
        <v>Vocabulary</v>
      </c>
      <c r="D2287" s="138">
        <v>10</v>
      </c>
      <c r="E2287" s="139" t="str">
        <v/>
      </c>
      <c r="F2287" s="140" t="str">
        <f t="shared" si="134"/>
        <v/>
      </c>
    </row>
    <row r="2288" spans="1:7" ht="12.4" customHeight="1">
      <c r="A2288" s="247" t="s">
        <v>131</v>
      </c>
      <c r="B2288" s="243"/>
      <c r="C2288" s="137" t="str">
        <v>Sprouts</v>
      </c>
      <c r="D2288" s="138">
        <v>10</v>
      </c>
      <c r="E2288" s="139" t="str">
        <v/>
      </c>
      <c r="F2288" s="140" t="str">
        <f t="shared" si="134"/>
        <v/>
      </c>
    </row>
    <row r="2289" spans="1:7" ht="12.4" customHeight="1">
      <c r="A2289" s="247"/>
      <c r="B2289" s="243"/>
      <c r="C2289" s="137" t="str">
        <v>Phonics</v>
      </c>
      <c r="D2289" s="138">
        <v>10</v>
      </c>
      <c r="E2289" s="139" t="str">
        <v/>
      </c>
      <c r="F2289" s="140" t="str">
        <f t="shared" si="134"/>
        <v/>
      </c>
    </row>
    <row r="2290" spans="1:7" ht="12.4" customHeight="1">
      <c r="A2290" s="247"/>
      <c r="B2290" s="243"/>
      <c r="C2290" s="137" t="str">
        <v>Math</v>
      </c>
      <c r="D2290" s="138">
        <v>10</v>
      </c>
      <c r="E2290" s="139" t="str">
        <v/>
      </c>
      <c r="F2290" s="140" t="str">
        <f t="shared" si="134"/>
        <v/>
      </c>
    </row>
    <row r="2291" spans="1:7" ht="12.4" customHeight="1">
      <c r="A2291" s="247"/>
      <c r="B2291" s="243"/>
      <c r="C2291" s="137" t="str">
        <v>Shape</v>
      </c>
      <c r="D2291" s="138">
        <v>10</v>
      </c>
      <c r="E2291" s="139" t="str">
        <v/>
      </c>
      <c r="F2291" s="140" t="str">
        <f t="shared" si="134"/>
        <v/>
      </c>
    </row>
    <row r="2292" spans="1:7" ht="12.4" customHeight="1">
      <c r="A2292" s="247"/>
      <c r="B2292" s="243"/>
      <c r="C2292" s="137" t="str">
        <v>Science</v>
      </c>
      <c r="D2292" s="138">
        <v>10</v>
      </c>
      <c r="E2292" s="139" t="str">
        <v/>
      </c>
      <c r="F2292" s="140" t="str">
        <f t="shared" si="134"/>
        <v/>
      </c>
    </row>
    <row r="2293" spans="1:7" ht="12.4" customHeight="1">
      <c r="A2293" s="247"/>
      <c r="B2293" s="244"/>
      <c r="C2293" s="141" t="str">
        <v>Tracing</v>
      </c>
      <c r="D2293" s="142">
        <v>10</v>
      </c>
      <c r="E2293" s="143" t="str">
        <v/>
      </c>
      <c r="F2293" s="144" t="str">
        <f t="shared" si="134"/>
        <v/>
      </c>
    </row>
    <row r="2294" spans="1:7" ht="12.4" customHeight="1">
      <c r="A2294" s="248"/>
      <c r="B2294" s="240" t="s">
        <v>133</v>
      </c>
      <c r="C2294" s="241"/>
      <c r="D2294" s="103">
        <f>D2283*20%+SUM(D2284:D2293)*80%</f>
        <v>100</v>
      </c>
      <c r="E2294" s="110" t="str">
        <v/>
      </c>
      <c r="F2294" s="104" t="str">
        <f t="shared" si="134"/>
        <v/>
      </c>
    </row>
    <row r="2296" spans="1:7" ht="12.4" customHeight="1">
      <c r="A2296" s="230" t="s">
        <v>121</v>
      </c>
      <c r="B2296" s="231"/>
      <c r="C2296" s="231"/>
      <c r="D2296" s="107" t="s">
        <v>123</v>
      </c>
      <c r="E2296" s="232" t="str">
        <f>I166</f>
        <v/>
      </c>
      <c r="F2296" s="233"/>
      <c r="G2296" s="101">
        <v>166</v>
      </c>
    </row>
    <row r="2297" spans="1:7" ht="12.4" customHeight="1">
      <c r="A2297" s="105" t="s">
        <v>122</v>
      </c>
      <c r="B2297" s="235" t="str">
        <f>$K$146</f>
        <v>FEBRUARY - JULY 2026</v>
      </c>
      <c r="C2297" s="235"/>
      <c r="D2297" s="106" t="s">
        <v>124</v>
      </c>
      <c r="E2297" s="235" t="str">
        <f>$I$146</f>
        <v/>
      </c>
      <c r="F2297" s="236"/>
    </row>
    <row r="2298" spans="1:7" ht="12.4" customHeight="1">
      <c r="A2298" s="237" t="s">
        <v>130</v>
      </c>
      <c r="B2298" s="238"/>
      <c r="C2298" s="238"/>
      <c r="D2298" s="238"/>
      <c r="E2298" s="238"/>
      <c r="F2298" s="239"/>
    </row>
    <row r="2299" spans="1:7" ht="12.4" customHeight="1">
      <c r="A2299" s="245" t="s">
        <v>14</v>
      </c>
      <c r="B2299" s="240" t="s">
        <v>125</v>
      </c>
      <c r="C2299" s="241"/>
      <c r="D2299" s="102" t="s">
        <v>126</v>
      </c>
      <c r="E2299" s="109" t="s">
        <v>127</v>
      </c>
      <c r="F2299" s="102" t="s">
        <v>128</v>
      </c>
    </row>
    <row r="2300" spans="1:7" ht="12.4" customHeight="1">
      <c r="A2300" s="246"/>
      <c r="B2300" s="240" t="s">
        <v>129</v>
      </c>
      <c r="C2300" s="241"/>
      <c r="D2300" s="102">
        <v>100</v>
      </c>
      <c r="E2300" s="110" t="str" cm="1">
        <f t="array" ref="E2300:E2311">TRANSPOSE(K166:V166)</f>
        <v/>
      </c>
      <c r="F2300" s="104" t="str">
        <f>IF(E2300="","",IF(E2300&lt;D2300*60%,"Try harder",""))</f>
        <v/>
      </c>
    </row>
    <row r="2301" spans="1:7" ht="12.4" customHeight="1">
      <c r="A2301" s="246"/>
      <c r="B2301" s="242" t="s">
        <v>132</v>
      </c>
      <c r="C2301" s="133" t="str" cm="1">
        <f t="array" ref="C2301:C2310">TRANSPOSE($L$149:$U$149)</f>
        <v>Up-Low C</v>
      </c>
      <c r="D2301" s="134">
        <v>10</v>
      </c>
      <c r="E2301" s="135" t="str">
        <v/>
      </c>
      <c r="F2301" s="136" t="str">
        <f t="shared" ref="F2301:F2311" si="135">IF(E2301="","",IF(E2301&lt;D2301*60%,"Try harder",""))</f>
        <v/>
      </c>
    </row>
    <row r="2302" spans="1:7" ht="12.4" customHeight="1">
      <c r="A2302" s="246"/>
      <c r="B2302" s="243"/>
      <c r="C2302" s="137" t="str">
        <v>Alphabet N</v>
      </c>
      <c r="D2302" s="138">
        <v>10</v>
      </c>
      <c r="E2302" s="139" t="str">
        <v/>
      </c>
      <c r="F2302" s="140" t="str">
        <f t="shared" si="135"/>
        <v/>
      </c>
    </row>
    <row r="2303" spans="1:7" ht="12.4" customHeight="1">
      <c r="A2303" s="246"/>
      <c r="B2303" s="243"/>
      <c r="C2303" s="137" t="str">
        <v>Alphabet S</v>
      </c>
      <c r="D2303" s="138">
        <v>10</v>
      </c>
      <c r="E2303" s="139" t="str">
        <v/>
      </c>
      <c r="F2303" s="140" t="str">
        <f t="shared" si="135"/>
        <v/>
      </c>
    </row>
    <row r="2304" spans="1:7" ht="12.4" customHeight="1">
      <c r="A2304" s="246"/>
      <c r="B2304" s="243"/>
      <c r="C2304" s="137" t="str">
        <v>Vocabulary</v>
      </c>
      <c r="D2304" s="138">
        <v>10</v>
      </c>
      <c r="E2304" s="139" t="str">
        <v/>
      </c>
      <c r="F2304" s="140" t="str">
        <f t="shared" si="135"/>
        <v/>
      </c>
    </row>
    <row r="2305" spans="1:7" ht="12.4" customHeight="1">
      <c r="A2305" s="247" t="s">
        <v>131</v>
      </c>
      <c r="B2305" s="243"/>
      <c r="C2305" s="137" t="str">
        <v>Sprouts</v>
      </c>
      <c r="D2305" s="138">
        <v>10</v>
      </c>
      <c r="E2305" s="139" t="str">
        <v/>
      </c>
      <c r="F2305" s="140" t="str">
        <f t="shared" si="135"/>
        <v/>
      </c>
    </row>
    <row r="2306" spans="1:7" ht="12.4" customHeight="1">
      <c r="A2306" s="247"/>
      <c r="B2306" s="243"/>
      <c r="C2306" s="137" t="str">
        <v>Phonics</v>
      </c>
      <c r="D2306" s="138">
        <v>10</v>
      </c>
      <c r="E2306" s="139" t="str">
        <v/>
      </c>
      <c r="F2306" s="140" t="str">
        <f t="shared" si="135"/>
        <v/>
      </c>
    </row>
    <row r="2307" spans="1:7" ht="12.4" customHeight="1">
      <c r="A2307" s="247"/>
      <c r="B2307" s="243"/>
      <c r="C2307" s="137" t="str">
        <v>Math</v>
      </c>
      <c r="D2307" s="138">
        <v>10</v>
      </c>
      <c r="E2307" s="139" t="str">
        <v/>
      </c>
      <c r="F2307" s="140" t="str">
        <f t="shared" si="135"/>
        <v/>
      </c>
    </row>
    <row r="2308" spans="1:7" ht="12.4" customHeight="1">
      <c r="A2308" s="247"/>
      <c r="B2308" s="243"/>
      <c r="C2308" s="137" t="str">
        <v>Shape</v>
      </c>
      <c r="D2308" s="138">
        <v>10</v>
      </c>
      <c r="E2308" s="139" t="str">
        <v/>
      </c>
      <c r="F2308" s="140" t="str">
        <f t="shared" si="135"/>
        <v/>
      </c>
    </row>
    <row r="2309" spans="1:7" ht="12.4" customHeight="1">
      <c r="A2309" s="247"/>
      <c r="B2309" s="243"/>
      <c r="C2309" s="137" t="str">
        <v>Science</v>
      </c>
      <c r="D2309" s="138">
        <v>10</v>
      </c>
      <c r="E2309" s="139" t="str">
        <v/>
      </c>
      <c r="F2309" s="140" t="str">
        <f t="shared" si="135"/>
        <v/>
      </c>
    </row>
    <row r="2310" spans="1:7" ht="12.4" customHeight="1">
      <c r="A2310" s="247"/>
      <c r="B2310" s="244"/>
      <c r="C2310" s="141" t="str">
        <v>Tracing</v>
      </c>
      <c r="D2310" s="142">
        <v>10</v>
      </c>
      <c r="E2310" s="143" t="str">
        <v/>
      </c>
      <c r="F2310" s="144" t="str">
        <f t="shared" si="135"/>
        <v/>
      </c>
    </row>
    <row r="2311" spans="1:7" ht="12.4" customHeight="1">
      <c r="A2311" s="248"/>
      <c r="B2311" s="240" t="s">
        <v>133</v>
      </c>
      <c r="C2311" s="241"/>
      <c r="D2311" s="103">
        <f>D2300*20%+SUM(D2301:D2310)*80%</f>
        <v>100</v>
      </c>
      <c r="E2311" s="110" t="str">
        <v/>
      </c>
      <c r="F2311" s="104" t="str">
        <f t="shared" si="135"/>
        <v/>
      </c>
    </row>
    <row r="2313" spans="1:7" ht="12.4" customHeight="1">
      <c r="A2313" s="230" t="s">
        <v>121</v>
      </c>
      <c r="B2313" s="231"/>
      <c r="C2313" s="231"/>
      <c r="D2313" s="107" t="s">
        <v>123</v>
      </c>
      <c r="E2313" s="232" t="str">
        <f>I167</f>
        <v/>
      </c>
      <c r="F2313" s="233"/>
      <c r="G2313" s="101">
        <v>167</v>
      </c>
    </row>
    <row r="2314" spans="1:7" ht="12.4" customHeight="1">
      <c r="A2314" s="105" t="s">
        <v>122</v>
      </c>
      <c r="B2314" s="235" t="str">
        <f>$K$146</f>
        <v>FEBRUARY - JULY 2026</v>
      </c>
      <c r="C2314" s="235"/>
      <c r="D2314" s="106" t="s">
        <v>124</v>
      </c>
      <c r="E2314" s="235" t="str">
        <f>$I$146</f>
        <v/>
      </c>
      <c r="F2314" s="236"/>
    </row>
    <row r="2315" spans="1:7" ht="12.4" customHeight="1">
      <c r="A2315" s="237" t="s">
        <v>130</v>
      </c>
      <c r="B2315" s="238"/>
      <c r="C2315" s="238"/>
      <c r="D2315" s="238"/>
      <c r="E2315" s="238"/>
      <c r="F2315" s="239"/>
    </row>
    <row r="2316" spans="1:7" ht="12.4" customHeight="1">
      <c r="A2316" s="245" t="s">
        <v>14</v>
      </c>
      <c r="B2316" s="240" t="s">
        <v>125</v>
      </c>
      <c r="C2316" s="241"/>
      <c r="D2316" s="102" t="s">
        <v>126</v>
      </c>
      <c r="E2316" s="109" t="s">
        <v>127</v>
      </c>
      <c r="F2316" s="102" t="s">
        <v>128</v>
      </c>
    </row>
    <row r="2317" spans="1:7" ht="12.4" customHeight="1">
      <c r="A2317" s="246"/>
      <c r="B2317" s="240" t="s">
        <v>129</v>
      </c>
      <c r="C2317" s="241"/>
      <c r="D2317" s="102">
        <v>100</v>
      </c>
      <c r="E2317" s="110" t="str" cm="1">
        <f t="array" ref="E2317:E2328">TRANSPOSE(K167:V167)</f>
        <v/>
      </c>
      <c r="F2317" s="104" t="str">
        <f>IF(E2317="","",IF(E2317&lt;D2317*60%,"Try harder",""))</f>
        <v/>
      </c>
    </row>
    <row r="2318" spans="1:7" ht="12.4" customHeight="1">
      <c r="A2318" s="246"/>
      <c r="B2318" s="242" t="s">
        <v>132</v>
      </c>
      <c r="C2318" s="133" t="str" cm="1">
        <f t="array" ref="C2318:C2327">TRANSPOSE($L$149:$U$149)</f>
        <v>Up-Low C</v>
      </c>
      <c r="D2318" s="134">
        <v>10</v>
      </c>
      <c r="E2318" s="135" t="str">
        <v/>
      </c>
      <c r="F2318" s="136" t="str">
        <f t="shared" ref="F2318:F2328" si="136">IF(E2318="","",IF(E2318&lt;D2318*60%,"Try harder",""))</f>
        <v/>
      </c>
    </row>
    <row r="2319" spans="1:7" ht="12.4" customHeight="1">
      <c r="A2319" s="246"/>
      <c r="B2319" s="243"/>
      <c r="C2319" s="137" t="str">
        <v>Alphabet N</v>
      </c>
      <c r="D2319" s="138">
        <v>10</v>
      </c>
      <c r="E2319" s="139" t="str">
        <v/>
      </c>
      <c r="F2319" s="140" t="str">
        <f t="shared" si="136"/>
        <v/>
      </c>
    </row>
    <row r="2320" spans="1:7" ht="12.4" customHeight="1">
      <c r="A2320" s="246"/>
      <c r="B2320" s="243"/>
      <c r="C2320" s="137" t="str">
        <v>Alphabet S</v>
      </c>
      <c r="D2320" s="138">
        <v>10</v>
      </c>
      <c r="E2320" s="139" t="str">
        <v/>
      </c>
      <c r="F2320" s="140" t="str">
        <f t="shared" si="136"/>
        <v/>
      </c>
    </row>
    <row r="2321" spans="1:7" ht="12.4" customHeight="1">
      <c r="A2321" s="246"/>
      <c r="B2321" s="243"/>
      <c r="C2321" s="137" t="str">
        <v>Vocabulary</v>
      </c>
      <c r="D2321" s="138">
        <v>10</v>
      </c>
      <c r="E2321" s="139" t="str">
        <v/>
      </c>
      <c r="F2321" s="140" t="str">
        <f t="shared" si="136"/>
        <v/>
      </c>
    </row>
    <row r="2322" spans="1:7" ht="12.4" customHeight="1">
      <c r="A2322" s="247" t="s">
        <v>131</v>
      </c>
      <c r="B2322" s="243"/>
      <c r="C2322" s="137" t="str">
        <v>Sprouts</v>
      </c>
      <c r="D2322" s="138">
        <v>10</v>
      </c>
      <c r="E2322" s="139" t="str">
        <v/>
      </c>
      <c r="F2322" s="140" t="str">
        <f t="shared" si="136"/>
        <v/>
      </c>
    </row>
    <row r="2323" spans="1:7" ht="12.4" customHeight="1">
      <c r="A2323" s="247"/>
      <c r="B2323" s="243"/>
      <c r="C2323" s="137" t="str">
        <v>Phonics</v>
      </c>
      <c r="D2323" s="138">
        <v>10</v>
      </c>
      <c r="E2323" s="139" t="str">
        <v/>
      </c>
      <c r="F2323" s="140" t="str">
        <f t="shared" si="136"/>
        <v/>
      </c>
    </row>
    <row r="2324" spans="1:7" ht="12.4" customHeight="1">
      <c r="A2324" s="247"/>
      <c r="B2324" s="243"/>
      <c r="C2324" s="137" t="str">
        <v>Math</v>
      </c>
      <c r="D2324" s="138">
        <v>10</v>
      </c>
      <c r="E2324" s="139" t="str">
        <v/>
      </c>
      <c r="F2324" s="140" t="str">
        <f t="shared" si="136"/>
        <v/>
      </c>
    </row>
    <row r="2325" spans="1:7" ht="12.4" customHeight="1">
      <c r="A2325" s="247"/>
      <c r="B2325" s="243"/>
      <c r="C2325" s="137" t="str">
        <v>Shape</v>
      </c>
      <c r="D2325" s="138">
        <v>10</v>
      </c>
      <c r="E2325" s="139" t="str">
        <v/>
      </c>
      <c r="F2325" s="140" t="str">
        <f t="shared" si="136"/>
        <v/>
      </c>
    </row>
    <row r="2326" spans="1:7" ht="12.4" customHeight="1">
      <c r="A2326" s="247"/>
      <c r="B2326" s="243"/>
      <c r="C2326" s="137" t="str">
        <v>Science</v>
      </c>
      <c r="D2326" s="138">
        <v>10</v>
      </c>
      <c r="E2326" s="139" t="str">
        <v/>
      </c>
      <c r="F2326" s="140" t="str">
        <f t="shared" si="136"/>
        <v/>
      </c>
    </row>
    <row r="2327" spans="1:7" ht="12.4" customHeight="1">
      <c r="A2327" s="247"/>
      <c r="B2327" s="244"/>
      <c r="C2327" s="141" t="str">
        <v>Tracing</v>
      </c>
      <c r="D2327" s="142">
        <v>10</v>
      </c>
      <c r="E2327" s="143" t="str">
        <v/>
      </c>
      <c r="F2327" s="144" t="str">
        <f t="shared" si="136"/>
        <v/>
      </c>
    </row>
    <row r="2328" spans="1:7" ht="12.4" customHeight="1">
      <c r="A2328" s="248"/>
      <c r="B2328" s="240" t="s">
        <v>133</v>
      </c>
      <c r="C2328" s="241"/>
      <c r="D2328" s="103">
        <f>D2317*20%+SUM(D2318:D2327)*80%</f>
        <v>100</v>
      </c>
      <c r="E2328" s="110" t="str">
        <v/>
      </c>
      <c r="F2328" s="104" t="str">
        <f t="shared" si="136"/>
        <v/>
      </c>
    </row>
    <row r="2330" spans="1:7" ht="12.4" customHeight="1">
      <c r="A2330" s="230" t="s">
        <v>121</v>
      </c>
      <c r="B2330" s="231"/>
      <c r="C2330" s="231"/>
      <c r="D2330" s="107" t="s">
        <v>123</v>
      </c>
      <c r="E2330" s="232" t="str">
        <f>I168</f>
        <v/>
      </c>
      <c r="F2330" s="233"/>
      <c r="G2330" s="101">
        <v>168</v>
      </c>
    </row>
    <row r="2331" spans="1:7" ht="12.4" customHeight="1">
      <c r="A2331" s="105" t="s">
        <v>122</v>
      </c>
      <c r="B2331" s="235" t="str">
        <f>$K$146</f>
        <v>FEBRUARY - JULY 2026</v>
      </c>
      <c r="C2331" s="235"/>
      <c r="D2331" s="106" t="s">
        <v>124</v>
      </c>
      <c r="E2331" s="235" t="str">
        <f>$I$146</f>
        <v/>
      </c>
      <c r="F2331" s="236"/>
    </row>
    <row r="2332" spans="1:7" ht="12.4" customHeight="1">
      <c r="A2332" s="237" t="s">
        <v>130</v>
      </c>
      <c r="B2332" s="238"/>
      <c r="C2332" s="238"/>
      <c r="D2332" s="238"/>
      <c r="E2332" s="238"/>
      <c r="F2332" s="239"/>
    </row>
    <row r="2333" spans="1:7" ht="12.4" customHeight="1">
      <c r="A2333" s="245" t="s">
        <v>14</v>
      </c>
      <c r="B2333" s="240" t="s">
        <v>125</v>
      </c>
      <c r="C2333" s="241"/>
      <c r="D2333" s="102" t="s">
        <v>126</v>
      </c>
      <c r="E2333" s="109" t="s">
        <v>127</v>
      </c>
      <c r="F2333" s="102" t="s">
        <v>128</v>
      </c>
    </row>
    <row r="2334" spans="1:7" ht="12.4" customHeight="1">
      <c r="A2334" s="246"/>
      <c r="B2334" s="240" t="s">
        <v>129</v>
      </c>
      <c r="C2334" s="241"/>
      <c r="D2334" s="102">
        <v>100</v>
      </c>
      <c r="E2334" s="110" t="str" cm="1">
        <f t="array" ref="E2334:E2345">TRANSPOSE(K168:V168)</f>
        <v/>
      </c>
      <c r="F2334" s="104" t="str">
        <f>IF(E2334="","",IF(E2334&lt;D2334*60%,"Try harder",""))</f>
        <v/>
      </c>
    </row>
    <row r="2335" spans="1:7" ht="12.4" customHeight="1">
      <c r="A2335" s="246"/>
      <c r="B2335" s="242" t="s">
        <v>132</v>
      </c>
      <c r="C2335" s="133" t="str" cm="1">
        <f t="array" ref="C2335:C2344">TRANSPOSE($L$149:$U$149)</f>
        <v>Up-Low C</v>
      </c>
      <c r="D2335" s="134">
        <v>10</v>
      </c>
      <c r="E2335" s="135" t="str">
        <v/>
      </c>
      <c r="F2335" s="136" t="str">
        <f t="shared" ref="F2335:F2345" si="137">IF(E2335="","",IF(E2335&lt;D2335*60%,"Try harder",""))</f>
        <v/>
      </c>
    </row>
    <row r="2336" spans="1:7" ht="12.4" customHeight="1">
      <c r="A2336" s="246"/>
      <c r="B2336" s="243"/>
      <c r="C2336" s="137" t="str">
        <v>Alphabet N</v>
      </c>
      <c r="D2336" s="138">
        <v>10</v>
      </c>
      <c r="E2336" s="139" t="str">
        <v/>
      </c>
      <c r="F2336" s="140" t="str">
        <f t="shared" si="137"/>
        <v/>
      </c>
    </row>
    <row r="2337" spans="1:7" ht="12.4" customHeight="1">
      <c r="A2337" s="246"/>
      <c r="B2337" s="243"/>
      <c r="C2337" s="137" t="str">
        <v>Alphabet S</v>
      </c>
      <c r="D2337" s="138">
        <v>10</v>
      </c>
      <c r="E2337" s="139" t="str">
        <v/>
      </c>
      <c r="F2337" s="140" t="str">
        <f t="shared" si="137"/>
        <v/>
      </c>
    </row>
    <row r="2338" spans="1:7" ht="12.4" customHeight="1">
      <c r="A2338" s="246"/>
      <c r="B2338" s="243"/>
      <c r="C2338" s="137" t="str">
        <v>Vocabulary</v>
      </c>
      <c r="D2338" s="138">
        <v>10</v>
      </c>
      <c r="E2338" s="139" t="str">
        <v/>
      </c>
      <c r="F2338" s="140" t="str">
        <f t="shared" si="137"/>
        <v/>
      </c>
    </row>
    <row r="2339" spans="1:7" ht="12.4" customHeight="1">
      <c r="A2339" s="247" t="s">
        <v>131</v>
      </c>
      <c r="B2339" s="243"/>
      <c r="C2339" s="137" t="str">
        <v>Sprouts</v>
      </c>
      <c r="D2339" s="138">
        <v>10</v>
      </c>
      <c r="E2339" s="139" t="str">
        <v/>
      </c>
      <c r="F2339" s="140" t="str">
        <f t="shared" si="137"/>
        <v/>
      </c>
    </row>
    <row r="2340" spans="1:7" ht="12.4" customHeight="1">
      <c r="A2340" s="247"/>
      <c r="B2340" s="243"/>
      <c r="C2340" s="137" t="str">
        <v>Phonics</v>
      </c>
      <c r="D2340" s="138">
        <v>10</v>
      </c>
      <c r="E2340" s="139" t="str">
        <v/>
      </c>
      <c r="F2340" s="140" t="str">
        <f t="shared" si="137"/>
        <v/>
      </c>
    </row>
    <row r="2341" spans="1:7" ht="12.4" customHeight="1">
      <c r="A2341" s="247"/>
      <c r="B2341" s="243"/>
      <c r="C2341" s="137" t="str">
        <v>Math</v>
      </c>
      <c r="D2341" s="138">
        <v>10</v>
      </c>
      <c r="E2341" s="139" t="str">
        <v/>
      </c>
      <c r="F2341" s="140" t="str">
        <f t="shared" si="137"/>
        <v/>
      </c>
    </row>
    <row r="2342" spans="1:7" ht="12.4" customHeight="1">
      <c r="A2342" s="247"/>
      <c r="B2342" s="243"/>
      <c r="C2342" s="137" t="str">
        <v>Shape</v>
      </c>
      <c r="D2342" s="138">
        <v>10</v>
      </c>
      <c r="E2342" s="139" t="str">
        <v/>
      </c>
      <c r="F2342" s="140" t="str">
        <f t="shared" si="137"/>
        <v/>
      </c>
    </row>
    <row r="2343" spans="1:7" ht="12.4" customHeight="1">
      <c r="A2343" s="247"/>
      <c r="B2343" s="243"/>
      <c r="C2343" s="137" t="str">
        <v>Science</v>
      </c>
      <c r="D2343" s="138">
        <v>10</v>
      </c>
      <c r="E2343" s="139" t="str">
        <v/>
      </c>
      <c r="F2343" s="140" t="str">
        <f t="shared" si="137"/>
        <v/>
      </c>
    </row>
    <row r="2344" spans="1:7" ht="12.4" customHeight="1">
      <c r="A2344" s="247"/>
      <c r="B2344" s="244"/>
      <c r="C2344" s="141" t="str">
        <v>Tracing</v>
      </c>
      <c r="D2344" s="142">
        <v>10</v>
      </c>
      <c r="E2344" s="143" t="str">
        <v/>
      </c>
      <c r="F2344" s="144" t="str">
        <f t="shared" si="137"/>
        <v/>
      </c>
    </row>
    <row r="2345" spans="1:7" ht="12.4" customHeight="1">
      <c r="A2345" s="248"/>
      <c r="B2345" s="240" t="s">
        <v>133</v>
      </c>
      <c r="C2345" s="241"/>
      <c r="D2345" s="103">
        <f>D2334*20%+SUM(D2335:D2344)*80%</f>
        <v>100</v>
      </c>
      <c r="E2345" s="110" t="str">
        <v/>
      </c>
      <c r="F2345" s="104" t="str">
        <f t="shared" si="137"/>
        <v/>
      </c>
    </row>
    <row r="2347" spans="1:7" ht="12.4" customHeight="1">
      <c r="A2347" s="230" t="s">
        <v>121</v>
      </c>
      <c r="B2347" s="231"/>
      <c r="C2347" s="231"/>
      <c r="D2347" s="107" t="s">
        <v>123</v>
      </c>
      <c r="E2347" s="232" t="str">
        <f>I169</f>
        <v/>
      </c>
      <c r="F2347" s="233"/>
      <c r="G2347" s="101">
        <v>169</v>
      </c>
    </row>
    <row r="2348" spans="1:7" ht="12.4" customHeight="1">
      <c r="A2348" s="105" t="s">
        <v>122</v>
      </c>
      <c r="B2348" s="235" t="str">
        <f>$K$146</f>
        <v>FEBRUARY - JULY 2026</v>
      </c>
      <c r="C2348" s="235"/>
      <c r="D2348" s="106" t="s">
        <v>124</v>
      </c>
      <c r="E2348" s="235" t="str">
        <f>$I$146</f>
        <v/>
      </c>
      <c r="F2348" s="236"/>
    </row>
    <row r="2349" spans="1:7" ht="12.4" customHeight="1">
      <c r="A2349" s="237" t="s">
        <v>130</v>
      </c>
      <c r="B2349" s="238"/>
      <c r="C2349" s="238"/>
      <c r="D2349" s="238"/>
      <c r="E2349" s="238"/>
      <c r="F2349" s="239"/>
    </row>
    <row r="2350" spans="1:7" ht="12.4" customHeight="1">
      <c r="A2350" s="245" t="s">
        <v>14</v>
      </c>
      <c r="B2350" s="240" t="s">
        <v>125</v>
      </c>
      <c r="C2350" s="241"/>
      <c r="D2350" s="102" t="s">
        <v>126</v>
      </c>
      <c r="E2350" s="109" t="s">
        <v>127</v>
      </c>
      <c r="F2350" s="102" t="s">
        <v>128</v>
      </c>
    </row>
    <row r="2351" spans="1:7" ht="12.4" customHeight="1">
      <c r="A2351" s="246"/>
      <c r="B2351" s="240" t="s">
        <v>129</v>
      </c>
      <c r="C2351" s="241"/>
      <c r="D2351" s="102">
        <v>100</v>
      </c>
      <c r="E2351" s="110" t="str" cm="1">
        <f t="array" ref="E2351:E2362">TRANSPOSE(K169:V169)</f>
        <v/>
      </c>
      <c r="F2351" s="104" t="str">
        <f>IF(E2351="","",IF(E2351&lt;D2351*60%,"Try harder",""))</f>
        <v/>
      </c>
    </row>
    <row r="2352" spans="1:7" ht="12.4" customHeight="1">
      <c r="A2352" s="246"/>
      <c r="B2352" s="242" t="s">
        <v>132</v>
      </c>
      <c r="C2352" s="133" t="str" cm="1">
        <f t="array" ref="C2352:C2361">TRANSPOSE($L$149:$U$149)</f>
        <v>Up-Low C</v>
      </c>
      <c r="D2352" s="134">
        <v>10</v>
      </c>
      <c r="E2352" s="135" t="str">
        <v/>
      </c>
      <c r="F2352" s="136" t="str">
        <f t="shared" ref="F2352:F2362" si="138">IF(E2352="","",IF(E2352&lt;D2352*60%,"Try harder",""))</f>
        <v/>
      </c>
    </row>
    <row r="2353" spans="1:7" ht="12.4" customHeight="1">
      <c r="A2353" s="246"/>
      <c r="B2353" s="243"/>
      <c r="C2353" s="137" t="str">
        <v>Alphabet N</v>
      </c>
      <c r="D2353" s="138">
        <v>10</v>
      </c>
      <c r="E2353" s="139" t="str">
        <v/>
      </c>
      <c r="F2353" s="140" t="str">
        <f t="shared" si="138"/>
        <v/>
      </c>
    </row>
    <row r="2354" spans="1:7" ht="12.4" customHeight="1">
      <c r="A2354" s="246"/>
      <c r="B2354" s="243"/>
      <c r="C2354" s="137" t="str">
        <v>Alphabet S</v>
      </c>
      <c r="D2354" s="138">
        <v>10</v>
      </c>
      <c r="E2354" s="139" t="str">
        <v/>
      </c>
      <c r="F2354" s="140" t="str">
        <f t="shared" si="138"/>
        <v/>
      </c>
    </row>
    <row r="2355" spans="1:7" ht="12.4" customHeight="1">
      <c r="A2355" s="246"/>
      <c r="B2355" s="243"/>
      <c r="C2355" s="137" t="str">
        <v>Vocabulary</v>
      </c>
      <c r="D2355" s="138">
        <v>10</v>
      </c>
      <c r="E2355" s="139" t="str">
        <v/>
      </c>
      <c r="F2355" s="140" t="str">
        <f t="shared" si="138"/>
        <v/>
      </c>
    </row>
    <row r="2356" spans="1:7" ht="12.4" customHeight="1">
      <c r="A2356" s="247" t="s">
        <v>131</v>
      </c>
      <c r="B2356" s="243"/>
      <c r="C2356" s="137" t="str">
        <v>Sprouts</v>
      </c>
      <c r="D2356" s="138">
        <v>10</v>
      </c>
      <c r="E2356" s="139" t="str">
        <v/>
      </c>
      <c r="F2356" s="140" t="str">
        <f t="shared" si="138"/>
        <v/>
      </c>
    </row>
    <row r="2357" spans="1:7" ht="12.4" customHeight="1">
      <c r="A2357" s="247"/>
      <c r="B2357" s="243"/>
      <c r="C2357" s="137" t="str">
        <v>Phonics</v>
      </c>
      <c r="D2357" s="138">
        <v>10</v>
      </c>
      <c r="E2357" s="139" t="str">
        <v/>
      </c>
      <c r="F2357" s="140" t="str">
        <f t="shared" si="138"/>
        <v/>
      </c>
    </row>
    <row r="2358" spans="1:7" ht="12.4" customHeight="1">
      <c r="A2358" s="247"/>
      <c r="B2358" s="243"/>
      <c r="C2358" s="137" t="str">
        <v>Math</v>
      </c>
      <c r="D2358" s="138">
        <v>10</v>
      </c>
      <c r="E2358" s="139" t="str">
        <v/>
      </c>
      <c r="F2358" s="140" t="str">
        <f t="shared" si="138"/>
        <v/>
      </c>
    </row>
    <row r="2359" spans="1:7" ht="12.4" customHeight="1">
      <c r="A2359" s="247"/>
      <c r="B2359" s="243"/>
      <c r="C2359" s="137" t="str">
        <v>Shape</v>
      </c>
      <c r="D2359" s="138">
        <v>10</v>
      </c>
      <c r="E2359" s="139" t="str">
        <v/>
      </c>
      <c r="F2359" s="140" t="str">
        <f t="shared" si="138"/>
        <v/>
      </c>
    </row>
    <row r="2360" spans="1:7" ht="12.4" customHeight="1">
      <c r="A2360" s="247"/>
      <c r="B2360" s="243"/>
      <c r="C2360" s="137" t="str">
        <v>Science</v>
      </c>
      <c r="D2360" s="138">
        <v>10</v>
      </c>
      <c r="E2360" s="139" t="str">
        <v/>
      </c>
      <c r="F2360" s="140" t="str">
        <f t="shared" si="138"/>
        <v/>
      </c>
    </row>
    <row r="2361" spans="1:7" ht="12.4" customHeight="1">
      <c r="A2361" s="247"/>
      <c r="B2361" s="244"/>
      <c r="C2361" s="141" t="str">
        <v>Tracing</v>
      </c>
      <c r="D2361" s="142">
        <v>10</v>
      </c>
      <c r="E2361" s="143" t="str">
        <v/>
      </c>
      <c r="F2361" s="144" t="str">
        <f t="shared" si="138"/>
        <v/>
      </c>
    </row>
    <row r="2362" spans="1:7" ht="12.4" customHeight="1">
      <c r="A2362" s="248"/>
      <c r="B2362" s="240" t="s">
        <v>133</v>
      </c>
      <c r="C2362" s="241"/>
      <c r="D2362" s="103">
        <f>D2351*20%+SUM(D2352:D2361)*80%</f>
        <v>100</v>
      </c>
      <c r="E2362" s="110" t="str">
        <v/>
      </c>
      <c r="F2362" s="104" t="str">
        <f t="shared" si="138"/>
        <v/>
      </c>
    </row>
    <row r="2364" spans="1:7" ht="12.4" customHeight="1">
      <c r="A2364" s="230" t="s">
        <v>121</v>
      </c>
      <c r="B2364" s="231"/>
      <c r="C2364" s="231"/>
      <c r="D2364" s="107" t="s">
        <v>123</v>
      </c>
      <c r="E2364" s="232" t="str">
        <f>I170</f>
        <v/>
      </c>
      <c r="F2364" s="233"/>
      <c r="G2364" s="101">
        <v>170</v>
      </c>
    </row>
    <row r="2365" spans="1:7" ht="12.4" customHeight="1">
      <c r="A2365" s="105" t="s">
        <v>122</v>
      </c>
      <c r="B2365" s="235" t="str">
        <f>$K$146</f>
        <v>FEBRUARY - JULY 2026</v>
      </c>
      <c r="C2365" s="235"/>
      <c r="D2365" s="106" t="s">
        <v>124</v>
      </c>
      <c r="E2365" s="235" t="str">
        <f>$I$146</f>
        <v/>
      </c>
      <c r="F2365" s="236"/>
    </row>
    <row r="2366" spans="1:7" ht="12.4" customHeight="1">
      <c r="A2366" s="237" t="s">
        <v>130</v>
      </c>
      <c r="B2366" s="238"/>
      <c r="C2366" s="238"/>
      <c r="D2366" s="238"/>
      <c r="E2366" s="238"/>
      <c r="F2366" s="239"/>
    </row>
    <row r="2367" spans="1:7" ht="12.4" customHeight="1">
      <c r="A2367" s="245" t="s">
        <v>14</v>
      </c>
      <c r="B2367" s="240" t="s">
        <v>125</v>
      </c>
      <c r="C2367" s="241"/>
      <c r="D2367" s="102" t="s">
        <v>126</v>
      </c>
      <c r="E2367" s="109" t="s">
        <v>127</v>
      </c>
      <c r="F2367" s="102" t="s">
        <v>128</v>
      </c>
    </row>
    <row r="2368" spans="1:7" ht="12.4" customHeight="1">
      <c r="A2368" s="246"/>
      <c r="B2368" s="240" t="s">
        <v>129</v>
      </c>
      <c r="C2368" s="241"/>
      <c r="D2368" s="102">
        <v>100</v>
      </c>
      <c r="E2368" s="110" t="str" cm="1">
        <f t="array" ref="E2368:E2379">TRANSPOSE(K170:V170)</f>
        <v/>
      </c>
      <c r="F2368" s="104" t="str">
        <f>IF(E2368="","",IF(E2368&lt;D2368*60%,"Try harder",""))</f>
        <v/>
      </c>
    </row>
    <row r="2369" spans="1:7" ht="12.4" customHeight="1">
      <c r="A2369" s="246"/>
      <c r="B2369" s="242" t="s">
        <v>132</v>
      </c>
      <c r="C2369" s="133" t="str" cm="1">
        <f t="array" ref="C2369:C2378">TRANSPOSE($L$149:$U$149)</f>
        <v>Up-Low C</v>
      </c>
      <c r="D2369" s="134">
        <v>10</v>
      </c>
      <c r="E2369" s="135" t="str">
        <v/>
      </c>
      <c r="F2369" s="136" t="str">
        <f t="shared" ref="F2369:F2379" si="139">IF(E2369="","",IF(E2369&lt;D2369*60%,"Try harder",""))</f>
        <v/>
      </c>
    </row>
    <row r="2370" spans="1:7" ht="12.4" customHeight="1">
      <c r="A2370" s="246"/>
      <c r="B2370" s="243"/>
      <c r="C2370" s="137" t="str">
        <v>Alphabet N</v>
      </c>
      <c r="D2370" s="138">
        <v>10</v>
      </c>
      <c r="E2370" s="139" t="str">
        <v/>
      </c>
      <c r="F2370" s="140" t="str">
        <f t="shared" si="139"/>
        <v/>
      </c>
    </row>
    <row r="2371" spans="1:7" ht="12.4" customHeight="1">
      <c r="A2371" s="246"/>
      <c r="B2371" s="243"/>
      <c r="C2371" s="137" t="str">
        <v>Alphabet S</v>
      </c>
      <c r="D2371" s="138">
        <v>10</v>
      </c>
      <c r="E2371" s="139" t="str">
        <v/>
      </c>
      <c r="F2371" s="140" t="str">
        <f t="shared" si="139"/>
        <v/>
      </c>
    </row>
    <row r="2372" spans="1:7" ht="12.4" customHeight="1">
      <c r="A2372" s="246"/>
      <c r="B2372" s="243"/>
      <c r="C2372" s="137" t="str">
        <v>Vocabulary</v>
      </c>
      <c r="D2372" s="138">
        <v>10</v>
      </c>
      <c r="E2372" s="139" t="str">
        <v/>
      </c>
      <c r="F2372" s="140" t="str">
        <f t="shared" si="139"/>
        <v/>
      </c>
    </row>
    <row r="2373" spans="1:7" ht="12.4" customHeight="1">
      <c r="A2373" s="247" t="s">
        <v>131</v>
      </c>
      <c r="B2373" s="243"/>
      <c r="C2373" s="137" t="str">
        <v>Sprouts</v>
      </c>
      <c r="D2373" s="138">
        <v>10</v>
      </c>
      <c r="E2373" s="139" t="str">
        <v/>
      </c>
      <c r="F2373" s="140" t="str">
        <f t="shared" si="139"/>
        <v/>
      </c>
    </row>
    <row r="2374" spans="1:7" ht="12.4" customHeight="1">
      <c r="A2374" s="247"/>
      <c r="B2374" s="243"/>
      <c r="C2374" s="137" t="str">
        <v>Phonics</v>
      </c>
      <c r="D2374" s="138">
        <v>10</v>
      </c>
      <c r="E2374" s="139" t="str">
        <v/>
      </c>
      <c r="F2374" s="140" t="str">
        <f t="shared" si="139"/>
        <v/>
      </c>
    </row>
    <row r="2375" spans="1:7" ht="12.4" customHeight="1">
      <c r="A2375" s="247"/>
      <c r="B2375" s="243"/>
      <c r="C2375" s="137" t="str">
        <v>Math</v>
      </c>
      <c r="D2375" s="138">
        <v>10</v>
      </c>
      <c r="E2375" s="139" t="str">
        <v/>
      </c>
      <c r="F2375" s="140" t="str">
        <f t="shared" si="139"/>
        <v/>
      </c>
    </row>
    <row r="2376" spans="1:7" ht="12.4" customHeight="1">
      <c r="A2376" s="247"/>
      <c r="B2376" s="243"/>
      <c r="C2376" s="137" t="str">
        <v>Shape</v>
      </c>
      <c r="D2376" s="138">
        <v>10</v>
      </c>
      <c r="E2376" s="139" t="str">
        <v/>
      </c>
      <c r="F2376" s="140" t="str">
        <f t="shared" si="139"/>
        <v/>
      </c>
    </row>
    <row r="2377" spans="1:7" ht="12.4" customHeight="1">
      <c r="A2377" s="247"/>
      <c r="B2377" s="243"/>
      <c r="C2377" s="137" t="str">
        <v>Science</v>
      </c>
      <c r="D2377" s="138">
        <v>10</v>
      </c>
      <c r="E2377" s="139" t="str">
        <v/>
      </c>
      <c r="F2377" s="140" t="str">
        <f t="shared" si="139"/>
        <v/>
      </c>
    </row>
    <row r="2378" spans="1:7" ht="12.4" customHeight="1">
      <c r="A2378" s="247"/>
      <c r="B2378" s="244"/>
      <c r="C2378" s="141" t="str">
        <v>Tracing</v>
      </c>
      <c r="D2378" s="142">
        <v>10</v>
      </c>
      <c r="E2378" s="143" t="str">
        <v/>
      </c>
      <c r="F2378" s="144" t="str">
        <f t="shared" si="139"/>
        <v/>
      </c>
    </row>
    <row r="2379" spans="1:7" ht="12.4" customHeight="1">
      <c r="A2379" s="248"/>
      <c r="B2379" s="240" t="s">
        <v>133</v>
      </c>
      <c r="C2379" s="241"/>
      <c r="D2379" s="103">
        <f>D2368*20%+SUM(D2369:D2378)*80%</f>
        <v>100</v>
      </c>
      <c r="E2379" s="110" t="str">
        <v/>
      </c>
      <c r="F2379" s="104" t="str">
        <f t="shared" si="139"/>
        <v/>
      </c>
    </row>
    <row r="2381" spans="1:7" ht="12.4" customHeight="1">
      <c r="A2381" s="230" t="s">
        <v>121</v>
      </c>
      <c r="B2381" s="231"/>
      <c r="C2381" s="231"/>
      <c r="D2381" s="107" t="s">
        <v>123</v>
      </c>
      <c r="E2381" s="232" t="str">
        <f>I171</f>
        <v/>
      </c>
      <c r="F2381" s="233"/>
      <c r="G2381" s="101">
        <v>171</v>
      </c>
    </row>
    <row r="2382" spans="1:7" ht="12.4" customHeight="1">
      <c r="A2382" s="105" t="s">
        <v>122</v>
      </c>
      <c r="B2382" s="235" t="str">
        <f>$K$146</f>
        <v>FEBRUARY - JULY 2026</v>
      </c>
      <c r="C2382" s="235"/>
      <c r="D2382" s="106" t="s">
        <v>124</v>
      </c>
      <c r="E2382" s="235" t="str">
        <f>$I$146</f>
        <v/>
      </c>
      <c r="F2382" s="236"/>
    </row>
    <row r="2383" spans="1:7" ht="12.4" customHeight="1">
      <c r="A2383" s="237" t="s">
        <v>130</v>
      </c>
      <c r="B2383" s="238"/>
      <c r="C2383" s="238"/>
      <c r="D2383" s="238"/>
      <c r="E2383" s="238"/>
      <c r="F2383" s="239"/>
    </row>
    <row r="2384" spans="1:7" ht="12.4" customHeight="1">
      <c r="A2384" s="245" t="s">
        <v>14</v>
      </c>
      <c r="B2384" s="240" t="s">
        <v>125</v>
      </c>
      <c r="C2384" s="241"/>
      <c r="D2384" s="102" t="s">
        <v>126</v>
      </c>
      <c r="E2384" s="109" t="s">
        <v>127</v>
      </c>
      <c r="F2384" s="102" t="s">
        <v>128</v>
      </c>
    </row>
    <row r="2385" spans="1:7" ht="12.4" customHeight="1">
      <c r="A2385" s="246"/>
      <c r="B2385" s="240" t="s">
        <v>129</v>
      </c>
      <c r="C2385" s="241"/>
      <c r="D2385" s="102">
        <v>100</v>
      </c>
      <c r="E2385" s="110" t="str" cm="1">
        <f t="array" ref="E2385:E2396">TRANSPOSE(K171:V171)</f>
        <v/>
      </c>
      <c r="F2385" s="104" t="str">
        <f>IF(E2385="","",IF(E2385&lt;D2385*60%,"Try harder",""))</f>
        <v/>
      </c>
    </row>
    <row r="2386" spans="1:7" ht="12.4" customHeight="1">
      <c r="A2386" s="246"/>
      <c r="B2386" s="242" t="s">
        <v>132</v>
      </c>
      <c r="C2386" s="133" t="str" cm="1">
        <f t="array" ref="C2386:C2395">TRANSPOSE($L$149:$U$149)</f>
        <v>Up-Low C</v>
      </c>
      <c r="D2386" s="134">
        <v>10</v>
      </c>
      <c r="E2386" s="135" t="str">
        <v/>
      </c>
      <c r="F2386" s="136" t="str">
        <f t="shared" ref="F2386:F2396" si="140">IF(E2386="","",IF(E2386&lt;D2386*60%,"Try harder",""))</f>
        <v/>
      </c>
    </row>
    <row r="2387" spans="1:7" ht="12.4" customHeight="1">
      <c r="A2387" s="246"/>
      <c r="B2387" s="243"/>
      <c r="C2387" s="137" t="str">
        <v>Alphabet N</v>
      </c>
      <c r="D2387" s="138">
        <v>10</v>
      </c>
      <c r="E2387" s="139" t="str">
        <v/>
      </c>
      <c r="F2387" s="140" t="str">
        <f t="shared" si="140"/>
        <v/>
      </c>
    </row>
    <row r="2388" spans="1:7" ht="12.4" customHeight="1">
      <c r="A2388" s="246"/>
      <c r="B2388" s="243"/>
      <c r="C2388" s="137" t="str">
        <v>Alphabet S</v>
      </c>
      <c r="D2388" s="138">
        <v>10</v>
      </c>
      <c r="E2388" s="139" t="str">
        <v/>
      </c>
      <c r="F2388" s="140" t="str">
        <f t="shared" si="140"/>
        <v/>
      </c>
    </row>
    <row r="2389" spans="1:7" ht="12.4" customHeight="1">
      <c r="A2389" s="246"/>
      <c r="B2389" s="243"/>
      <c r="C2389" s="137" t="str">
        <v>Vocabulary</v>
      </c>
      <c r="D2389" s="138">
        <v>10</v>
      </c>
      <c r="E2389" s="139" t="str">
        <v/>
      </c>
      <c r="F2389" s="140" t="str">
        <f t="shared" si="140"/>
        <v/>
      </c>
    </row>
    <row r="2390" spans="1:7" ht="12.4" customHeight="1">
      <c r="A2390" s="247" t="s">
        <v>131</v>
      </c>
      <c r="B2390" s="243"/>
      <c r="C2390" s="137" t="str">
        <v>Sprouts</v>
      </c>
      <c r="D2390" s="138">
        <v>10</v>
      </c>
      <c r="E2390" s="139" t="str">
        <v/>
      </c>
      <c r="F2390" s="140" t="str">
        <f t="shared" si="140"/>
        <v/>
      </c>
    </row>
    <row r="2391" spans="1:7" ht="12.4" customHeight="1">
      <c r="A2391" s="247"/>
      <c r="B2391" s="243"/>
      <c r="C2391" s="137" t="str">
        <v>Phonics</v>
      </c>
      <c r="D2391" s="138">
        <v>10</v>
      </c>
      <c r="E2391" s="139" t="str">
        <v/>
      </c>
      <c r="F2391" s="140" t="str">
        <f t="shared" si="140"/>
        <v/>
      </c>
    </row>
    <row r="2392" spans="1:7" ht="12.4" customHeight="1">
      <c r="A2392" s="247"/>
      <c r="B2392" s="243"/>
      <c r="C2392" s="137" t="str">
        <v>Math</v>
      </c>
      <c r="D2392" s="138">
        <v>10</v>
      </c>
      <c r="E2392" s="139" t="str">
        <v/>
      </c>
      <c r="F2392" s="140" t="str">
        <f t="shared" si="140"/>
        <v/>
      </c>
    </row>
    <row r="2393" spans="1:7" ht="12.4" customHeight="1">
      <c r="A2393" s="247"/>
      <c r="B2393" s="243"/>
      <c r="C2393" s="137" t="str">
        <v>Shape</v>
      </c>
      <c r="D2393" s="138">
        <v>10</v>
      </c>
      <c r="E2393" s="139" t="str">
        <v/>
      </c>
      <c r="F2393" s="140" t="str">
        <f t="shared" si="140"/>
        <v/>
      </c>
    </row>
    <row r="2394" spans="1:7" ht="12.4" customHeight="1">
      <c r="A2394" s="247"/>
      <c r="B2394" s="243"/>
      <c r="C2394" s="137" t="str">
        <v>Science</v>
      </c>
      <c r="D2394" s="138">
        <v>10</v>
      </c>
      <c r="E2394" s="139" t="str">
        <v/>
      </c>
      <c r="F2394" s="140" t="str">
        <f t="shared" si="140"/>
        <v/>
      </c>
    </row>
    <row r="2395" spans="1:7" ht="12.4" customHeight="1">
      <c r="A2395" s="247"/>
      <c r="B2395" s="244"/>
      <c r="C2395" s="141" t="str">
        <v>Tracing</v>
      </c>
      <c r="D2395" s="142">
        <v>10</v>
      </c>
      <c r="E2395" s="143" t="str">
        <v/>
      </c>
      <c r="F2395" s="144" t="str">
        <f t="shared" si="140"/>
        <v/>
      </c>
    </row>
    <row r="2396" spans="1:7" ht="12.4" customHeight="1">
      <c r="A2396" s="248"/>
      <c r="B2396" s="240" t="s">
        <v>133</v>
      </c>
      <c r="C2396" s="241"/>
      <c r="D2396" s="103">
        <f>D2385*20%+SUM(D2386:D2395)*80%</f>
        <v>100</v>
      </c>
      <c r="E2396" s="110" t="str">
        <v/>
      </c>
      <c r="F2396" s="104" t="str">
        <f t="shared" si="140"/>
        <v/>
      </c>
    </row>
    <row r="2398" spans="1:7" ht="12.4" customHeight="1">
      <c r="A2398" s="230" t="s">
        <v>121</v>
      </c>
      <c r="B2398" s="231"/>
      <c r="C2398" s="231"/>
      <c r="D2398" s="107" t="s">
        <v>123</v>
      </c>
      <c r="E2398" s="232" t="str">
        <f>I172</f>
        <v/>
      </c>
      <c r="F2398" s="233"/>
      <c r="G2398" s="101">
        <v>172</v>
      </c>
    </row>
    <row r="2399" spans="1:7" ht="12.4" customHeight="1">
      <c r="A2399" s="105" t="s">
        <v>122</v>
      </c>
      <c r="B2399" s="235" t="str">
        <f>$K$146</f>
        <v>FEBRUARY - JULY 2026</v>
      </c>
      <c r="C2399" s="235"/>
      <c r="D2399" s="106" t="s">
        <v>124</v>
      </c>
      <c r="E2399" s="235" t="str">
        <f>$I$146</f>
        <v/>
      </c>
      <c r="F2399" s="236"/>
    </row>
    <row r="2400" spans="1:7" ht="12.4" customHeight="1">
      <c r="A2400" s="237" t="s">
        <v>130</v>
      </c>
      <c r="B2400" s="238"/>
      <c r="C2400" s="238"/>
      <c r="D2400" s="238"/>
      <c r="E2400" s="238"/>
      <c r="F2400" s="239"/>
    </row>
    <row r="2401" spans="1:7" ht="12.4" customHeight="1">
      <c r="A2401" s="245" t="s">
        <v>14</v>
      </c>
      <c r="B2401" s="240" t="s">
        <v>125</v>
      </c>
      <c r="C2401" s="241"/>
      <c r="D2401" s="102" t="s">
        <v>126</v>
      </c>
      <c r="E2401" s="109" t="s">
        <v>127</v>
      </c>
      <c r="F2401" s="102" t="s">
        <v>128</v>
      </c>
    </row>
    <row r="2402" spans="1:7" ht="12.4" customHeight="1">
      <c r="A2402" s="246"/>
      <c r="B2402" s="240" t="s">
        <v>129</v>
      </c>
      <c r="C2402" s="241"/>
      <c r="D2402" s="102">
        <v>100</v>
      </c>
      <c r="E2402" s="110" t="str" cm="1">
        <f t="array" ref="E2402:E2413">TRANSPOSE(K172:V172)</f>
        <v/>
      </c>
      <c r="F2402" s="104" t="str">
        <f>IF(E2402="","",IF(E2402&lt;D2402*60%,"Try harder",""))</f>
        <v/>
      </c>
    </row>
    <row r="2403" spans="1:7" ht="12.4" customHeight="1">
      <c r="A2403" s="246"/>
      <c r="B2403" s="242" t="s">
        <v>132</v>
      </c>
      <c r="C2403" s="133" t="str" cm="1">
        <f t="array" ref="C2403:C2412">TRANSPOSE($L$149:$U$149)</f>
        <v>Up-Low C</v>
      </c>
      <c r="D2403" s="134">
        <v>10</v>
      </c>
      <c r="E2403" s="135" t="str">
        <v/>
      </c>
      <c r="F2403" s="136" t="str">
        <f t="shared" ref="F2403:F2413" si="141">IF(E2403="","",IF(E2403&lt;D2403*60%,"Try harder",""))</f>
        <v/>
      </c>
    </row>
    <row r="2404" spans="1:7" ht="12.4" customHeight="1">
      <c r="A2404" s="246"/>
      <c r="B2404" s="243"/>
      <c r="C2404" s="137" t="str">
        <v>Alphabet N</v>
      </c>
      <c r="D2404" s="138">
        <v>10</v>
      </c>
      <c r="E2404" s="139" t="str">
        <v/>
      </c>
      <c r="F2404" s="140" t="str">
        <f t="shared" si="141"/>
        <v/>
      </c>
    </row>
    <row r="2405" spans="1:7" ht="12.4" customHeight="1">
      <c r="A2405" s="246"/>
      <c r="B2405" s="243"/>
      <c r="C2405" s="137" t="str">
        <v>Alphabet S</v>
      </c>
      <c r="D2405" s="138">
        <v>10</v>
      </c>
      <c r="E2405" s="139" t="str">
        <v/>
      </c>
      <c r="F2405" s="140" t="str">
        <f t="shared" si="141"/>
        <v/>
      </c>
    </row>
    <row r="2406" spans="1:7" ht="12.4" customHeight="1">
      <c r="A2406" s="246"/>
      <c r="B2406" s="243"/>
      <c r="C2406" s="137" t="str">
        <v>Vocabulary</v>
      </c>
      <c r="D2406" s="138">
        <v>10</v>
      </c>
      <c r="E2406" s="139" t="str">
        <v/>
      </c>
      <c r="F2406" s="140" t="str">
        <f t="shared" si="141"/>
        <v/>
      </c>
    </row>
    <row r="2407" spans="1:7" ht="12.4" customHeight="1">
      <c r="A2407" s="247" t="s">
        <v>131</v>
      </c>
      <c r="B2407" s="243"/>
      <c r="C2407" s="137" t="str">
        <v>Sprouts</v>
      </c>
      <c r="D2407" s="138">
        <v>10</v>
      </c>
      <c r="E2407" s="139" t="str">
        <v/>
      </c>
      <c r="F2407" s="140" t="str">
        <f t="shared" si="141"/>
        <v/>
      </c>
    </row>
    <row r="2408" spans="1:7" ht="12.4" customHeight="1">
      <c r="A2408" s="247"/>
      <c r="B2408" s="243"/>
      <c r="C2408" s="137" t="str">
        <v>Phonics</v>
      </c>
      <c r="D2408" s="138">
        <v>10</v>
      </c>
      <c r="E2408" s="139" t="str">
        <v/>
      </c>
      <c r="F2408" s="140" t="str">
        <f t="shared" si="141"/>
        <v/>
      </c>
    </row>
    <row r="2409" spans="1:7" ht="12.4" customHeight="1">
      <c r="A2409" s="247"/>
      <c r="B2409" s="243"/>
      <c r="C2409" s="137" t="str">
        <v>Math</v>
      </c>
      <c r="D2409" s="138">
        <v>10</v>
      </c>
      <c r="E2409" s="139" t="str">
        <v/>
      </c>
      <c r="F2409" s="140" t="str">
        <f t="shared" si="141"/>
        <v/>
      </c>
    </row>
    <row r="2410" spans="1:7" ht="12.4" customHeight="1">
      <c r="A2410" s="247"/>
      <c r="B2410" s="243"/>
      <c r="C2410" s="137" t="str">
        <v>Shape</v>
      </c>
      <c r="D2410" s="138">
        <v>10</v>
      </c>
      <c r="E2410" s="139" t="str">
        <v/>
      </c>
      <c r="F2410" s="140" t="str">
        <f t="shared" si="141"/>
        <v/>
      </c>
    </row>
    <row r="2411" spans="1:7" ht="12.4" customHeight="1">
      <c r="A2411" s="247"/>
      <c r="B2411" s="243"/>
      <c r="C2411" s="137" t="str">
        <v>Science</v>
      </c>
      <c r="D2411" s="138">
        <v>10</v>
      </c>
      <c r="E2411" s="139" t="str">
        <v/>
      </c>
      <c r="F2411" s="140" t="str">
        <f t="shared" si="141"/>
        <v/>
      </c>
    </row>
    <row r="2412" spans="1:7" ht="12.4" customHeight="1">
      <c r="A2412" s="247"/>
      <c r="B2412" s="244"/>
      <c r="C2412" s="141" t="str">
        <v>Tracing</v>
      </c>
      <c r="D2412" s="142">
        <v>10</v>
      </c>
      <c r="E2412" s="143" t="str">
        <v/>
      </c>
      <c r="F2412" s="144" t="str">
        <f t="shared" si="141"/>
        <v/>
      </c>
    </row>
    <row r="2413" spans="1:7" ht="12.4" customHeight="1">
      <c r="A2413" s="248"/>
      <c r="B2413" s="240" t="s">
        <v>133</v>
      </c>
      <c r="C2413" s="241"/>
      <c r="D2413" s="103">
        <f>D2402*20%+SUM(D2403:D2412)*80%</f>
        <v>100</v>
      </c>
      <c r="E2413" s="110" t="str">
        <v/>
      </c>
      <c r="F2413" s="104" t="str">
        <f t="shared" si="141"/>
        <v/>
      </c>
    </row>
    <row r="2415" spans="1:7" ht="12.4" customHeight="1">
      <c r="A2415" s="230" t="s">
        <v>121</v>
      </c>
      <c r="B2415" s="231"/>
      <c r="C2415" s="231"/>
      <c r="D2415" s="107" t="s">
        <v>123</v>
      </c>
      <c r="E2415" s="232" t="str">
        <f>I173</f>
        <v/>
      </c>
      <c r="F2415" s="233"/>
      <c r="G2415" s="101">
        <v>173</v>
      </c>
    </row>
    <row r="2416" spans="1:7" ht="12.4" customHeight="1">
      <c r="A2416" s="105" t="s">
        <v>122</v>
      </c>
      <c r="B2416" s="235" t="str">
        <f>$K$146</f>
        <v>FEBRUARY - JULY 2026</v>
      </c>
      <c r="C2416" s="235"/>
      <c r="D2416" s="106" t="s">
        <v>124</v>
      </c>
      <c r="E2416" s="235" t="str">
        <f>$I$146</f>
        <v/>
      </c>
      <c r="F2416" s="236"/>
    </row>
    <row r="2417" spans="1:7" ht="12.4" customHeight="1">
      <c r="A2417" s="237" t="s">
        <v>130</v>
      </c>
      <c r="B2417" s="238"/>
      <c r="C2417" s="238"/>
      <c r="D2417" s="238"/>
      <c r="E2417" s="238"/>
      <c r="F2417" s="239"/>
    </row>
    <row r="2418" spans="1:7" ht="12.4" customHeight="1">
      <c r="A2418" s="245" t="s">
        <v>14</v>
      </c>
      <c r="B2418" s="240" t="s">
        <v>125</v>
      </c>
      <c r="C2418" s="241"/>
      <c r="D2418" s="102" t="s">
        <v>126</v>
      </c>
      <c r="E2418" s="109" t="s">
        <v>127</v>
      </c>
      <c r="F2418" s="102" t="s">
        <v>128</v>
      </c>
    </row>
    <row r="2419" spans="1:7" ht="12.4" customHeight="1">
      <c r="A2419" s="246"/>
      <c r="B2419" s="240" t="s">
        <v>129</v>
      </c>
      <c r="C2419" s="241"/>
      <c r="D2419" s="102">
        <v>100</v>
      </c>
      <c r="E2419" s="110" t="str" cm="1">
        <f t="array" ref="E2419:E2430">TRANSPOSE(K173:V173)</f>
        <v/>
      </c>
      <c r="F2419" s="104" t="str">
        <f>IF(E2419="","",IF(E2419&lt;D2419*60%,"Try harder",""))</f>
        <v/>
      </c>
    </row>
    <row r="2420" spans="1:7" ht="12.4" customHeight="1">
      <c r="A2420" s="246"/>
      <c r="B2420" s="242" t="s">
        <v>132</v>
      </c>
      <c r="C2420" s="133" t="str" cm="1">
        <f t="array" ref="C2420:C2429">TRANSPOSE($L$149:$U$149)</f>
        <v>Up-Low C</v>
      </c>
      <c r="D2420" s="134">
        <v>10</v>
      </c>
      <c r="E2420" s="135" t="str">
        <v/>
      </c>
      <c r="F2420" s="136" t="str">
        <f t="shared" ref="F2420:F2430" si="142">IF(E2420="","",IF(E2420&lt;D2420*60%,"Try harder",""))</f>
        <v/>
      </c>
    </row>
    <row r="2421" spans="1:7" ht="12.4" customHeight="1">
      <c r="A2421" s="246"/>
      <c r="B2421" s="243"/>
      <c r="C2421" s="137" t="str">
        <v>Alphabet N</v>
      </c>
      <c r="D2421" s="138">
        <v>10</v>
      </c>
      <c r="E2421" s="139" t="str">
        <v/>
      </c>
      <c r="F2421" s="140" t="str">
        <f t="shared" si="142"/>
        <v/>
      </c>
    </row>
    <row r="2422" spans="1:7" ht="12.4" customHeight="1">
      <c r="A2422" s="246"/>
      <c r="B2422" s="243"/>
      <c r="C2422" s="137" t="str">
        <v>Alphabet S</v>
      </c>
      <c r="D2422" s="138">
        <v>10</v>
      </c>
      <c r="E2422" s="139" t="str">
        <v/>
      </c>
      <c r="F2422" s="140" t="str">
        <f t="shared" si="142"/>
        <v/>
      </c>
    </row>
    <row r="2423" spans="1:7" ht="12.4" customHeight="1">
      <c r="A2423" s="246"/>
      <c r="B2423" s="243"/>
      <c r="C2423" s="137" t="str">
        <v>Vocabulary</v>
      </c>
      <c r="D2423" s="138">
        <v>10</v>
      </c>
      <c r="E2423" s="139" t="str">
        <v/>
      </c>
      <c r="F2423" s="140" t="str">
        <f t="shared" si="142"/>
        <v/>
      </c>
    </row>
    <row r="2424" spans="1:7" ht="12.4" customHeight="1">
      <c r="A2424" s="247" t="s">
        <v>131</v>
      </c>
      <c r="B2424" s="243"/>
      <c r="C2424" s="137" t="str">
        <v>Sprouts</v>
      </c>
      <c r="D2424" s="138">
        <v>10</v>
      </c>
      <c r="E2424" s="139" t="str">
        <v/>
      </c>
      <c r="F2424" s="140" t="str">
        <f t="shared" si="142"/>
        <v/>
      </c>
    </row>
    <row r="2425" spans="1:7" ht="12.4" customHeight="1">
      <c r="A2425" s="247"/>
      <c r="B2425" s="243"/>
      <c r="C2425" s="137" t="str">
        <v>Phonics</v>
      </c>
      <c r="D2425" s="138">
        <v>10</v>
      </c>
      <c r="E2425" s="139" t="str">
        <v/>
      </c>
      <c r="F2425" s="140" t="str">
        <f t="shared" si="142"/>
        <v/>
      </c>
    </row>
    <row r="2426" spans="1:7" ht="12.4" customHeight="1">
      <c r="A2426" s="247"/>
      <c r="B2426" s="243"/>
      <c r="C2426" s="137" t="str">
        <v>Math</v>
      </c>
      <c r="D2426" s="138">
        <v>10</v>
      </c>
      <c r="E2426" s="139" t="str">
        <v/>
      </c>
      <c r="F2426" s="140" t="str">
        <f t="shared" si="142"/>
        <v/>
      </c>
    </row>
    <row r="2427" spans="1:7" ht="12.4" customHeight="1">
      <c r="A2427" s="247"/>
      <c r="B2427" s="243"/>
      <c r="C2427" s="137" t="str">
        <v>Shape</v>
      </c>
      <c r="D2427" s="138">
        <v>10</v>
      </c>
      <c r="E2427" s="139" t="str">
        <v/>
      </c>
      <c r="F2427" s="140" t="str">
        <f t="shared" si="142"/>
        <v/>
      </c>
    </row>
    <row r="2428" spans="1:7" ht="12.4" customHeight="1">
      <c r="A2428" s="247"/>
      <c r="B2428" s="243"/>
      <c r="C2428" s="137" t="str">
        <v>Science</v>
      </c>
      <c r="D2428" s="138">
        <v>10</v>
      </c>
      <c r="E2428" s="139" t="str">
        <v/>
      </c>
      <c r="F2428" s="140" t="str">
        <f t="shared" si="142"/>
        <v/>
      </c>
    </row>
    <row r="2429" spans="1:7" ht="12.4" customHeight="1">
      <c r="A2429" s="247"/>
      <c r="B2429" s="244"/>
      <c r="C2429" s="141" t="str">
        <v>Tracing</v>
      </c>
      <c r="D2429" s="142">
        <v>10</v>
      </c>
      <c r="E2429" s="143" t="str">
        <v/>
      </c>
      <c r="F2429" s="144" t="str">
        <f t="shared" si="142"/>
        <v/>
      </c>
    </row>
    <row r="2430" spans="1:7" ht="12.4" customHeight="1">
      <c r="A2430" s="248"/>
      <c r="B2430" s="240" t="s">
        <v>133</v>
      </c>
      <c r="C2430" s="241"/>
      <c r="D2430" s="103">
        <f>D2419*20%+SUM(D2420:D2429)*80%</f>
        <v>100</v>
      </c>
      <c r="E2430" s="110" t="str">
        <v/>
      </c>
      <c r="F2430" s="104" t="str">
        <f t="shared" si="142"/>
        <v/>
      </c>
    </row>
    <row r="2432" spans="1:7" ht="12.4" customHeight="1">
      <c r="A2432" s="230" t="s">
        <v>121</v>
      </c>
      <c r="B2432" s="231"/>
      <c r="C2432" s="231"/>
      <c r="D2432" s="107" t="s">
        <v>123</v>
      </c>
      <c r="E2432" s="232" t="str">
        <f>I174</f>
        <v/>
      </c>
      <c r="F2432" s="233"/>
      <c r="G2432" s="101">
        <v>174</v>
      </c>
    </row>
    <row r="2433" spans="1:6" ht="12.4" customHeight="1">
      <c r="A2433" s="105" t="s">
        <v>122</v>
      </c>
      <c r="B2433" s="235" t="str">
        <f>$K$146</f>
        <v>FEBRUARY - JULY 2026</v>
      </c>
      <c r="C2433" s="235"/>
      <c r="D2433" s="106" t="s">
        <v>124</v>
      </c>
      <c r="E2433" s="235" t="str">
        <f>$I$146</f>
        <v/>
      </c>
      <c r="F2433" s="236"/>
    </row>
    <row r="2434" spans="1:6" ht="12.4" customHeight="1">
      <c r="A2434" s="237" t="s">
        <v>130</v>
      </c>
      <c r="B2434" s="238"/>
      <c r="C2434" s="238"/>
      <c r="D2434" s="238"/>
      <c r="E2434" s="238"/>
      <c r="F2434" s="239"/>
    </row>
    <row r="2435" spans="1:6" ht="12.4" customHeight="1">
      <c r="A2435" s="245" t="s">
        <v>14</v>
      </c>
      <c r="B2435" s="240" t="s">
        <v>125</v>
      </c>
      <c r="C2435" s="241"/>
      <c r="D2435" s="102" t="s">
        <v>126</v>
      </c>
      <c r="E2435" s="109" t="s">
        <v>127</v>
      </c>
      <c r="F2435" s="102" t="s">
        <v>128</v>
      </c>
    </row>
    <row r="2436" spans="1:6" ht="12.4" customHeight="1">
      <c r="A2436" s="246"/>
      <c r="B2436" s="240" t="s">
        <v>129</v>
      </c>
      <c r="C2436" s="241"/>
      <c r="D2436" s="102">
        <v>100</v>
      </c>
      <c r="E2436" s="110" t="str" cm="1">
        <f t="array" ref="E2436:E2447">TRANSPOSE(K174:V174)</f>
        <v/>
      </c>
      <c r="F2436" s="104" t="str">
        <f>IF(E2436="","",IF(E2436&lt;D2436*60%,"Try harder",""))</f>
        <v/>
      </c>
    </row>
    <row r="2437" spans="1:6" ht="12.4" customHeight="1">
      <c r="A2437" s="246"/>
      <c r="B2437" s="242" t="s">
        <v>132</v>
      </c>
      <c r="C2437" s="133" t="str" cm="1">
        <f t="array" ref="C2437:C2446">TRANSPOSE($L$149:$U$149)</f>
        <v>Up-Low C</v>
      </c>
      <c r="D2437" s="134">
        <v>10</v>
      </c>
      <c r="E2437" s="135" t="str">
        <v/>
      </c>
      <c r="F2437" s="136" t="str">
        <f t="shared" ref="F2437:F2447" si="143">IF(E2437="","",IF(E2437&lt;D2437*60%,"Try harder",""))</f>
        <v/>
      </c>
    </row>
    <row r="2438" spans="1:6" ht="12.4" customHeight="1">
      <c r="A2438" s="246"/>
      <c r="B2438" s="243"/>
      <c r="C2438" s="137" t="str">
        <v>Alphabet N</v>
      </c>
      <c r="D2438" s="138">
        <v>10</v>
      </c>
      <c r="E2438" s="139" t="str">
        <v/>
      </c>
      <c r="F2438" s="140" t="str">
        <f t="shared" si="143"/>
        <v/>
      </c>
    </row>
    <row r="2439" spans="1:6" ht="12.4" customHeight="1">
      <c r="A2439" s="246"/>
      <c r="B2439" s="243"/>
      <c r="C2439" s="137" t="str">
        <v>Alphabet S</v>
      </c>
      <c r="D2439" s="138">
        <v>10</v>
      </c>
      <c r="E2439" s="139" t="str">
        <v/>
      </c>
      <c r="F2439" s="140" t="str">
        <f t="shared" si="143"/>
        <v/>
      </c>
    </row>
    <row r="2440" spans="1:6" ht="12.4" customHeight="1">
      <c r="A2440" s="246"/>
      <c r="B2440" s="243"/>
      <c r="C2440" s="137" t="str">
        <v>Vocabulary</v>
      </c>
      <c r="D2440" s="138">
        <v>10</v>
      </c>
      <c r="E2440" s="139" t="str">
        <v/>
      </c>
      <c r="F2440" s="140" t="str">
        <f t="shared" si="143"/>
        <v/>
      </c>
    </row>
    <row r="2441" spans="1:6" ht="12.4" customHeight="1">
      <c r="A2441" s="247" t="s">
        <v>131</v>
      </c>
      <c r="B2441" s="243"/>
      <c r="C2441" s="137" t="str">
        <v>Sprouts</v>
      </c>
      <c r="D2441" s="138">
        <v>10</v>
      </c>
      <c r="E2441" s="139" t="str">
        <v/>
      </c>
      <c r="F2441" s="140" t="str">
        <f t="shared" si="143"/>
        <v/>
      </c>
    </row>
    <row r="2442" spans="1:6" ht="12.4" customHeight="1">
      <c r="A2442" s="247"/>
      <c r="B2442" s="243"/>
      <c r="C2442" s="137" t="str">
        <v>Phonics</v>
      </c>
      <c r="D2442" s="138">
        <v>10</v>
      </c>
      <c r="E2442" s="139" t="str">
        <v/>
      </c>
      <c r="F2442" s="140" t="str">
        <f t="shared" si="143"/>
        <v/>
      </c>
    </row>
    <row r="2443" spans="1:6" ht="12.4" customHeight="1">
      <c r="A2443" s="247"/>
      <c r="B2443" s="243"/>
      <c r="C2443" s="137" t="str">
        <v>Math</v>
      </c>
      <c r="D2443" s="138">
        <v>10</v>
      </c>
      <c r="E2443" s="139" t="str">
        <v/>
      </c>
      <c r="F2443" s="140" t="str">
        <f t="shared" si="143"/>
        <v/>
      </c>
    </row>
    <row r="2444" spans="1:6" ht="12.4" customHeight="1">
      <c r="A2444" s="247"/>
      <c r="B2444" s="243"/>
      <c r="C2444" s="137" t="str">
        <v>Shape</v>
      </c>
      <c r="D2444" s="138">
        <v>10</v>
      </c>
      <c r="E2444" s="139" t="str">
        <v/>
      </c>
      <c r="F2444" s="140" t="str">
        <f t="shared" si="143"/>
        <v/>
      </c>
    </row>
    <row r="2445" spans="1:6" ht="12.4" customHeight="1">
      <c r="A2445" s="247"/>
      <c r="B2445" s="243"/>
      <c r="C2445" s="137" t="str">
        <v>Science</v>
      </c>
      <c r="D2445" s="138">
        <v>10</v>
      </c>
      <c r="E2445" s="139" t="str">
        <v/>
      </c>
      <c r="F2445" s="140" t="str">
        <f t="shared" si="143"/>
        <v/>
      </c>
    </row>
    <row r="2446" spans="1:6" ht="12.4" customHeight="1">
      <c r="A2446" s="247"/>
      <c r="B2446" s="244"/>
      <c r="C2446" s="141" t="str">
        <v>Tracing</v>
      </c>
      <c r="D2446" s="142">
        <v>10</v>
      </c>
      <c r="E2446" s="143" t="str">
        <v/>
      </c>
      <c r="F2446" s="144" t="str">
        <f t="shared" si="143"/>
        <v/>
      </c>
    </row>
    <row r="2447" spans="1:6" ht="12.4" customHeight="1">
      <c r="A2447" s="248"/>
      <c r="B2447" s="240" t="s">
        <v>133</v>
      </c>
      <c r="C2447" s="241"/>
      <c r="D2447" s="103">
        <f>D2436*20%+SUM(D2437:D2446)*80%</f>
        <v>100</v>
      </c>
      <c r="E2447" s="110" t="str">
        <v/>
      </c>
      <c r="F2447" s="104" t="str">
        <f t="shared" si="143"/>
        <v/>
      </c>
    </row>
    <row r="2449" spans="1:7" ht="12.4" customHeight="1">
      <c r="A2449" s="230" t="s">
        <v>121</v>
      </c>
      <c r="B2449" s="231"/>
      <c r="C2449" s="231"/>
      <c r="D2449" s="107" t="s">
        <v>123</v>
      </c>
      <c r="E2449" s="232" t="str">
        <f>I175</f>
        <v/>
      </c>
      <c r="F2449" s="233"/>
      <c r="G2449" s="101">
        <v>175</v>
      </c>
    </row>
    <row r="2450" spans="1:7" ht="12.4" customHeight="1">
      <c r="A2450" s="105" t="s">
        <v>122</v>
      </c>
      <c r="B2450" s="235" t="str">
        <f>$K$146</f>
        <v>FEBRUARY - JULY 2026</v>
      </c>
      <c r="C2450" s="235"/>
      <c r="D2450" s="106" t="s">
        <v>124</v>
      </c>
      <c r="E2450" s="235" t="str">
        <f>$I$146</f>
        <v/>
      </c>
      <c r="F2450" s="236"/>
    </row>
    <row r="2451" spans="1:7" ht="12.4" customHeight="1">
      <c r="A2451" s="237" t="s">
        <v>130</v>
      </c>
      <c r="B2451" s="238"/>
      <c r="C2451" s="238"/>
      <c r="D2451" s="238"/>
      <c r="E2451" s="238"/>
      <c r="F2451" s="239"/>
    </row>
    <row r="2452" spans="1:7" ht="12.4" customHeight="1">
      <c r="A2452" s="245" t="s">
        <v>14</v>
      </c>
      <c r="B2452" s="240" t="s">
        <v>125</v>
      </c>
      <c r="C2452" s="241"/>
      <c r="D2452" s="102" t="s">
        <v>126</v>
      </c>
      <c r="E2452" s="109" t="s">
        <v>127</v>
      </c>
      <c r="F2452" s="102" t="s">
        <v>128</v>
      </c>
    </row>
    <row r="2453" spans="1:7" ht="12.4" customHeight="1">
      <c r="A2453" s="246"/>
      <c r="B2453" s="240" t="s">
        <v>129</v>
      </c>
      <c r="C2453" s="241"/>
      <c r="D2453" s="102">
        <v>100</v>
      </c>
      <c r="E2453" s="110" t="str" cm="1">
        <f t="array" ref="E2453:E2464">TRANSPOSE(K175:V175)</f>
        <v/>
      </c>
      <c r="F2453" s="104" t="str">
        <f>IF(E2453="","",IF(E2453&lt;D2453*60%,"Try harder",""))</f>
        <v/>
      </c>
    </row>
    <row r="2454" spans="1:7" ht="12.4" customHeight="1">
      <c r="A2454" s="246"/>
      <c r="B2454" s="242" t="s">
        <v>132</v>
      </c>
      <c r="C2454" s="133" t="str" cm="1">
        <f t="array" ref="C2454:C2463">TRANSPOSE($L$149:$U$149)</f>
        <v>Up-Low C</v>
      </c>
      <c r="D2454" s="134">
        <v>10</v>
      </c>
      <c r="E2454" s="135" t="str">
        <v/>
      </c>
      <c r="F2454" s="136" t="str">
        <f t="shared" ref="F2454:F2464" si="144">IF(E2454="","",IF(E2454&lt;D2454*60%,"Try harder",""))</f>
        <v/>
      </c>
    </row>
    <row r="2455" spans="1:7" ht="12.4" customHeight="1">
      <c r="A2455" s="246"/>
      <c r="B2455" s="243"/>
      <c r="C2455" s="137" t="str">
        <v>Alphabet N</v>
      </c>
      <c r="D2455" s="138">
        <v>10</v>
      </c>
      <c r="E2455" s="139" t="str">
        <v/>
      </c>
      <c r="F2455" s="140" t="str">
        <f t="shared" si="144"/>
        <v/>
      </c>
    </row>
    <row r="2456" spans="1:7" ht="12.4" customHeight="1">
      <c r="A2456" s="246"/>
      <c r="B2456" s="243"/>
      <c r="C2456" s="137" t="str">
        <v>Alphabet S</v>
      </c>
      <c r="D2456" s="138">
        <v>10</v>
      </c>
      <c r="E2456" s="139" t="str">
        <v/>
      </c>
      <c r="F2456" s="140" t="str">
        <f t="shared" si="144"/>
        <v/>
      </c>
    </row>
    <row r="2457" spans="1:7" ht="12.4" customHeight="1">
      <c r="A2457" s="246"/>
      <c r="B2457" s="243"/>
      <c r="C2457" s="137" t="str">
        <v>Vocabulary</v>
      </c>
      <c r="D2457" s="138">
        <v>10</v>
      </c>
      <c r="E2457" s="139" t="str">
        <v/>
      </c>
      <c r="F2457" s="140" t="str">
        <f t="shared" si="144"/>
        <v/>
      </c>
    </row>
    <row r="2458" spans="1:7" ht="12.4" customHeight="1">
      <c r="A2458" s="247" t="s">
        <v>131</v>
      </c>
      <c r="B2458" s="243"/>
      <c r="C2458" s="137" t="str">
        <v>Sprouts</v>
      </c>
      <c r="D2458" s="138">
        <v>10</v>
      </c>
      <c r="E2458" s="139" t="str">
        <v/>
      </c>
      <c r="F2458" s="140" t="str">
        <f t="shared" si="144"/>
        <v/>
      </c>
    </row>
    <row r="2459" spans="1:7" ht="12.4" customHeight="1">
      <c r="A2459" s="247"/>
      <c r="B2459" s="243"/>
      <c r="C2459" s="137" t="str">
        <v>Phonics</v>
      </c>
      <c r="D2459" s="138">
        <v>10</v>
      </c>
      <c r="E2459" s="139" t="str">
        <v/>
      </c>
      <c r="F2459" s="140" t="str">
        <f t="shared" si="144"/>
        <v/>
      </c>
    </row>
    <row r="2460" spans="1:7" ht="12.4" customHeight="1">
      <c r="A2460" s="247"/>
      <c r="B2460" s="243"/>
      <c r="C2460" s="137" t="str">
        <v>Math</v>
      </c>
      <c r="D2460" s="138">
        <v>10</v>
      </c>
      <c r="E2460" s="139" t="str">
        <v/>
      </c>
      <c r="F2460" s="140" t="str">
        <f t="shared" si="144"/>
        <v/>
      </c>
    </row>
    <row r="2461" spans="1:7" ht="12.4" customHeight="1">
      <c r="A2461" s="247"/>
      <c r="B2461" s="243"/>
      <c r="C2461" s="137" t="str">
        <v>Shape</v>
      </c>
      <c r="D2461" s="138">
        <v>10</v>
      </c>
      <c r="E2461" s="139" t="str">
        <v/>
      </c>
      <c r="F2461" s="140" t="str">
        <f t="shared" si="144"/>
        <v/>
      </c>
    </row>
    <row r="2462" spans="1:7" ht="12.4" customHeight="1">
      <c r="A2462" s="247"/>
      <c r="B2462" s="243"/>
      <c r="C2462" s="137" t="str">
        <v>Science</v>
      </c>
      <c r="D2462" s="138">
        <v>10</v>
      </c>
      <c r="E2462" s="139" t="str">
        <v/>
      </c>
      <c r="F2462" s="140" t="str">
        <f t="shared" si="144"/>
        <v/>
      </c>
    </row>
    <row r="2463" spans="1:7" ht="12.4" customHeight="1">
      <c r="A2463" s="247"/>
      <c r="B2463" s="244"/>
      <c r="C2463" s="141" t="str">
        <v>Tracing</v>
      </c>
      <c r="D2463" s="142">
        <v>10</v>
      </c>
      <c r="E2463" s="143" t="str">
        <v/>
      </c>
      <c r="F2463" s="144" t="str">
        <f t="shared" si="144"/>
        <v/>
      </c>
    </row>
    <row r="2464" spans="1:7" ht="12.4" customHeight="1">
      <c r="A2464" s="248"/>
      <c r="B2464" s="240" t="s">
        <v>133</v>
      </c>
      <c r="C2464" s="241"/>
      <c r="D2464" s="103">
        <f>D2453*20%+SUM(D2454:D2463)*80%</f>
        <v>100</v>
      </c>
      <c r="E2464" s="110" t="str">
        <v/>
      </c>
      <c r="F2464" s="104" t="str">
        <f t="shared" si="144"/>
        <v/>
      </c>
    </row>
    <row r="2466" spans="1:7" ht="12.4" customHeight="1">
      <c r="A2466" s="230" t="s">
        <v>121</v>
      </c>
      <c r="B2466" s="231"/>
      <c r="C2466" s="231"/>
      <c r="D2466" s="107" t="s">
        <v>123</v>
      </c>
      <c r="E2466" s="232" t="str">
        <f>I176</f>
        <v/>
      </c>
      <c r="F2466" s="233"/>
      <c r="G2466" s="101">
        <v>176</v>
      </c>
    </row>
    <row r="2467" spans="1:7" ht="12.4" customHeight="1">
      <c r="A2467" s="105" t="s">
        <v>122</v>
      </c>
      <c r="B2467" s="235" t="str">
        <f>$K$146</f>
        <v>FEBRUARY - JULY 2026</v>
      </c>
      <c r="C2467" s="235"/>
      <c r="D2467" s="106" t="s">
        <v>124</v>
      </c>
      <c r="E2467" s="235" t="str">
        <f>$I$146</f>
        <v/>
      </c>
      <c r="F2467" s="236"/>
    </row>
    <row r="2468" spans="1:7" ht="12.4" customHeight="1">
      <c r="A2468" s="237" t="s">
        <v>130</v>
      </c>
      <c r="B2468" s="238"/>
      <c r="C2468" s="238"/>
      <c r="D2468" s="238"/>
      <c r="E2468" s="238"/>
      <c r="F2468" s="239"/>
    </row>
    <row r="2469" spans="1:7" ht="12.4" customHeight="1">
      <c r="A2469" s="245" t="s">
        <v>14</v>
      </c>
      <c r="B2469" s="240" t="s">
        <v>125</v>
      </c>
      <c r="C2469" s="241"/>
      <c r="D2469" s="102" t="s">
        <v>126</v>
      </c>
      <c r="E2469" s="109" t="s">
        <v>127</v>
      </c>
      <c r="F2469" s="102" t="s">
        <v>128</v>
      </c>
    </row>
    <row r="2470" spans="1:7" ht="12.4" customHeight="1">
      <c r="A2470" s="246"/>
      <c r="B2470" s="240" t="s">
        <v>129</v>
      </c>
      <c r="C2470" s="241"/>
      <c r="D2470" s="102">
        <v>100</v>
      </c>
      <c r="E2470" s="110" t="str" cm="1">
        <f t="array" ref="E2470:E2481">TRANSPOSE(K176:V176)</f>
        <v/>
      </c>
      <c r="F2470" s="104" t="str">
        <f>IF(E2470="","",IF(E2470&lt;D2470*60%,"Try harder",""))</f>
        <v/>
      </c>
    </row>
    <row r="2471" spans="1:7" ht="12.4" customHeight="1">
      <c r="A2471" s="246"/>
      <c r="B2471" s="242" t="s">
        <v>132</v>
      </c>
      <c r="C2471" s="133" t="str" cm="1">
        <f t="array" ref="C2471:C2480">TRANSPOSE($L$149:$U$149)</f>
        <v>Up-Low C</v>
      </c>
      <c r="D2471" s="134">
        <v>10</v>
      </c>
      <c r="E2471" s="135" t="str">
        <v/>
      </c>
      <c r="F2471" s="136" t="str">
        <f t="shared" ref="F2471:F2481" si="145">IF(E2471="","",IF(E2471&lt;D2471*60%,"Try harder",""))</f>
        <v/>
      </c>
    </row>
    <row r="2472" spans="1:7" ht="12.4" customHeight="1">
      <c r="A2472" s="246"/>
      <c r="B2472" s="243"/>
      <c r="C2472" s="137" t="str">
        <v>Alphabet N</v>
      </c>
      <c r="D2472" s="138">
        <v>10</v>
      </c>
      <c r="E2472" s="139" t="str">
        <v/>
      </c>
      <c r="F2472" s="140" t="str">
        <f t="shared" si="145"/>
        <v/>
      </c>
    </row>
    <row r="2473" spans="1:7" ht="12.4" customHeight="1">
      <c r="A2473" s="246"/>
      <c r="B2473" s="243"/>
      <c r="C2473" s="137" t="str">
        <v>Alphabet S</v>
      </c>
      <c r="D2473" s="138">
        <v>10</v>
      </c>
      <c r="E2473" s="139" t="str">
        <v/>
      </c>
      <c r="F2473" s="140" t="str">
        <f t="shared" si="145"/>
        <v/>
      </c>
    </row>
    <row r="2474" spans="1:7" ht="12.4" customHeight="1">
      <c r="A2474" s="246"/>
      <c r="B2474" s="243"/>
      <c r="C2474" s="137" t="str">
        <v>Vocabulary</v>
      </c>
      <c r="D2474" s="138">
        <v>10</v>
      </c>
      <c r="E2474" s="139" t="str">
        <v/>
      </c>
      <c r="F2474" s="140" t="str">
        <f t="shared" si="145"/>
        <v/>
      </c>
    </row>
    <row r="2475" spans="1:7" ht="12.4" customHeight="1">
      <c r="A2475" s="247" t="s">
        <v>131</v>
      </c>
      <c r="B2475" s="243"/>
      <c r="C2475" s="137" t="str">
        <v>Sprouts</v>
      </c>
      <c r="D2475" s="138">
        <v>10</v>
      </c>
      <c r="E2475" s="139" t="str">
        <v/>
      </c>
      <c r="F2475" s="140" t="str">
        <f t="shared" si="145"/>
        <v/>
      </c>
    </row>
    <row r="2476" spans="1:7" ht="12.4" customHeight="1">
      <c r="A2476" s="247"/>
      <c r="B2476" s="243"/>
      <c r="C2476" s="137" t="str">
        <v>Phonics</v>
      </c>
      <c r="D2476" s="138">
        <v>10</v>
      </c>
      <c r="E2476" s="139" t="str">
        <v/>
      </c>
      <c r="F2476" s="140" t="str">
        <f t="shared" si="145"/>
        <v/>
      </c>
    </row>
    <row r="2477" spans="1:7" ht="12.4" customHeight="1">
      <c r="A2477" s="247"/>
      <c r="B2477" s="243"/>
      <c r="C2477" s="137" t="str">
        <v>Math</v>
      </c>
      <c r="D2477" s="138">
        <v>10</v>
      </c>
      <c r="E2477" s="139" t="str">
        <v/>
      </c>
      <c r="F2477" s="140" t="str">
        <f t="shared" si="145"/>
        <v/>
      </c>
    </row>
    <row r="2478" spans="1:7" ht="12.4" customHeight="1">
      <c r="A2478" s="247"/>
      <c r="B2478" s="243"/>
      <c r="C2478" s="137" t="str">
        <v>Shape</v>
      </c>
      <c r="D2478" s="138">
        <v>10</v>
      </c>
      <c r="E2478" s="139" t="str">
        <v/>
      </c>
      <c r="F2478" s="140" t="str">
        <f t="shared" si="145"/>
        <v/>
      </c>
    </row>
    <row r="2479" spans="1:7" ht="12.4" customHeight="1">
      <c r="A2479" s="247"/>
      <c r="B2479" s="243"/>
      <c r="C2479" s="137" t="str">
        <v>Science</v>
      </c>
      <c r="D2479" s="138">
        <v>10</v>
      </c>
      <c r="E2479" s="139" t="str">
        <v/>
      </c>
      <c r="F2479" s="140" t="str">
        <f t="shared" si="145"/>
        <v/>
      </c>
    </row>
    <row r="2480" spans="1:7" ht="12.4" customHeight="1">
      <c r="A2480" s="247"/>
      <c r="B2480" s="244"/>
      <c r="C2480" s="141" t="str">
        <v>Tracing</v>
      </c>
      <c r="D2480" s="142">
        <v>10</v>
      </c>
      <c r="E2480" s="143" t="str">
        <v/>
      </c>
      <c r="F2480" s="144" t="str">
        <f t="shared" si="145"/>
        <v/>
      </c>
    </row>
    <row r="2481" spans="1:7" ht="12.4" customHeight="1">
      <c r="A2481" s="248"/>
      <c r="B2481" s="240" t="s">
        <v>133</v>
      </c>
      <c r="C2481" s="241"/>
      <c r="D2481" s="103">
        <f>D2470*20%+SUM(D2471:D2480)*80%</f>
        <v>100</v>
      </c>
      <c r="E2481" s="110" t="str">
        <v/>
      </c>
      <c r="F2481" s="104" t="str">
        <f t="shared" si="145"/>
        <v/>
      </c>
    </row>
    <row r="2483" spans="1:7" ht="12.4" customHeight="1">
      <c r="A2483" s="230" t="s">
        <v>121</v>
      </c>
      <c r="B2483" s="231"/>
      <c r="C2483" s="231"/>
      <c r="D2483" s="107" t="s">
        <v>123</v>
      </c>
      <c r="E2483" s="232" t="str">
        <f>I177</f>
        <v/>
      </c>
      <c r="F2483" s="233"/>
      <c r="G2483" s="101">
        <v>177</v>
      </c>
    </row>
    <row r="2484" spans="1:7" ht="12.4" customHeight="1">
      <c r="A2484" s="105" t="s">
        <v>122</v>
      </c>
      <c r="B2484" s="235" t="str">
        <f>$K$146</f>
        <v>FEBRUARY - JULY 2026</v>
      </c>
      <c r="C2484" s="235"/>
      <c r="D2484" s="106" t="s">
        <v>124</v>
      </c>
      <c r="E2484" s="235" t="str">
        <f>$I$146</f>
        <v/>
      </c>
      <c r="F2484" s="236"/>
    </row>
    <row r="2485" spans="1:7" ht="12.4" customHeight="1">
      <c r="A2485" s="237" t="s">
        <v>130</v>
      </c>
      <c r="B2485" s="238"/>
      <c r="C2485" s="238"/>
      <c r="D2485" s="238"/>
      <c r="E2485" s="238"/>
      <c r="F2485" s="239"/>
    </row>
    <row r="2486" spans="1:7" ht="12.4" customHeight="1">
      <c r="A2486" s="245" t="s">
        <v>14</v>
      </c>
      <c r="B2486" s="240" t="s">
        <v>125</v>
      </c>
      <c r="C2486" s="241"/>
      <c r="D2486" s="102" t="s">
        <v>126</v>
      </c>
      <c r="E2486" s="109" t="s">
        <v>127</v>
      </c>
      <c r="F2486" s="102" t="s">
        <v>128</v>
      </c>
    </row>
    <row r="2487" spans="1:7" ht="12.4" customHeight="1">
      <c r="A2487" s="246"/>
      <c r="B2487" s="240" t="s">
        <v>129</v>
      </c>
      <c r="C2487" s="241"/>
      <c r="D2487" s="102">
        <v>100</v>
      </c>
      <c r="E2487" s="110" t="str" cm="1">
        <f t="array" ref="E2487:E2498">TRANSPOSE(K177:V177)</f>
        <v/>
      </c>
      <c r="F2487" s="104" t="str">
        <f>IF(E2487="","",IF(E2487&lt;D2487*60%,"Try harder",""))</f>
        <v/>
      </c>
    </row>
    <row r="2488" spans="1:7" ht="12.4" customHeight="1">
      <c r="A2488" s="246"/>
      <c r="B2488" s="242" t="s">
        <v>132</v>
      </c>
      <c r="C2488" s="133" t="str" cm="1">
        <f t="array" ref="C2488:C2497">TRANSPOSE($L$149:$U$149)</f>
        <v>Up-Low C</v>
      </c>
      <c r="D2488" s="134">
        <v>10</v>
      </c>
      <c r="E2488" s="135" t="str">
        <v/>
      </c>
      <c r="F2488" s="136" t="str">
        <f t="shared" ref="F2488:F2498" si="146">IF(E2488="","",IF(E2488&lt;D2488*60%,"Try harder",""))</f>
        <v/>
      </c>
    </row>
    <row r="2489" spans="1:7" ht="12.4" customHeight="1">
      <c r="A2489" s="246"/>
      <c r="B2489" s="243"/>
      <c r="C2489" s="137" t="str">
        <v>Alphabet N</v>
      </c>
      <c r="D2489" s="138">
        <v>10</v>
      </c>
      <c r="E2489" s="139" t="str">
        <v/>
      </c>
      <c r="F2489" s="140" t="str">
        <f t="shared" si="146"/>
        <v/>
      </c>
    </row>
    <row r="2490" spans="1:7" ht="12.4" customHeight="1">
      <c r="A2490" s="246"/>
      <c r="B2490" s="243"/>
      <c r="C2490" s="137" t="str">
        <v>Alphabet S</v>
      </c>
      <c r="D2490" s="138">
        <v>10</v>
      </c>
      <c r="E2490" s="139" t="str">
        <v/>
      </c>
      <c r="F2490" s="140" t="str">
        <f t="shared" si="146"/>
        <v/>
      </c>
    </row>
    <row r="2491" spans="1:7" ht="12.4" customHeight="1">
      <c r="A2491" s="246"/>
      <c r="B2491" s="243"/>
      <c r="C2491" s="137" t="str">
        <v>Vocabulary</v>
      </c>
      <c r="D2491" s="138">
        <v>10</v>
      </c>
      <c r="E2491" s="139" t="str">
        <v/>
      </c>
      <c r="F2491" s="140" t="str">
        <f t="shared" si="146"/>
        <v/>
      </c>
    </row>
    <row r="2492" spans="1:7" ht="12.4" customHeight="1">
      <c r="A2492" s="247" t="s">
        <v>131</v>
      </c>
      <c r="B2492" s="243"/>
      <c r="C2492" s="137" t="str">
        <v>Sprouts</v>
      </c>
      <c r="D2492" s="138">
        <v>10</v>
      </c>
      <c r="E2492" s="139" t="str">
        <v/>
      </c>
      <c r="F2492" s="140" t="str">
        <f t="shared" si="146"/>
        <v/>
      </c>
    </row>
    <row r="2493" spans="1:7" ht="12.4" customHeight="1">
      <c r="A2493" s="247"/>
      <c r="B2493" s="243"/>
      <c r="C2493" s="137" t="str">
        <v>Phonics</v>
      </c>
      <c r="D2493" s="138">
        <v>10</v>
      </c>
      <c r="E2493" s="139" t="str">
        <v/>
      </c>
      <c r="F2493" s="140" t="str">
        <f t="shared" si="146"/>
        <v/>
      </c>
    </row>
    <row r="2494" spans="1:7" ht="12.4" customHeight="1">
      <c r="A2494" s="247"/>
      <c r="B2494" s="243"/>
      <c r="C2494" s="137" t="str">
        <v>Math</v>
      </c>
      <c r="D2494" s="138">
        <v>10</v>
      </c>
      <c r="E2494" s="139" t="str">
        <v/>
      </c>
      <c r="F2494" s="140" t="str">
        <f t="shared" si="146"/>
        <v/>
      </c>
    </row>
    <row r="2495" spans="1:7" ht="12.4" customHeight="1">
      <c r="A2495" s="247"/>
      <c r="B2495" s="243"/>
      <c r="C2495" s="137" t="str">
        <v>Shape</v>
      </c>
      <c r="D2495" s="138">
        <v>10</v>
      </c>
      <c r="E2495" s="139" t="str">
        <v/>
      </c>
      <c r="F2495" s="140" t="str">
        <f t="shared" si="146"/>
        <v/>
      </c>
    </row>
    <row r="2496" spans="1:7" ht="12.4" customHeight="1">
      <c r="A2496" s="247"/>
      <c r="B2496" s="243"/>
      <c r="C2496" s="137" t="str">
        <v>Science</v>
      </c>
      <c r="D2496" s="138">
        <v>10</v>
      </c>
      <c r="E2496" s="139" t="str">
        <v/>
      </c>
      <c r="F2496" s="140" t="str">
        <f t="shared" si="146"/>
        <v/>
      </c>
    </row>
    <row r="2497" spans="1:7" ht="12.4" customHeight="1">
      <c r="A2497" s="247"/>
      <c r="B2497" s="244"/>
      <c r="C2497" s="141" t="str">
        <v>Tracing</v>
      </c>
      <c r="D2497" s="142">
        <v>10</v>
      </c>
      <c r="E2497" s="143" t="str">
        <v/>
      </c>
      <c r="F2497" s="144" t="str">
        <f t="shared" si="146"/>
        <v/>
      </c>
    </row>
    <row r="2498" spans="1:7" ht="12.4" customHeight="1">
      <c r="A2498" s="248"/>
      <c r="B2498" s="240" t="s">
        <v>133</v>
      </c>
      <c r="C2498" s="241"/>
      <c r="D2498" s="103">
        <f>D2487*20%+SUM(D2488:D2497)*80%</f>
        <v>100</v>
      </c>
      <c r="E2498" s="110" t="str">
        <v/>
      </c>
      <c r="F2498" s="104" t="str">
        <f t="shared" si="146"/>
        <v/>
      </c>
    </row>
    <row r="2500" spans="1:7" ht="12.4" customHeight="1">
      <c r="A2500" s="230" t="s">
        <v>121</v>
      </c>
      <c r="B2500" s="231"/>
      <c r="C2500" s="231"/>
      <c r="D2500" s="107" t="s">
        <v>123</v>
      </c>
      <c r="E2500" s="232" t="str">
        <f>I178</f>
        <v/>
      </c>
      <c r="F2500" s="233"/>
      <c r="G2500" s="101">
        <v>178</v>
      </c>
    </row>
    <row r="2501" spans="1:7" ht="12.4" customHeight="1">
      <c r="A2501" s="105" t="s">
        <v>122</v>
      </c>
      <c r="B2501" s="235" t="str">
        <f>$K$146</f>
        <v>FEBRUARY - JULY 2026</v>
      </c>
      <c r="C2501" s="235"/>
      <c r="D2501" s="106" t="s">
        <v>124</v>
      </c>
      <c r="E2501" s="235" t="str">
        <f>$I$146</f>
        <v/>
      </c>
      <c r="F2501" s="236"/>
    </row>
    <row r="2502" spans="1:7" ht="12.4" customHeight="1">
      <c r="A2502" s="237" t="s">
        <v>130</v>
      </c>
      <c r="B2502" s="238"/>
      <c r="C2502" s="238"/>
      <c r="D2502" s="238"/>
      <c r="E2502" s="238"/>
      <c r="F2502" s="239"/>
    </row>
    <row r="2503" spans="1:7" ht="12.4" customHeight="1">
      <c r="A2503" s="245" t="s">
        <v>14</v>
      </c>
      <c r="B2503" s="240" t="s">
        <v>125</v>
      </c>
      <c r="C2503" s="241"/>
      <c r="D2503" s="102" t="s">
        <v>126</v>
      </c>
      <c r="E2503" s="109" t="s">
        <v>127</v>
      </c>
      <c r="F2503" s="102" t="s">
        <v>128</v>
      </c>
    </row>
    <row r="2504" spans="1:7" ht="12.4" customHeight="1">
      <c r="A2504" s="246"/>
      <c r="B2504" s="240" t="s">
        <v>129</v>
      </c>
      <c r="C2504" s="241"/>
      <c r="D2504" s="102">
        <v>100</v>
      </c>
      <c r="E2504" s="110" t="str" cm="1">
        <f t="array" ref="E2504:E2515">TRANSPOSE(K178:V178)</f>
        <v/>
      </c>
      <c r="F2504" s="104" t="str">
        <f>IF(E2504="","",IF(E2504&lt;D2504*60%,"Try harder",""))</f>
        <v/>
      </c>
    </row>
    <row r="2505" spans="1:7" ht="12.4" customHeight="1">
      <c r="A2505" s="246"/>
      <c r="B2505" s="242" t="s">
        <v>132</v>
      </c>
      <c r="C2505" s="133" t="str" cm="1">
        <f t="array" ref="C2505:C2514">TRANSPOSE($L$149:$U$149)</f>
        <v>Up-Low C</v>
      </c>
      <c r="D2505" s="134">
        <v>10</v>
      </c>
      <c r="E2505" s="135" t="str">
        <v/>
      </c>
      <c r="F2505" s="136" t="str">
        <f t="shared" ref="F2505:F2515" si="147">IF(E2505="","",IF(E2505&lt;D2505*60%,"Try harder",""))</f>
        <v/>
      </c>
    </row>
    <row r="2506" spans="1:7" ht="12.4" customHeight="1">
      <c r="A2506" s="246"/>
      <c r="B2506" s="243"/>
      <c r="C2506" s="137" t="str">
        <v>Alphabet N</v>
      </c>
      <c r="D2506" s="138">
        <v>10</v>
      </c>
      <c r="E2506" s="139" t="str">
        <v/>
      </c>
      <c r="F2506" s="140" t="str">
        <f t="shared" si="147"/>
        <v/>
      </c>
    </row>
    <row r="2507" spans="1:7" ht="12.4" customHeight="1">
      <c r="A2507" s="246"/>
      <c r="B2507" s="243"/>
      <c r="C2507" s="137" t="str">
        <v>Alphabet S</v>
      </c>
      <c r="D2507" s="138">
        <v>10</v>
      </c>
      <c r="E2507" s="139" t="str">
        <v/>
      </c>
      <c r="F2507" s="140" t="str">
        <f t="shared" si="147"/>
        <v/>
      </c>
    </row>
    <row r="2508" spans="1:7" ht="12.4" customHeight="1">
      <c r="A2508" s="246"/>
      <c r="B2508" s="243"/>
      <c r="C2508" s="137" t="str">
        <v>Vocabulary</v>
      </c>
      <c r="D2508" s="138">
        <v>10</v>
      </c>
      <c r="E2508" s="139" t="str">
        <v/>
      </c>
      <c r="F2508" s="140" t="str">
        <f t="shared" si="147"/>
        <v/>
      </c>
    </row>
    <row r="2509" spans="1:7" ht="12.4" customHeight="1">
      <c r="A2509" s="247" t="s">
        <v>131</v>
      </c>
      <c r="B2509" s="243"/>
      <c r="C2509" s="137" t="str">
        <v>Sprouts</v>
      </c>
      <c r="D2509" s="138">
        <v>10</v>
      </c>
      <c r="E2509" s="139" t="str">
        <v/>
      </c>
      <c r="F2509" s="140" t="str">
        <f t="shared" si="147"/>
        <v/>
      </c>
    </row>
    <row r="2510" spans="1:7" ht="12.4" customHeight="1">
      <c r="A2510" s="247"/>
      <c r="B2510" s="243"/>
      <c r="C2510" s="137" t="str">
        <v>Phonics</v>
      </c>
      <c r="D2510" s="138">
        <v>10</v>
      </c>
      <c r="E2510" s="139" t="str">
        <v/>
      </c>
      <c r="F2510" s="140" t="str">
        <f t="shared" si="147"/>
        <v/>
      </c>
    </row>
    <row r="2511" spans="1:7" ht="12.4" customHeight="1">
      <c r="A2511" s="247"/>
      <c r="B2511" s="243"/>
      <c r="C2511" s="137" t="str">
        <v>Math</v>
      </c>
      <c r="D2511" s="138">
        <v>10</v>
      </c>
      <c r="E2511" s="139" t="str">
        <v/>
      </c>
      <c r="F2511" s="140" t="str">
        <f t="shared" si="147"/>
        <v/>
      </c>
    </row>
    <row r="2512" spans="1:7" ht="12.4" customHeight="1">
      <c r="A2512" s="247"/>
      <c r="B2512" s="243"/>
      <c r="C2512" s="137" t="str">
        <v>Shape</v>
      </c>
      <c r="D2512" s="138">
        <v>10</v>
      </c>
      <c r="E2512" s="139" t="str">
        <v/>
      </c>
      <c r="F2512" s="140" t="str">
        <f t="shared" si="147"/>
        <v/>
      </c>
    </row>
    <row r="2513" spans="1:7" ht="12.4" customHeight="1">
      <c r="A2513" s="247"/>
      <c r="B2513" s="243"/>
      <c r="C2513" s="137" t="str">
        <v>Science</v>
      </c>
      <c r="D2513" s="138">
        <v>10</v>
      </c>
      <c r="E2513" s="139" t="str">
        <v/>
      </c>
      <c r="F2513" s="140" t="str">
        <f t="shared" si="147"/>
        <v/>
      </c>
    </row>
    <row r="2514" spans="1:7" ht="12.4" customHeight="1">
      <c r="A2514" s="247"/>
      <c r="B2514" s="244"/>
      <c r="C2514" s="141" t="str">
        <v>Tracing</v>
      </c>
      <c r="D2514" s="142">
        <v>10</v>
      </c>
      <c r="E2514" s="143" t="str">
        <v/>
      </c>
      <c r="F2514" s="144" t="str">
        <f t="shared" si="147"/>
        <v/>
      </c>
    </row>
    <row r="2515" spans="1:7" ht="12.4" customHeight="1">
      <c r="A2515" s="248"/>
      <c r="B2515" s="240" t="s">
        <v>133</v>
      </c>
      <c r="C2515" s="241"/>
      <c r="D2515" s="103">
        <f>D2504*20%+SUM(D2505:D2514)*80%</f>
        <v>100</v>
      </c>
      <c r="E2515" s="110" t="str">
        <v/>
      </c>
      <c r="F2515" s="104" t="str">
        <f t="shared" si="147"/>
        <v/>
      </c>
    </row>
    <row r="2517" spans="1:7" ht="12.4" customHeight="1">
      <c r="A2517" s="230" t="s">
        <v>121</v>
      </c>
      <c r="B2517" s="231"/>
      <c r="C2517" s="231"/>
      <c r="D2517" s="107" t="s">
        <v>123</v>
      </c>
      <c r="E2517" s="232" t="str">
        <f>I179</f>
        <v/>
      </c>
      <c r="F2517" s="233"/>
      <c r="G2517" s="101">
        <v>179</v>
      </c>
    </row>
    <row r="2518" spans="1:7" ht="12.4" customHeight="1">
      <c r="A2518" s="105" t="s">
        <v>122</v>
      </c>
      <c r="B2518" s="235" t="str">
        <f>$K$146</f>
        <v>FEBRUARY - JULY 2026</v>
      </c>
      <c r="C2518" s="235"/>
      <c r="D2518" s="106" t="s">
        <v>124</v>
      </c>
      <c r="E2518" s="235" t="str">
        <f>$I$146</f>
        <v/>
      </c>
      <c r="F2518" s="236"/>
    </row>
    <row r="2519" spans="1:7" ht="12.4" customHeight="1">
      <c r="A2519" s="237" t="s">
        <v>130</v>
      </c>
      <c r="B2519" s="238"/>
      <c r="C2519" s="238"/>
      <c r="D2519" s="238"/>
      <c r="E2519" s="238"/>
      <c r="F2519" s="239"/>
    </row>
    <row r="2520" spans="1:7" ht="12.4" customHeight="1">
      <c r="A2520" s="245" t="s">
        <v>14</v>
      </c>
      <c r="B2520" s="240" t="s">
        <v>125</v>
      </c>
      <c r="C2520" s="241"/>
      <c r="D2520" s="102" t="s">
        <v>126</v>
      </c>
      <c r="E2520" s="109" t="s">
        <v>127</v>
      </c>
      <c r="F2520" s="102" t="s">
        <v>128</v>
      </c>
    </row>
    <row r="2521" spans="1:7" ht="12.4" customHeight="1">
      <c r="A2521" s="246"/>
      <c r="B2521" s="240" t="s">
        <v>129</v>
      </c>
      <c r="C2521" s="241"/>
      <c r="D2521" s="102">
        <v>100</v>
      </c>
      <c r="E2521" s="110" t="str" cm="1">
        <f t="array" ref="E2521:E2532">TRANSPOSE(K179:V179)</f>
        <v/>
      </c>
      <c r="F2521" s="104" t="str">
        <f>IF(E2521="","",IF(E2521&lt;D2521*60%,"Try harder",""))</f>
        <v/>
      </c>
    </row>
    <row r="2522" spans="1:7" ht="12.4" customHeight="1">
      <c r="A2522" s="246"/>
      <c r="B2522" s="242" t="s">
        <v>132</v>
      </c>
      <c r="C2522" s="133" t="str" cm="1">
        <f t="array" ref="C2522:C2531">TRANSPOSE($L$149:$U$149)</f>
        <v>Up-Low C</v>
      </c>
      <c r="D2522" s="134">
        <v>10</v>
      </c>
      <c r="E2522" s="135" t="str">
        <v/>
      </c>
      <c r="F2522" s="136" t="str">
        <f t="shared" ref="F2522:F2532" si="148">IF(E2522="","",IF(E2522&lt;D2522*60%,"Try harder",""))</f>
        <v/>
      </c>
    </row>
    <row r="2523" spans="1:7" ht="12.4" customHeight="1">
      <c r="A2523" s="246"/>
      <c r="B2523" s="243"/>
      <c r="C2523" s="137" t="str">
        <v>Alphabet N</v>
      </c>
      <c r="D2523" s="138">
        <v>10</v>
      </c>
      <c r="E2523" s="139" t="str">
        <v/>
      </c>
      <c r="F2523" s="140" t="str">
        <f t="shared" si="148"/>
        <v/>
      </c>
    </row>
    <row r="2524" spans="1:7" ht="12.4" customHeight="1">
      <c r="A2524" s="246"/>
      <c r="B2524" s="243"/>
      <c r="C2524" s="137" t="str">
        <v>Alphabet S</v>
      </c>
      <c r="D2524" s="138">
        <v>10</v>
      </c>
      <c r="E2524" s="139" t="str">
        <v/>
      </c>
      <c r="F2524" s="140" t="str">
        <f t="shared" si="148"/>
        <v/>
      </c>
    </row>
    <row r="2525" spans="1:7" ht="12.4" customHeight="1">
      <c r="A2525" s="246"/>
      <c r="B2525" s="243"/>
      <c r="C2525" s="137" t="str">
        <v>Vocabulary</v>
      </c>
      <c r="D2525" s="138">
        <v>10</v>
      </c>
      <c r="E2525" s="139" t="str">
        <v/>
      </c>
      <c r="F2525" s="140" t="str">
        <f t="shared" si="148"/>
        <v/>
      </c>
    </row>
    <row r="2526" spans="1:7" ht="12.4" customHeight="1">
      <c r="A2526" s="247" t="s">
        <v>131</v>
      </c>
      <c r="B2526" s="243"/>
      <c r="C2526" s="137" t="str">
        <v>Sprouts</v>
      </c>
      <c r="D2526" s="138">
        <v>10</v>
      </c>
      <c r="E2526" s="139" t="str">
        <v/>
      </c>
      <c r="F2526" s="140" t="str">
        <f t="shared" si="148"/>
        <v/>
      </c>
    </row>
    <row r="2527" spans="1:7" ht="12.4" customHeight="1">
      <c r="A2527" s="247"/>
      <c r="B2527" s="243"/>
      <c r="C2527" s="137" t="str">
        <v>Phonics</v>
      </c>
      <c r="D2527" s="138">
        <v>10</v>
      </c>
      <c r="E2527" s="139" t="str">
        <v/>
      </c>
      <c r="F2527" s="140" t="str">
        <f t="shared" si="148"/>
        <v/>
      </c>
    </row>
    <row r="2528" spans="1:7" ht="12.4" customHeight="1">
      <c r="A2528" s="247"/>
      <c r="B2528" s="243"/>
      <c r="C2528" s="137" t="str">
        <v>Math</v>
      </c>
      <c r="D2528" s="138">
        <v>10</v>
      </c>
      <c r="E2528" s="139" t="str">
        <v/>
      </c>
      <c r="F2528" s="140" t="str">
        <f t="shared" si="148"/>
        <v/>
      </c>
    </row>
    <row r="2529" spans="1:7" ht="12.4" customHeight="1">
      <c r="A2529" s="247"/>
      <c r="B2529" s="243"/>
      <c r="C2529" s="137" t="str">
        <v>Shape</v>
      </c>
      <c r="D2529" s="138">
        <v>10</v>
      </c>
      <c r="E2529" s="139" t="str">
        <v/>
      </c>
      <c r="F2529" s="140" t="str">
        <f t="shared" si="148"/>
        <v/>
      </c>
    </row>
    <row r="2530" spans="1:7" ht="12.4" customHeight="1">
      <c r="A2530" s="247"/>
      <c r="B2530" s="243"/>
      <c r="C2530" s="137" t="str">
        <v>Science</v>
      </c>
      <c r="D2530" s="138">
        <v>10</v>
      </c>
      <c r="E2530" s="139" t="str">
        <v/>
      </c>
      <c r="F2530" s="140" t="str">
        <f t="shared" si="148"/>
        <v/>
      </c>
    </row>
    <row r="2531" spans="1:7" ht="12.4" customHeight="1">
      <c r="A2531" s="247"/>
      <c r="B2531" s="244"/>
      <c r="C2531" s="141" t="str">
        <v>Tracing</v>
      </c>
      <c r="D2531" s="142">
        <v>10</v>
      </c>
      <c r="E2531" s="143" t="str">
        <v/>
      </c>
      <c r="F2531" s="144" t="str">
        <f t="shared" si="148"/>
        <v/>
      </c>
    </row>
    <row r="2532" spans="1:7" ht="12.4" customHeight="1">
      <c r="A2532" s="248"/>
      <c r="B2532" s="240" t="s">
        <v>133</v>
      </c>
      <c r="C2532" s="241"/>
      <c r="D2532" s="103">
        <f>D2521*20%+SUM(D2522:D2531)*80%</f>
        <v>100</v>
      </c>
      <c r="E2532" s="110" t="str">
        <v/>
      </c>
      <c r="F2532" s="104" t="str">
        <f t="shared" si="148"/>
        <v/>
      </c>
    </row>
    <row r="2534" spans="1:7" ht="12.4" customHeight="1">
      <c r="A2534" s="230" t="s">
        <v>121</v>
      </c>
      <c r="B2534" s="231"/>
      <c r="C2534" s="231"/>
      <c r="D2534" s="107" t="s">
        <v>123</v>
      </c>
      <c r="E2534" s="232" t="str">
        <f>I180</f>
        <v/>
      </c>
      <c r="F2534" s="233"/>
      <c r="G2534" s="101">
        <v>180</v>
      </c>
    </row>
    <row r="2535" spans="1:7" ht="12.4" customHeight="1">
      <c r="A2535" s="105" t="s">
        <v>122</v>
      </c>
      <c r="B2535" s="235" t="str">
        <f>$K$146</f>
        <v>FEBRUARY - JULY 2026</v>
      </c>
      <c r="C2535" s="235"/>
      <c r="D2535" s="106" t="s">
        <v>124</v>
      </c>
      <c r="E2535" s="235" t="str">
        <f>$I$146</f>
        <v/>
      </c>
      <c r="F2535" s="236"/>
    </row>
    <row r="2536" spans="1:7" ht="12.4" customHeight="1">
      <c r="A2536" s="237" t="s">
        <v>130</v>
      </c>
      <c r="B2536" s="238"/>
      <c r="C2536" s="238"/>
      <c r="D2536" s="238"/>
      <c r="E2536" s="238"/>
      <c r="F2536" s="239"/>
    </row>
    <row r="2537" spans="1:7" ht="12.4" customHeight="1">
      <c r="A2537" s="245" t="s">
        <v>14</v>
      </c>
      <c r="B2537" s="240" t="s">
        <v>125</v>
      </c>
      <c r="C2537" s="241"/>
      <c r="D2537" s="102" t="s">
        <v>126</v>
      </c>
      <c r="E2537" s="109" t="s">
        <v>127</v>
      </c>
      <c r="F2537" s="102" t="s">
        <v>128</v>
      </c>
    </row>
    <row r="2538" spans="1:7" ht="12.4" customHeight="1">
      <c r="A2538" s="246"/>
      <c r="B2538" s="240" t="s">
        <v>129</v>
      </c>
      <c r="C2538" s="241"/>
      <c r="D2538" s="102">
        <v>100</v>
      </c>
      <c r="E2538" s="110" t="str" cm="1">
        <f t="array" ref="E2538:E2549">TRANSPOSE(K180:V180)</f>
        <v/>
      </c>
      <c r="F2538" s="104" t="str">
        <f>IF(E2538="","",IF(E2538&lt;D2538*60%,"Try harder",""))</f>
        <v/>
      </c>
    </row>
    <row r="2539" spans="1:7" ht="12.4" customHeight="1">
      <c r="A2539" s="246"/>
      <c r="B2539" s="242" t="s">
        <v>132</v>
      </c>
      <c r="C2539" s="133" t="str" cm="1">
        <f t="array" ref="C2539:C2548">TRANSPOSE($L$149:$U$149)</f>
        <v>Up-Low C</v>
      </c>
      <c r="D2539" s="134">
        <v>10</v>
      </c>
      <c r="E2539" s="135" t="str">
        <v/>
      </c>
      <c r="F2539" s="136" t="str">
        <f t="shared" ref="F2539:F2549" si="149">IF(E2539="","",IF(E2539&lt;D2539*60%,"Try harder",""))</f>
        <v/>
      </c>
    </row>
    <row r="2540" spans="1:7" ht="12.4" customHeight="1">
      <c r="A2540" s="246"/>
      <c r="B2540" s="243"/>
      <c r="C2540" s="137" t="str">
        <v>Alphabet N</v>
      </c>
      <c r="D2540" s="138">
        <v>10</v>
      </c>
      <c r="E2540" s="139" t="str">
        <v/>
      </c>
      <c r="F2540" s="140" t="str">
        <f t="shared" si="149"/>
        <v/>
      </c>
    </row>
    <row r="2541" spans="1:7" ht="12.4" customHeight="1">
      <c r="A2541" s="246"/>
      <c r="B2541" s="243"/>
      <c r="C2541" s="137" t="str">
        <v>Alphabet S</v>
      </c>
      <c r="D2541" s="138">
        <v>10</v>
      </c>
      <c r="E2541" s="139" t="str">
        <v/>
      </c>
      <c r="F2541" s="140" t="str">
        <f t="shared" si="149"/>
        <v/>
      </c>
    </row>
    <row r="2542" spans="1:7" ht="12.4" customHeight="1">
      <c r="A2542" s="246"/>
      <c r="B2542" s="243"/>
      <c r="C2542" s="137" t="str">
        <v>Vocabulary</v>
      </c>
      <c r="D2542" s="138">
        <v>10</v>
      </c>
      <c r="E2542" s="139" t="str">
        <v/>
      </c>
      <c r="F2542" s="140" t="str">
        <f t="shared" si="149"/>
        <v/>
      </c>
    </row>
    <row r="2543" spans="1:7" ht="12.4" customHeight="1">
      <c r="A2543" s="247" t="s">
        <v>131</v>
      </c>
      <c r="B2543" s="243"/>
      <c r="C2543" s="137" t="str">
        <v>Sprouts</v>
      </c>
      <c r="D2543" s="138">
        <v>10</v>
      </c>
      <c r="E2543" s="139" t="str">
        <v/>
      </c>
      <c r="F2543" s="140" t="str">
        <f t="shared" si="149"/>
        <v/>
      </c>
    </row>
    <row r="2544" spans="1:7" ht="12.4" customHeight="1">
      <c r="A2544" s="247"/>
      <c r="B2544" s="243"/>
      <c r="C2544" s="137" t="str">
        <v>Phonics</v>
      </c>
      <c r="D2544" s="138">
        <v>10</v>
      </c>
      <c r="E2544" s="139" t="str">
        <v/>
      </c>
      <c r="F2544" s="140" t="str">
        <f t="shared" si="149"/>
        <v/>
      </c>
    </row>
    <row r="2545" spans="1:7" ht="12.4" customHeight="1">
      <c r="A2545" s="247"/>
      <c r="B2545" s="243"/>
      <c r="C2545" s="137" t="str">
        <v>Math</v>
      </c>
      <c r="D2545" s="138">
        <v>10</v>
      </c>
      <c r="E2545" s="139" t="str">
        <v/>
      </c>
      <c r="F2545" s="140" t="str">
        <f t="shared" si="149"/>
        <v/>
      </c>
    </row>
    <row r="2546" spans="1:7" ht="12.4" customHeight="1">
      <c r="A2546" s="247"/>
      <c r="B2546" s="243"/>
      <c r="C2546" s="137" t="str">
        <v>Shape</v>
      </c>
      <c r="D2546" s="138">
        <v>10</v>
      </c>
      <c r="E2546" s="139" t="str">
        <v/>
      </c>
      <c r="F2546" s="140" t="str">
        <f t="shared" si="149"/>
        <v/>
      </c>
    </row>
    <row r="2547" spans="1:7" ht="12.4" customHeight="1">
      <c r="A2547" s="247"/>
      <c r="B2547" s="243"/>
      <c r="C2547" s="137" t="str">
        <v>Science</v>
      </c>
      <c r="D2547" s="138">
        <v>10</v>
      </c>
      <c r="E2547" s="139" t="str">
        <v/>
      </c>
      <c r="F2547" s="140" t="str">
        <f t="shared" si="149"/>
        <v/>
      </c>
    </row>
    <row r="2548" spans="1:7" ht="12.4" customHeight="1">
      <c r="A2548" s="247"/>
      <c r="B2548" s="244"/>
      <c r="C2548" s="141" t="str">
        <v>Tracing</v>
      </c>
      <c r="D2548" s="142">
        <v>10</v>
      </c>
      <c r="E2548" s="143" t="str">
        <v/>
      </c>
      <c r="F2548" s="144" t="str">
        <f t="shared" si="149"/>
        <v/>
      </c>
    </row>
    <row r="2549" spans="1:7" ht="12.4" customHeight="1">
      <c r="A2549" s="248"/>
      <c r="B2549" s="240" t="s">
        <v>133</v>
      </c>
      <c r="C2549" s="241"/>
      <c r="D2549" s="103">
        <f>D2538*20%+SUM(D2539:D2548)*80%</f>
        <v>100</v>
      </c>
      <c r="E2549" s="110" t="str">
        <v/>
      </c>
      <c r="F2549" s="104" t="str">
        <f t="shared" si="149"/>
        <v/>
      </c>
    </row>
    <row r="2551" spans="1:7" ht="12.4" customHeight="1">
      <c r="A2551" s="230" t="s">
        <v>121</v>
      </c>
      <c r="B2551" s="231"/>
      <c r="C2551" s="231"/>
      <c r="D2551" s="107" t="s">
        <v>123</v>
      </c>
      <c r="E2551" s="232" t="str">
        <f>I187</f>
        <v/>
      </c>
      <c r="F2551" s="233"/>
      <c r="G2551" s="101">
        <v>187</v>
      </c>
    </row>
    <row r="2552" spans="1:7" ht="12.4" customHeight="1">
      <c r="A2552" s="105" t="s">
        <v>122</v>
      </c>
      <c r="B2552" s="235" t="str">
        <f>$K$182</f>
        <v>FEBRUARY - JULY 2026</v>
      </c>
      <c r="C2552" s="235"/>
      <c r="D2552" s="106" t="s">
        <v>124</v>
      </c>
      <c r="E2552" s="235" t="str">
        <f>$I$182</f>
        <v/>
      </c>
      <c r="F2552" s="236"/>
    </row>
    <row r="2553" spans="1:7" ht="12.4" customHeight="1">
      <c r="A2553" s="237" t="s">
        <v>130</v>
      </c>
      <c r="B2553" s="238"/>
      <c r="C2553" s="238"/>
      <c r="D2553" s="238"/>
      <c r="E2553" s="238"/>
      <c r="F2553" s="239"/>
    </row>
    <row r="2554" spans="1:7" ht="12.4" customHeight="1">
      <c r="A2554" s="245" t="s">
        <v>14</v>
      </c>
      <c r="B2554" s="240" t="s">
        <v>125</v>
      </c>
      <c r="C2554" s="241"/>
      <c r="D2554" s="102" t="s">
        <v>126</v>
      </c>
      <c r="E2554" s="109" t="s">
        <v>127</v>
      </c>
      <c r="F2554" s="102" t="s">
        <v>128</v>
      </c>
    </row>
    <row r="2555" spans="1:7" ht="12.4" customHeight="1">
      <c r="A2555" s="246"/>
      <c r="B2555" s="240" t="s">
        <v>129</v>
      </c>
      <c r="C2555" s="241"/>
      <c r="D2555" s="102">
        <v>100</v>
      </c>
      <c r="E2555" s="110" t="str" cm="1">
        <f t="array" ref="E2555:E2566">TRANSPOSE(K187:V187)</f>
        <v/>
      </c>
      <c r="F2555" s="104" t="str">
        <f>IF(E2555="","",IF(E2555&lt;D2555*60%,"Try harder",""))</f>
        <v/>
      </c>
    </row>
    <row r="2556" spans="1:7" ht="12.4" customHeight="1">
      <c r="A2556" s="246"/>
      <c r="B2556" s="242" t="s">
        <v>132</v>
      </c>
      <c r="C2556" s="133" t="str" cm="1">
        <f t="array" ref="C2556:C2565">TRANSPOSE($L$185:$U$185)</f>
        <v>Up-Low C</v>
      </c>
      <c r="D2556" s="134">
        <v>10</v>
      </c>
      <c r="E2556" s="135" t="str">
        <v/>
      </c>
      <c r="F2556" s="136" t="str">
        <f t="shared" ref="F2556:F2566" si="150">IF(E2556="","",IF(E2556&lt;D2556*60%,"Try harder",""))</f>
        <v/>
      </c>
    </row>
    <row r="2557" spans="1:7" ht="12.4" customHeight="1">
      <c r="A2557" s="246"/>
      <c r="B2557" s="243"/>
      <c r="C2557" s="137" t="str">
        <v>Alphabet N</v>
      </c>
      <c r="D2557" s="138">
        <v>10</v>
      </c>
      <c r="E2557" s="139" t="str">
        <v/>
      </c>
      <c r="F2557" s="140" t="str">
        <f t="shared" si="150"/>
        <v/>
      </c>
    </row>
    <row r="2558" spans="1:7" ht="12.4" customHeight="1">
      <c r="A2558" s="246"/>
      <c r="B2558" s="243"/>
      <c r="C2558" s="137" t="str">
        <v>Alphabet S</v>
      </c>
      <c r="D2558" s="138">
        <v>10</v>
      </c>
      <c r="E2558" s="139" t="str">
        <v/>
      </c>
      <c r="F2558" s="140" t="str">
        <f t="shared" si="150"/>
        <v/>
      </c>
    </row>
    <row r="2559" spans="1:7" ht="12.4" customHeight="1">
      <c r="A2559" s="246"/>
      <c r="B2559" s="243"/>
      <c r="C2559" s="137" t="str">
        <v>Vocabulary</v>
      </c>
      <c r="D2559" s="138">
        <v>10</v>
      </c>
      <c r="E2559" s="139" t="str">
        <v/>
      </c>
      <c r="F2559" s="140" t="str">
        <f t="shared" si="150"/>
        <v/>
      </c>
    </row>
    <row r="2560" spans="1:7" ht="12.4" customHeight="1">
      <c r="A2560" s="247" t="s">
        <v>131</v>
      </c>
      <c r="B2560" s="243"/>
      <c r="C2560" s="137" t="str">
        <v>Sprouts</v>
      </c>
      <c r="D2560" s="138">
        <v>10</v>
      </c>
      <c r="E2560" s="139" t="str">
        <v/>
      </c>
      <c r="F2560" s="140" t="str">
        <f t="shared" si="150"/>
        <v/>
      </c>
    </row>
    <row r="2561" spans="1:7" ht="12.4" customHeight="1">
      <c r="A2561" s="247"/>
      <c r="B2561" s="243"/>
      <c r="C2561" s="137" t="str">
        <v>Phonics</v>
      </c>
      <c r="D2561" s="138">
        <v>10</v>
      </c>
      <c r="E2561" s="139" t="str">
        <v/>
      </c>
      <c r="F2561" s="140" t="str">
        <f t="shared" si="150"/>
        <v/>
      </c>
    </row>
    <row r="2562" spans="1:7" ht="12.4" customHeight="1">
      <c r="A2562" s="247"/>
      <c r="B2562" s="243"/>
      <c r="C2562" s="137" t="str">
        <v>Math</v>
      </c>
      <c r="D2562" s="138">
        <v>10</v>
      </c>
      <c r="E2562" s="139" t="str">
        <v/>
      </c>
      <c r="F2562" s="140" t="str">
        <f t="shared" si="150"/>
        <v/>
      </c>
    </row>
    <row r="2563" spans="1:7" ht="12.4" customHeight="1">
      <c r="A2563" s="247"/>
      <c r="B2563" s="243"/>
      <c r="C2563" s="137" t="str">
        <v>Shape</v>
      </c>
      <c r="D2563" s="138">
        <v>10</v>
      </c>
      <c r="E2563" s="139" t="str">
        <v/>
      </c>
      <c r="F2563" s="140" t="str">
        <f t="shared" si="150"/>
        <v/>
      </c>
    </row>
    <row r="2564" spans="1:7" ht="12.4" customHeight="1">
      <c r="A2564" s="247"/>
      <c r="B2564" s="243"/>
      <c r="C2564" s="137" t="str">
        <v>Science</v>
      </c>
      <c r="D2564" s="138">
        <v>10</v>
      </c>
      <c r="E2564" s="139" t="str">
        <v/>
      </c>
      <c r="F2564" s="140" t="str">
        <f t="shared" si="150"/>
        <v/>
      </c>
    </row>
    <row r="2565" spans="1:7" ht="12.4" customHeight="1">
      <c r="A2565" s="247"/>
      <c r="B2565" s="244"/>
      <c r="C2565" s="141" t="str">
        <v>Tracing</v>
      </c>
      <c r="D2565" s="142">
        <v>10</v>
      </c>
      <c r="E2565" s="143" t="str">
        <v/>
      </c>
      <c r="F2565" s="144" t="str">
        <f t="shared" si="150"/>
        <v/>
      </c>
    </row>
    <row r="2566" spans="1:7" ht="12.4" customHeight="1">
      <c r="A2566" s="248"/>
      <c r="B2566" s="240" t="s">
        <v>133</v>
      </c>
      <c r="C2566" s="241"/>
      <c r="D2566" s="103">
        <f>D2555*20%+SUM(D2556:D2565)*80%</f>
        <v>100</v>
      </c>
      <c r="E2566" s="110" t="str">
        <v/>
      </c>
      <c r="F2566" s="104" t="str">
        <f t="shared" si="150"/>
        <v/>
      </c>
    </row>
    <row r="2568" spans="1:7" ht="12.4" customHeight="1">
      <c r="A2568" s="230" t="s">
        <v>121</v>
      </c>
      <c r="B2568" s="231"/>
      <c r="C2568" s="231"/>
      <c r="D2568" s="107" t="s">
        <v>123</v>
      </c>
      <c r="E2568" s="232" t="str">
        <f>I188</f>
        <v/>
      </c>
      <c r="F2568" s="233"/>
      <c r="G2568" s="101">
        <v>188</v>
      </c>
    </row>
    <row r="2569" spans="1:7" ht="12.4" customHeight="1">
      <c r="A2569" s="105" t="s">
        <v>122</v>
      </c>
      <c r="B2569" s="234" t="str">
        <f>$K$182</f>
        <v>FEBRUARY - JULY 2026</v>
      </c>
      <c r="C2569" s="234"/>
      <c r="D2569" s="106" t="s">
        <v>124</v>
      </c>
      <c r="E2569" s="235" t="str">
        <f>$I$182</f>
        <v/>
      </c>
      <c r="F2569" s="236"/>
    </row>
    <row r="2570" spans="1:7" ht="12.4" customHeight="1">
      <c r="A2570" s="237" t="s">
        <v>130</v>
      </c>
      <c r="B2570" s="238"/>
      <c r="C2570" s="238"/>
      <c r="D2570" s="238"/>
      <c r="E2570" s="238"/>
      <c r="F2570" s="239"/>
    </row>
    <row r="2571" spans="1:7" ht="12.4" customHeight="1">
      <c r="A2571" s="245" t="s">
        <v>14</v>
      </c>
      <c r="B2571" s="240" t="s">
        <v>125</v>
      </c>
      <c r="C2571" s="241"/>
      <c r="D2571" s="102" t="s">
        <v>126</v>
      </c>
      <c r="E2571" s="109" t="s">
        <v>127</v>
      </c>
      <c r="F2571" s="102" t="s">
        <v>128</v>
      </c>
    </row>
    <row r="2572" spans="1:7" ht="12.4" customHeight="1">
      <c r="A2572" s="246"/>
      <c r="B2572" s="240" t="s">
        <v>129</v>
      </c>
      <c r="C2572" s="241"/>
      <c r="D2572" s="102">
        <v>100</v>
      </c>
      <c r="E2572" s="110" t="str" cm="1">
        <f t="array" ref="E2572:E2583">TRANSPOSE(K188:V188)</f>
        <v/>
      </c>
      <c r="F2572" s="104" t="str">
        <f>IF(E2572="","",IF(E2572&lt;D2572*60%,"Try harder",""))</f>
        <v/>
      </c>
    </row>
    <row r="2573" spans="1:7" ht="12.4" customHeight="1">
      <c r="A2573" s="246"/>
      <c r="B2573" s="242" t="s">
        <v>132</v>
      </c>
      <c r="C2573" s="133" t="str" cm="1">
        <f t="array" ref="C2573:C2582">TRANSPOSE($L$185:$U$185)</f>
        <v>Up-Low C</v>
      </c>
      <c r="D2573" s="134">
        <v>10</v>
      </c>
      <c r="E2573" s="135" t="str">
        <v/>
      </c>
      <c r="F2573" s="136" t="str">
        <f t="shared" ref="F2573:F2583" si="151">IF(E2573="","",IF(E2573&lt;D2573*60%,"Try harder",""))</f>
        <v/>
      </c>
    </row>
    <row r="2574" spans="1:7" ht="12.4" customHeight="1">
      <c r="A2574" s="246"/>
      <c r="B2574" s="243"/>
      <c r="C2574" s="137" t="str">
        <v>Alphabet N</v>
      </c>
      <c r="D2574" s="138">
        <v>10</v>
      </c>
      <c r="E2574" s="139" t="str">
        <v/>
      </c>
      <c r="F2574" s="140" t="str">
        <f t="shared" si="151"/>
        <v/>
      </c>
    </row>
    <row r="2575" spans="1:7" ht="12.4" customHeight="1">
      <c r="A2575" s="246"/>
      <c r="B2575" s="243"/>
      <c r="C2575" s="137" t="str">
        <v>Alphabet S</v>
      </c>
      <c r="D2575" s="138">
        <v>10</v>
      </c>
      <c r="E2575" s="139" t="str">
        <v/>
      </c>
      <c r="F2575" s="140" t="str">
        <f t="shared" si="151"/>
        <v/>
      </c>
    </row>
    <row r="2576" spans="1:7" ht="12.4" customHeight="1">
      <c r="A2576" s="246"/>
      <c r="B2576" s="243"/>
      <c r="C2576" s="137" t="str">
        <v>Vocabulary</v>
      </c>
      <c r="D2576" s="138">
        <v>10</v>
      </c>
      <c r="E2576" s="139" t="str">
        <v/>
      </c>
      <c r="F2576" s="140" t="str">
        <f t="shared" si="151"/>
        <v/>
      </c>
    </row>
    <row r="2577" spans="1:7" ht="12.4" customHeight="1">
      <c r="A2577" s="247" t="s">
        <v>131</v>
      </c>
      <c r="B2577" s="243"/>
      <c r="C2577" s="137" t="str">
        <v>Sprouts</v>
      </c>
      <c r="D2577" s="138">
        <v>10</v>
      </c>
      <c r="E2577" s="139" t="str">
        <v/>
      </c>
      <c r="F2577" s="140" t="str">
        <f t="shared" si="151"/>
        <v/>
      </c>
    </row>
    <row r="2578" spans="1:7" ht="12.4" customHeight="1">
      <c r="A2578" s="247"/>
      <c r="B2578" s="243"/>
      <c r="C2578" s="137" t="str">
        <v>Phonics</v>
      </c>
      <c r="D2578" s="138">
        <v>10</v>
      </c>
      <c r="E2578" s="139" t="str">
        <v/>
      </c>
      <c r="F2578" s="140" t="str">
        <f t="shared" si="151"/>
        <v/>
      </c>
    </row>
    <row r="2579" spans="1:7" ht="12.4" customHeight="1">
      <c r="A2579" s="247"/>
      <c r="B2579" s="243"/>
      <c r="C2579" s="137" t="str">
        <v>Math</v>
      </c>
      <c r="D2579" s="138">
        <v>10</v>
      </c>
      <c r="E2579" s="139" t="str">
        <v/>
      </c>
      <c r="F2579" s="140" t="str">
        <f t="shared" si="151"/>
        <v/>
      </c>
    </row>
    <row r="2580" spans="1:7" ht="12.4" customHeight="1">
      <c r="A2580" s="247"/>
      <c r="B2580" s="243"/>
      <c r="C2580" s="137" t="str">
        <v>Shape</v>
      </c>
      <c r="D2580" s="138">
        <v>10</v>
      </c>
      <c r="E2580" s="139" t="str">
        <v/>
      </c>
      <c r="F2580" s="140" t="str">
        <f t="shared" si="151"/>
        <v/>
      </c>
    </row>
    <row r="2581" spans="1:7" ht="12.4" customHeight="1">
      <c r="A2581" s="247"/>
      <c r="B2581" s="243"/>
      <c r="C2581" s="137" t="str">
        <v>Science</v>
      </c>
      <c r="D2581" s="138">
        <v>10</v>
      </c>
      <c r="E2581" s="139" t="str">
        <v/>
      </c>
      <c r="F2581" s="140" t="str">
        <f t="shared" si="151"/>
        <v/>
      </c>
    </row>
    <row r="2582" spans="1:7" ht="12.4" customHeight="1">
      <c r="A2582" s="247"/>
      <c r="B2582" s="244"/>
      <c r="C2582" s="141" t="str">
        <v>Tracing</v>
      </c>
      <c r="D2582" s="142">
        <v>10</v>
      </c>
      <c r="E2582" s="143" t="str">
        <v/>
      </c>
      <c r="F2582" s="144" t="str">
        <f t="shared" si="151"/>
        <v/>
      </c>
    </row>
    <row r="2583" spans="1:7" ht="12.4" customHeight="1">
      <c r="A2583" s="248"/>
      <c r="B2583" s="240" t="s">
        <v>133</v>
      </c>
      <c r="C2583" s="241"/>
      <c r="D2583" s="103">
        <f>D2572*20%+SUM(D2573:D2582)*80%</f>
        <v>100</v>
      </c>
      <c r="E2583" s="110" t="str">
        <v/>
      </c>
      <c r="F2583" s="104" t="str">
        <f t="shared" si="151"/>
        <v/>
      </c>
    </row>
    <row r="2585" spans="1:7" ht="12.4" customHeight="1">
      <c r="A2585" s="230" t="s">
        <v>121</v>
      </c>
      <c r="B2585" s="231"/>
      <c r="C2585" s="231"/>
      <c r="D2585" s="107" t="s">
        <v>123</v>
      </c>
      <c r="E2585" s="232" t="str">
        <f>I189</f>
        <v/>
      </c>
      <c r="F2585" s="233"/>
      <c r="G2585" s="101">
        <v>189</v>
      </c>
    </row>
    <row r="2586" spans="1:7" ht="12.4" customHeight="1">
      <c r="A2586" s="105" t="s">
        <v>122</v>
      </c>
      <c r="B2586" s="234" t="str">
        <f>$K$182</f>
        <v>FEBRUARY - JULY 2026</v>
      </c>
      <c r="C2586" s="234"/>
      <c r="D2586" s="106" t="s">
        <v>124</v>
      </c>
      <c r="E2586" s="235" t="str">
        <f>$I$182</f>
        <v/>
      </c>
      <c r="F2586" s="236"/>
    </row>
    <row r="2587" spans="1:7" ht="12.4" customHeight="1">
      <c r="A2587" s="237" t="s">
        <v>130</v>
      </c>
      <c r="B2587" s="238"/>
      <c r="C2587" s="238"/>
      <c r="D2587" s="238"/>
      <c r="E2587" s="238"/>
      <c r="F2587" s="239"/>
    </row>
    <row r="2588" spans="1:7" ht="12.4" customHeight="1">
      <c r="A2588" s="245" t="s">
        <v>14</v>
      </c>
      <c r="B2588" s="240" t="s">
        <v>125</v>
      </c>
      <c r="C2588" s="241"/>
      <c r="D2588" s="102" t="s">
        <v>126</v>
      </c>
      <c r="E2588" s="109" t="s">
        <v>127</v>
      </c>
      <c r="F2588" s="102" t="s">
        <v>128</v>
      </c>
    </row>
    <row r="2589" spans="1:7" ht="12.4" customHeight="1">
      <c r="A2589" s="246"/>
      <c r="B2589" s="240" t="s">
        <v>129</v>
      </c>
      <c r="C2589" s="241"/>
      <c r="D2589" s="102">
        <v>100</v>
      </c>
      <c r="E2589" s="110" t="str" cm="1">
        <f t="array" ref="E2589:E2600">TRANSPOSE(K189:V189)</f>
        <v/>
      </c>
      <c r="F2589" s="104" t="str">
        <f>IF(E2589="","",IF(E2589&lt;D2589*60%,"Try harder",""))</f>
        <v/>
      </c>
    </row>
    <row r="2590" spans="1:7" ht="12.4" customHeight="1">
      <c r="A2590" s="246"/>
      <c r="B2590" s="242" t="s">
        <v>132</v>
      </c>
      <c r="C2590" s="133" t="str" cm="1">
        <f t="array" ref="C2590:C2599">TRANSPOSE($L$185:$U$185)</f>
        <v>Up-Low C</v>
      </c>
      <c r="D2590" s="134">
        <v>10</v>
      </c>
      <c r="E2590" s="135" t="str">
        <v/>
      </c>
      <c r="F2590" s="136" t="str">
        <f t="shared" ref="F2590:F2600" si="152">IF(E2590="","",IF(E2590&lt;D2590*60%,"Try harder",""))</f>
        <v/>
      </c>
    </row>
    <row r="2591" spans="1:7" ht="12.4" customHeight="1">
      <c r="A2591" s="246"/>
      <c r="B2591" s="243"/>
      <c r="C2591" s="137" t="str">
        <v>Alphabet N</v>
      </c>
      <c r="D2591" s="138">
        <v>10</v>
      </c>
      <c r="E2591" s="139" t="str">
        <v/>
      </c>
      <c r="F2591" s="140" t="str">
        <f t="shared" si="152"/>
        <v/>
      </c>
    </row>
    <row r="2592" spans="1:7" ht="12.4" customHeight="1">
      <c r="A2592" s="246"/>
      <c r="B2592" s="243"/>
      <c r="C2592" s="137" t="str">
        <v>Alphabet S</v>
      </c>
      <c r="D2592" s="138">
        <v>10</v>
      </c>
      <c r="E2592" s="139" t="str">
        <v/>
      </c>
      <c r="F2592" s="140" t="str">
        <f t="shared" si="152"/>
        <v/>
      </c>
    </row>
    <row r="2593" spans="1:7" ht="12.4" customHeight="1">
      <c r="A2593" s="246"/>
      <c r="B2593" s="243"/>
      <c r="C2593" s="137" t="str">
        <v>Vocabulary</v>
      </c>
      <c r="D2593" s="138">
        <v>10</v>
      </c>
      <c r="E2593" s="139" t="str">
        <v/>
      </c>
      <c r="F2593" s="140" t="str">
        <f t="shared" si="152"/>
        <v/>
      </c>
    </row>
    <row r="2594" spans="1:7" ht="12.4" customHeight="1">
      <c r="A2594" s="247" t="s">
        <v>131</v>
      </c>
      <c r="B2594" s="243"/>
      <c r="C2594" s="137" t="str">
        <v>Sprouts</v>
      </c>
      <c r="D2594" s="138">
        <v>10</v>
      </c>
      <c r="E2594" s="139" t="str">
        <v/>
      </c>
      <c r="F2594" s="140" t="str">
        <f t="shared" si="152"/>
        <v/>
      </c>
    </row>
    <row r="2595" spans="1:7" ht="12.4" customHeight="1">
      <c r="A2595" s="247"/>
      <c r="B2595" s="243"/>
      <c r="C2595" s="137" t="str">
        <v>Phonics</v>
      </c>
      <c r="D2595" s="138">
        <v>10</v>
      </c>
      <c r="E2595" s="139" t="str">
        <v/>
      </c>
      <c r="F2595" s="140" t="str">
        <f t="shared" si="152"/>
        <v/>
      </c>
    </row>
    <row r="2596" spans="1:7" ht="12.4" customHeight="1">
      <c r="A2596" s="247"/>
      <c r="B2596" s="243"/>
      <c r="C2596" s="137" t="str">
        <v>Math</v>
      </c>
      <c r="D2596" s="138">
        <v>10</v>
      </c>
      <c r="E2596" s="139" t="str">
        <v/>
      </c>
      <c r="F2596" s="140" t="str">
        <f t="shared" si="152"/>
        <v/>
      </c>
    </row>
    <row r="2597" spans="1:7" ht="12.4" customHeight="1">
      <c r="A2597" s="247"/>
      <c r="B2597" s="243"/>
      <c r="C2597" s="137" t="str">
        <v>Shape</v>
      </c>
      <c r="D2597" s="138">
        <v>10</v>
      </c>
      <c r="E2597" s="139" t="str">
        <v/>
      </c>
      <c r="F2597" s="140" t="str">
        <f t="shared" si="152"/>
        <v/>
      </c>
    </row>
    <row r="2598" spans="1:7" ht="12.4" customHeight="1">
      <c r="A2598" s="247"/>
      <c r="B2598" s="243"/>
      <c r="C2598" s="137" t="str">
        <v>Science</v>
      </c>
      <c r="D2598" s="138">
        <v>10</v>
      </c>
      <c r="E2598" s="139" t="str">
        <v/>
      </c>
      <c r="F2598" s="140" t="str">
        <f t="shared" si="152"/>
        <v/>
      </c>
    </row>
    <row r="2599" spans="1:7" ht="12.4" customHeight="1">
      <c r="A2599" s="247"/>
      <c r="B2599" s="244"/>
      <c r="C2599" s="141" t="str">
        <v>Tracing</v>
      </c>
      <c r="D2599" s="142">
        <v>10</v>
      </c>
      <c r="E2599" s="143" t="str">
        <v/>
      </c>
      <c r="F2599" s="144" t="str">
        <f t="shared" si="152"/>
        <v/>
      </c>
    </row>
    <row r="2600" spans="1:7" ht="12.4" customHeight="1">
      <c r="A2600" s="248"/>
      <c r="B2600" s="240" t="s">
        <v>133</v>
      </c>
      <c r="C2600" s="241"/>
      <c r="D2600" s="103">
        <f>D2589*20%+SUM(D2590:D2599)*80%</f>
        <v>100</v>
      </c>
      <c r="E2600" s="110" t="str">
        <v/>
      </c>
      <c r="F2600" s="104" t="str">
        <f t="shared" si="152"/>
        <v/>
      </c>
    </row>
    <row r="2602" spans="1:7" ht="12.4" customHeight="1">
      <c r="A2602" s="230" t="s">
        <v>121</v>
      </c>
      <c r="B2602" s="231"/>
      <c r="C2602" s="231"/>
      <c r="D2602" s="107" t="s">
        <v>123</v>
      </c>
      <c r="E2602" s="232" t="str">
        <f>I190</f>
        <v/>
      </c>
      <c r="F2602" s="233"/>
      <c r="G2602" s="101">
        <v>190</v>
      </c>
    </row>
    <row r="2603" spans="1:7" ht="12.4" customHeight="1">
      <c r="A2603" s="105" t="s">
        <v>122</v>
      </c>
      <c r="B2603" s="234" t="str">
        <f>$K$182</f>
        <v>FEBRUARY - JULY 2026</v>
      </c>
      <c r="C2603" s="234"/>
      <c r="D2603" s="106" t="s">
        <v>124</v>
      </c>
      <c r="E2603" s="235" t="str">
        <f>$I$182</f>
        <v/>
      </c>
      <c r="F2603" s="236"/>
    </row>
    <row r="2604" spans="1:7" ht="12.4" customHeight="1">
      <c r="A2604" s="237" t="s">
        <v>130</v>
      </c>
      <c r="B2604" s="238"/>
      <c r="C2604" s="238"/>
      <c r="D2604" s="238"/>
      <c r="E2604" s="238"/>
      <c r="F2604" s="239"/>
    </row>
    <row r="2605" spans="1:7" ht="12.4" customHeight="1">
      <c r="A2605" s="245" t="s">
        <v>14</v>
      </c>
      <c r="B2605" s="240" t="s">
        <v>125</v>
      </c>
      <c r="C2605" s="241"/>
      <c r="D2605" s="102" t="s">
        <v>126</v>
      </c>
      <c r="E2605" s="109" t="s">
        <v>127</v>
      </c>
      <c r="F2605" s="102" t="s">
        <v>128</v>
      </c>
    </row>
    <row r="2606" spans="1:7" ht="12.4" customHeight="1">
      <c r="A2606" s="246"/>
      <c r="B2606" s="240" t="s">
        <v>129</v>
      </c>
      <c r="C2606" s="241"/>
      <c r="D2606" s="102">
        <v>100</v>
      </c>
      <c r="E2606" s="110" t="str" cm="1">
        <f t="array" ref="E2606:E2617">TRANSPOSE(K190:V190)</f>
        <v/>
      </c>
      <c r="F2606" s="104" t="str">
        <f>IF(E2606="","",IF(E2606&lt;D2606*60%,"Try harder",""))</f>
        <v/>
      </c>
    </row>
    <row r="2607" spans="1:7" ht="12.4" customHeight="1">
      <c r="A2607" s="246"/>
      <c r="B2607" s="242" t="s">
        <v>132</v>
      </c>
      <c r="C2607" s="133" t="str" cm="1">
        <f t="array" ref="C2607:C2616">TRANSPOSE($L$185:$U$185)</f>
        <v>Up-Low C</v>
      </c>
      <c r="D2607" s="134">
        <v>10</v>
      </c>
      <c r="E2607" s="135" t="str">
        <v/>
      </c>
      <c r="F2607" s="136" t="str">
        <f t="shared" ref="F2607:F2617" si="153">IF(E2607="","",IF(E2607&lt;D2607*60%,"Try harder",""))</f>
        <v/>
      </c>
    </row>
    <row r="2608" spans="1:7" ht="12.4" customHeight="1">
      <c r="A2608" s="246"/>
      <c r="B2608" s="243"/>
      <c r="C2608" s="137" t="str">
        <v>Alphabet N</v>
      </c>
      <c r="D2608" s="138">
        <v>10</v>
      </c>
      <c r="E2608" s="139" t="str">
        <v/>
      </c>
      <c r="F2608" s="140" t="str">
        <f t="shared" si="153"/>
        <v/>
      </c>
    </row>
    <row r="2609" spans="1:7" ht="12.4" customHeight="1">
      <c r="A2609" s="246"/>
      <c r="B2609" s="243"/>
      <c r="C2609" s="137" t="str">
        <v>Alphabet S</v>
      </c>
      <c r="D2609" s="138">
        <v>10</v>
      </c>
      <c r="E2609" s="139" t="str">
        <v/>
      </c>
      <c r="F2609" s="140" t="str">
        <f t="shared" si="153"/>
        <v/>
      </c>
    </row>
    <row r="2610" spans="1:7" ht="12.4" customHeight="1">
      <c r="A2610" s="246"/>
      <c r="B2610" s="243"/>
      <c r="C2610" s="137" t="str">
        <v>Vocabulary</v>
      </c>
      <c r="D2610" s="138">
        <v>10</v>
      </c>
      <c r="E2610" s="139" t="str">
        <v/>
      </c>
      <c r="F2610" s="140" t="str">
        <f t="shared" si="153"/>
        <v/>
      </c>
    </row>
    <row r="2611" spans="1:7" ht="12.4" customHeight="1">
      <c r="A2611" s="247" t="s">
        <v>131</v>
      </c>
      <c r="B2611" s="243"/>
      <c r="C2611" s="137" t="str">
        <v>Sprouts</v>
      </c>
      <c r="D2611" s="138">
        <v>10</v>
      </c>
      <c r="E2611" s="139" t="str">
        <v/>
      </c>
      <c r="F2611" s="140" t="str">
        <f t="shared" si="153"/>
        <v/>
      </c>
    </row>
    <row r="2612" spans="1:7" ht="12.4" customHeight="1">
      <c r="A2612" s="247"/>
      <c r="B2612" s="243"/>
      <c r="C2612" s="137" t="str">
        <v>Phonics</v>
      </c>
      <c r="D2612" s="138">
        <v>10</v>
      </c>
      <c r="E2612" s="139" t="str">
        <v/>
      </c>
      <c r="F2612" s="140" t="str">
        <f t="shared" si="153"/>
        <v/>
      </c>
    </row>
    <row r="2613" spans="1:7" ht="12.4" customHeight="1">
      <c r="A2613" s="247"/>
      <c r="B2613" s="243"/>
      <c r="C2613" s="137" t="str">
        <v>Math</v>
      </c>
      <c r="D2613" s="138">
        <v>10</v>
      </c>
      <c r="E2613" s="139" t="str">
        <v/>
      </c>
      <c r="F2613" s="140" t="str">
        <f t="shared" si="153"/>
        <v/>
      </c>
    </row>
    <row r="2614" spans="1:7" ht="12.4" customHeight="1">
      <c r="A2614" s="247"/>
      <c r="B2614" s="243"/>
      <c r="C2614" s="137" t="str">
        <v>Shape</v>
      </c>
      <c r="D2614" s="138">
        <v>10</v>
      </c>
      <c r="E2614" s="139" t="str">
        <v/>
      </c>
      <c r="F2614" s="140" t="str">
        <f t="shared" si="153"/>
        <v/>
      </c>
    </row>
    <row r="2615" spans="1:7" ht="12.4" customHeight="1">
      <c r="A2615" s="247"/>
      <c r="B2615" s="243"/>
      <c r="C2615" s="137" t="str">
        <v>Science</v>
      </c>
      <c r="D2615" s="138">
        <v>10</v>
      </c>
      <c r="E2615" s="139" t="str">
        <v/>
      </c>
      <c r="F2615" s="140" t="str">
        <f t="shared" si="153"/>
        <v/>
      </c>
    </row>
    <row r="2616" spans="1:7" ht="12.4" customHeight="1">
      <c r="A2616" s="247"/>
      <c r="B2616" s="244"/>
      <c r="C2616" s="141" t="str">
        <v>Tracing</v>
      </c>
      <c r="D2616" s="142">
        <v>10</v>
      </c>
      <c r="E2616" s="143" t="str">
        <v/>
      </c>
      <c r="F2616" s="144" t="str">
        <f t="shared" si="153"/>
        <v/>
      </c>
    </row>
    <row r="2617" spans="1:7" ht="12.4" customHeight="1">
      <c r="A2617" s="248"/>
      <c r="B2617" s="240" t="s">
        <v>133</v>
      </c>
      <c r="C2617" s="241"/>
      <c r="D2617" s="103">
        <f>D2606*20%+SUM(D2607:D2616)*80%</f>
        <v>100</v>
      </c>
      <c r="E2617" s="110" t="str">
        <v/>
      </c>
      <c r="F2617" s="104" t="str">
        <f t="shared" si="153"/>
        <v/>
      </c>
    </row>
    <row r="2619" spans="1:7" ht="12.4" customHeight="1">
      <c r="A2619" s="230" t="s">
        <v>121</v>
      </c>
      <c r="B2619" s="231"/>
      <c r="C2619" s="231"/>
      <c r="D2619" s="107" t="s">
        <v>123</v>
      </c>
      <c r="E2619" s="232" t="str">
        <f>I191</f>
        <v/>
      </c>
      <c r="F2619" s="233"/>
      <c r="G2619" s="101">
        <v>191</v>
      </c>
    </row>
    <row r="2620" spans="1:7" ht="12.4" customHeight="1">
      <c r="A2620" s="105" t="s">
        <v>122</v>
      </c>
      <c r="B2620" s="234" t="str">
        <f>$K$182</f>
        <v>FEBRUARY - JULY 2026</v>
      </c>
      <c r="C2620" s="234"/>
      <c r="D2620" s="106" t="s">
        <v>124</v>
      </c>
      <c r="E2620" s="235" t="str">
        <f>$I$182</f>
        <v/>
      </c>
      <c r="F2620" s="236"/>
    </row>
    <row r="2621" spans="1:7" ht="12.4" customHeight="1">
      <c r="A2621" s="237" t="s">
        <v>130</v>
      </c>
      <c r="B2621" s="238"/>
      <c r="C2621" s="238"/>
      <c r="D2621" s="238"/>
      <c r="E2621" s="238"/>
      <c r="F2621" s="239"/>
    </row>
    <row r="2622" spans="1:7" ht="12.4" customHeight="1">
      <c r="A2622" s="245" t="s">
        <v>14</v>
      </c>
      <c r="B2622" s="240" t="s">
        <v>125</v>
      </c>
      <c r="C2622" s="241"/>
      <c r="D2622" s="102" t="s">
        <v>126</v>
      </c>
      <c r="E2622" s="109" t="s">
        <v>127</v>
      </c>
      <c r="F2622" s="102" t="s">
        <v>128</v>
      </c>
    </row>
    <row r="2623" spans="1:7" ht="12.4" customHeight="1">
      <c r="A2623" s="246"/>
      <c r="B2623" s="240" t="s">
        <v>129</v>
      </c>
      <c r="C2623" s="241"/>
      <c r="D2623" s="102">
        <v>100</v>
      </c>
      <c r="E2623" s="110" t="str" cm="1">
        <f t="array" ref="E2623:E2634">TRANSPOSE(K191:V191)</f>
        <v/>
      </c>
      <c r="F2623" s="104" t="str">
        <f>IF(E2623="","",IF(E2623&lt;D2623*60%,"Try harder",""))</f>
        <v/>
      </c>
    </row>
    <row r="2624" spans="1:7" ht="12.4" customHeight="1">
      <c r="A2624" s="246"/>
      <c r="B2624" s="242" t="s">
        <v>132</v>
      </c>
      <c r="C2624" s="133" t="str" cm="1">
        <f t="array" ref="C2624:C2633">TRANSPOSE($L$185:$U$185)</f>
        <v>Up-Low C</v>
      </c>
      <c r="D2624" s="134">
        <v>10</v>
      </c>
      <c r="E2624" s="135" t="str">
        <v/>
      </c>
      <c r="F2624" s="136" t="str">
        <f t="shared" ref="F2624:F2634" si="154">IF(E2624="","",IF(E2624&lt;D2624*60%,"Try harder",""))</f>
        <v/>
      </c>
    </row>
    <row r="2625" spans="1:7" ht="12.4" customHeight="1">
      <c r="A2625" s="246"/>
      <c r="B2625" s="243"/>
      <c r="C2625" s="137" t="str">
        <v>Alphabet N</v>
      </c>
      <c r="D2625" s="138">
        <v>10</v>
      </c>
      <c r="E2625" s="139" t="str">
        <v/>
      </c>
      <c r="F2625" s="140" t="str">
        <f t="shared" si="154"/>
        <v/>
      </c>
    </row>
    <row r="2626" spans="1:7" ht="12.4" customHeight="1">
      <c r="A2626" s="246"/>
      <c r="B2626" s="243"/>
      <c r="C2626" s="137" t="str">
        <v>Alphabet S</v>
      </c>
      <c r="D2626" s="138">
        <v>10</v>
      </c>
      <c r="E2626" s="139" t="str">
        <v/>
      </c>
      <c r="F2626" s="140" t="str">
        <f t="shared" si="154"/>
        <v/>
      </c>
    </row>
    <row r="2627" spans="1:7" ht="12.4" customHeight="1">
      <c r="A2627" s="246"/>
      <c r="B2627" s="243"/>
      <c r="C2627" s="137" t="str">
        <v>Vocabulary</v>
      </c>
      <c r="D2627" s="138">
        <v>10</v>
      </c>
      <c r="E2627" s="139" t="str">
        <v/>
      </c>
      <c r="F2627" s="140" t="str">
        <f t="shared" si="154"/>
        <v/>
      </c>
    </row>
    <row r="2628" spans="1:7" ht="12.4" customHeight="1">
      <c r="A2628" s="247" t="s">
        <v>131</v>
      </c>
      <c r="B2628" s="243"/>
      <c r="C2628" s="137" t="str">
        <v>Sprouts</v>
      </c>
      <c r="D2628" s="138">
        <v>10</v>
      </c>
      <c r="E2628" s="139" t="str">
        <v/>
      </c>
      <c r="F2628" s="140" t="str">
        <f t="shared" si="154"/>
        <v/>
      </c>
    </row>
    <row r="2629" spans="1:7" ht="12.4" customHeight="1">
      <c r="A2629" s="247"/>
      <c r="B2629" s="243"/>
      <c r="C2629" s="137" t="str">
        <v>Phonics</v>
      </c>
      <c r="D2629" s="138">
        <v>10</v>
      </c>
      <c r="E2629" s="139" t="str">
        <v/>
      </c>
      <c r="F2629" s="140" t="str">
        <f t="shared" si="154"/>
        <v/>
      </c>
    </row>
    <row r="2630" spans="1:7" ht="12.4" customHeight="1">
      <c r="A2630" s="247"/>
      <c r="B2630" s="243"/>
      <c r="C2630" s="137" t="str">
        <v>Math</v>
      </c>
      <c r="D2630" s="138">
        <v>10</v>
      </c>
      <c r="E2630" s="139" t="str">
        <v/>
      </c>
      <c r="F2630" s="140" t="str">
        <f t="shared" si="154"/>
        <v/>
      </c>
    </row>
    <row r="2631" spans="1:7" ht="12.4" customHeight="1">
      <c r="A2631" s="247"/>
      <c r="B2631" s="243"/>
      <c r="C2631" s="137" t="str">
        <v>Shape</v>
      </c>
      <c r="D2631" s="138">
        <v>10</v>
      </c>
      <c r="E2631" s="139" t="str">
        <v/>
      </c>
      <c r="F2631" s="140" t="str">
        <f t="shared" si="154"/>
        <v/>
      </c>
    </row>
    <row r="2632" spans="1:7" ht="12.4" customHeight="1">
      <c r="A2632" s="247"/>
      <c r="B2632" s="243"/>
      <c r="C2632" s="137" t="str">
        <v>Science</v>
      </c>
      <c r="D2632" s="138">
        <v>10</v>
      </c>
      <c r="E2632" s="139" t="str">
        <v/>
      </c>
      <c r="F2632" s="140" t="str">
        <f t="shared" si="154"/>
        <v/>
      </c>
    </row>
    <row r="2633" spans="1:7" ht="12.4" customHeight="1">
      <c r="A2633" s="247"/>
      <c r="B2633" s="244"/>
      <c r="C2633" s="141" t="str">
        <v>Tracing</v>
      </c>
      <c r="D2633" s="142">
        <v>10</v>
      </c>
      <c r="E2633" s="143" t="str">
        <v/>
      </c>
      <c r="F2633" s="144" t="str">
        <f t="shared" si="154"/>
        <v/>
      </c>
    </row>
    <row r="2634" spans="1:7" ht="12.4" customHeight="1">
      <c r="A2634" s="248"/>
      <c r="B2634" s="240" t="s">
        <v>133</v>
      </c>
      <c r="C2634" s="241"/>
      <c r="D2634" s="103">
        <f>D2623*20%+SUM(D2624:D2633)*80%</f>
        <v>100</v>
      </c>
      <c r="E2634" s="110" t="str">
        <v/>
      </c>
      <c r="F2634" s="104" t="str">
        <f t="shared" si="154"/>
        <v/>
      </c>
    </row>
    <row r="2636" spans="1:7" ht="12.4" customHeight="1">
      <c r="A2636" s="230" t="s">
        <v>121</v>
      </c>
      <c r="B2636" s="231"/>
      <c r="C2636" s="231"/>
      <c r="D2636" s="107" t="s">
        <v>123</v>
      </c>
      <c r="E2636" s="232" t="str">
        <f>I192</f>
        <v/>
      </c>
      <c r="F2636" s="233"/>
      <c r="G2636" s="101">
        <v>192</v>
      </c>
    </row>
    <row r="2637" spans="1:7" ht="12.4" customHeight="1">
      <c r="A2637" s="105" t="s">
        <v>122</v>
      </c>
      <c r="B2637" s="234" t="str">
        <f>$K$182</f>
        <v>FEBRUARY - JULY 2026</v>
      </c>
      <c r="C2637" s="234"/>
      <c r="D2637" s="106" t="s">
        <v>124</v>
      </c>
      <c r="E2637" s="235" t="str">
        <f>$I$182</f>
        <v/>
      </c>
      <c r="F2637" s="236"/>
    </row>
    <row r="2638" spans="1:7" ht="12.4" customHeight="1">
      <c r="A2638" s="237" t="s">
        <v>130</v>
      </c>
      <c r="B2638" s="238"/>
      <c r="C2638" s="238"/>
      <c r="D2638" s="238"/>
      <c r="E2638" s="238"/>
      <c r="F2638" s="239"/>
    </row>
    <row r="2639" spans="1:7" ht="12.4" customHeight="1">
      <c r="A2639" s="245" t="s">
        <v>14</v>
      </c>
      <c r="B2639" s="240" t="s">
        <v>125</v>
      </c>
      <c r="C2639" s="241"/>
      <c r="D2639" s="102" t="s">
        <v>126</v>
      </c>
      <c r="E2639" s="109" t="s">
        <v>127</v>
      </c>
      <c r="F2639" s="102" t="s">
        <v>128</v>
      </c>
    </row>
    <row r="2640" spans="1:7" ht="12.4" customHeight="1">
      <c r="A2640" s="246"/>
      <c r="B2640" s="240" t="s">
        <v>129</v>
      </c>
      <c r="C2640" s="241"/>
      <c r="D2640" s="102">
        <v>100</v>
      </c>
      <c r="E2640" s="110" t="str" cm="1">
        <f t="array" ref="E2640:E2651">TRANSPOSE(K192:V192)</f>
        <v/>
      </c>
      <c r="F2640" s="104" t="str">
        <f>IF(E2640="","",IF(E2640&lt;D2640*60%,"Try harder",""))</f>
        <v/>
      </c>
    </row>
    <row r="2641" spans="1:7" ht="12.4" customHeight="1">
      <c r="A2641" s="246"/>
      <c r="B2641" s="242" t="s">
        <v>132</v>
      </c>
      <c r="C2641" s="133" t="str" cm="1">
        <f t="array" ref="C2641:C2650">TRANSPOSE($L$185:$U$185)</f>
        <v>Up-Low C</v>
      </c>
      <c r="D2641" s="134">
        <v>10</v>
      </c>
      <c r="E2641" s="135" t="str">
        <v/>
      </c>
      <c r="F2641" s="136" t="str">
        <f t="shared" ref="F2641:F2651" si="155">IF(E2641="","",IF(E2641&lt;D2641*60%,"Try harder",""))</f>
        <v/>
      </c>
    </row>
    <row r="2642" spans="1:7" ht="12.4" customHeight="1">
      <c r="A2642" s="246"/>
      <c r="B2642" s="243"/>
      <c r="C2642" s="137" t="str">
        <v>Alphabet N</v>
      </c>
      <c r="D2642" s="138">
        <v>10</v>
      </c>
      <c r="E2642" s="139" t="str">
        <v/>
      </c>
      <c r="F2642" s="140" t="str">
        <f t="shared" si="155"/>
        <v/>
      </c>
    </row>
    <row r="2643" spans="1:7" ht="12.4" customHeight="1">
      <c r="A2643" s="246"/>
      <c r="B2643" s="243"/>
      <c r="C2643" s="137" t="str">
        <v>Alphabet S</v>
      </c>
      <c r="D2643" s="138">
        <v>10</v>
      </c>
      <c r="E2643" s="139" t="str">
        <v/>
      </c>
      <c r="F2643" s="140" t="str">
        <f t="shared" si="155"/>
        <v/>
      </c>
    </row>
    <row r="2644" spans="1:7" ht="12.4" customHeight="1">
      <c r="A2644" s="246"/>
      <c r="B2644" s="243"/>
      <c r="C2644" s="137" t="str">
        <v>Vocabulary</v>
      </c>
      <c r="D2644" s="138">
        <v>10</v>
      </c>
      <c r="E2644" s="139" t="str">
        <v/>
      </c>
      <c r="F2644" s="140" t="str">
        <f t="shared" si="155"/>
        <v/>
      </c>
    </row>
    <row r="2645" spans="1:7" ht="12.4" customHeight="1">
      <c r="A2645" s="247" t="s">
        <v>131</v>
      </c>
      <c r="B2645" s="243"/>
      <c r="C2645" s="137" t="str">
        <v>Sprouts</v>
      </c>
      <c r="D2645" s="138">
        <v>10</v>
      </c>
      <c r="E2645" s="139" t="str">
        <v/>
      </c>
      <c r="F2645" s="140" t="str">
        <f t="shared" si="155"/>
        <v/>
      </c>
    </row>
    <row r="2646" spans="1:7" ht="12.4" customHeight="1">
      <c r="A2646" s="247"/>
      <c r="B2646" s="243"/>
      <c r="C2646" s="137" t="str">
        <v>Phonics</v>
      </c>
      <c r="D2646" s="138">
        <v>10</v>
      </c>
      <c r="E2646" s="139" t="str">
        <v/>
      </c>
      <c r="F2646" s="140" t="str">
        <f t="shared" si="155"/>
        <v/>
      </c>
    </row>
    <row r="2647" spans="1:7" ht="12.4" customHeight="1">
      <c r="A2647" s="247"/>
      <c r="B2647" s="243"/>
      <c r="C2647" s="137" t="str">
        <v>Math</v>
      </c>
      <c r="D2647" s="138">
        <v>10</v>
      </c>
      <c r="E2647" s="139" t="str">
        <v/>
      </c>
      <c r="F2647" s="140" t="str">
        <f t="shared" si="155"/>
        <v/>
      </c>
    </row>
    <row r="2648" spans="1:7" ht="12.4" customHeight="1">
      <c r="A2648" s="247"/>
      <c r="B2648" s="243"/>
      <c r="C2648" s="137" t="str">
        <v>Shape</v>
      </c>
      <c r="D2648" s="138">
        <v>10</v>
      </c>
      <c r="E2648" s="139" t="str">
        <v/>
      </c>
      <c r="F2648" s="140" t="str">
        <f t="shared" si="155"/>
        <v/>
      </c>
    </row>
    <row r="2649" spans="1:7" ht="12.4" customHeight="1">
      <c r="A2649" s="247"/>
      <c r="B2649" s="243"/>
      <c r="C2649" s="137" t="str">
        <v>Science</v>
      </c>
      <c r="D2649" s="138">
        <v>10</v>
      </c>
      <c r="E2649" s="139" t="str">
        <v/>
      </c>
      <c r="F2649" s="140" t="str">
        <f t="shared" si="155"/>
        <v/>
      </c>
    </row>
    <row r="2650" spans="1:7" ht="12.4" customHeight="1">
      <c r="A2650" s="247"/>
      <c r="B2650" s="244"/>
      <c r="C2650" s="141" t="str">
        <v>Tracing</v>
      </c>
      <c r="D2650" s="142">
        <v>10</v>
      </c>
      <c r="E2650" s="143" t="str">
        <v/>
      </c>
      <c r="F2650" s="144" t="str">
        <f t="shared" si="155"/>
        <v/>
      </c>
    </row>
    <row r="2651" spans="1:7" ht="12.4" customHeight="1">
      <c r="A2651" s="248"/>
      <c r="B2651" s="240" t="s">
        <v>133</v>
      </c>
      <c r="C2651" s="241"/>
      <c r="D2651" s="103">
        <f>D2640*20%+SUM(D2641:D2650)*80%</f>
        <v>100</v>
      </c>
      <c r="E2651" s="110" t="str">
        <v/>
      </c>
      <c r="F2651" s="104" t="str">
        <f t="shared" si="155"/>
        <v/>
      </c>
    </row>
    <row r="2653" spans="1:7" ht="12.4" customHeight="1">
      <c r="A2653" s="230" t="s">
        <v>121</v>
      </c>
      <c r="B2653" s="231"/>
      <c r="C2653" s="231"/>
      <c r="D2653" s="107" t="s">
        <v>123</v>
      </c>
      <c r="E2653" s="232" t="str">
        <f>I193</f>
        <v/>
      </c>
      <c r="F2653" s="233"/>
      <c r="G2653" s="101">
        <v>193</v>
      </c>
    </row>
    <row r="2654" spans="1:7" ht="12.4" customHeight="1">
      <c r="A2654" s="105" t="s">
        <v>122</v>
      </c>
      <c r="B2654" s="234" t="str">
        <f>$K$182</f>
        <v>FEBRUARY - JULY 2026</v>
      </c>
      <c r="C2654" s="234"/>
      <c r="D2654" s="106" t="s">
        <v>124</v>
      </c>
      <c r="E2654" s="235" t="str">
        <f>$I$182</f>
        <v/>
      </c>
      <c r="F2654" s="236"/>
    </row>
    <row r="2655" spans="1:7" ht="12.4" customHeight="1">
      <c r="A2655" s="237" t="s">
        <v>130</v>
      </c>
      <c r="B2655" s="238"/>
      <c r="C2655" s="238"/>
      <c r="D2655" s="238"/>
      <c r="E2655" s="238"/>
      <c r="F2655" s="239"/>
    </row>
    <row r="2656" spans="1:7" ht="12.4" customHeight="1">
      <c r="A2656" s="245" t="s">
        <v>14</v>
      </c>
      <c r="B2656" s="240" t="s">
        <v>125</v>
      </c>
      <c r="C2656" s="241"/>
      <c r="D2656" s="102" t="s">
        <v>126</v>
      </c>
      <c r="E2656" s="109" t="s">
        <v>127</v>
      </c>
      <c r="F2656" s="102" t="s">
        <v>128</v>
      </c>
    </row>
    <row r="2657" spans="1:7" ht="12.4" customHeight="1">
      <c r="A2657" s="246"/>
      <c r="B2657" s="240" t="s">
        <v>129</v>
      </c>
      <c r="C2657" s="241"/>
      <c r="D2657" s="102">
        <v>100</v>
      </c>
      <c r="E2657" s="110" t="str" cm="1">
        <f t="array" ref="E2657:E2668">TRANSPOSE(K193:V193)</f>
        <v/>
      </c>
      <c r="F2657" s="104" t="str">
        <f>IF(E2657="","",IF(E2657&lt;D2657*60%,"Try harder",""))</f>
        <v/>
      </c>
    </row>
    <row r="2658" spans="1:7" ht="12.4" customHeight="1">
      <c r="A2658" s="246"/>
      <c r="B2658" s="242" t="s">
        <v>132</v>
      </c>
      <c r="C2658" s="133" t="str" cm="1">
        <f t="array" ref="C2658:C2667">TRANSPOSE($L$185:$U$185)</f>
        <v>Up-Low C</v>
      </c>
      <c r="D2658" s="134">
        <v>10</v>
      </c>
      <c r="E2658" s="135" t="str">
        <v/>
      </c>
      <c r="F2658" s="136" t="str">
        <f t="shared" ref="F2658:F2668" si="156">IF(E2658="","",IF(E2658&lt;D2658*60%,"Try harder",""))</f>
        <v/>
      </c>
    </row>
    <row r="2659" spans="1:7" ht="12.4" customHeight="1">
      <c r="A2659" s="246"/>
      <c r="B2659" s="243"/>
      <c r="C2659" s="137" t="str">
        <v>Alphabet N</v>
      </c>
      <c r="D2659" s="138">
        <v>10</v>
      </c>
      <c r="E2659" s="139" t="str">
        <v/>
      </c>
      <c r="F2659" s="140" t="str">
        <f t="shared" si="156"/>
        <v/>
      </c>
    </row>
    <row r="2660" spans="1:7" ht="12.4" customHeight="1">
      <c r="A2660" s="246"/>
      <c r="B2660" s="243"/>
      <c r="C2660" s="137" t="str">
        <v>Alphabet S</v>
      </c>
      <c r="D2660" s="138">
        <v>10</v>
      </c>
      <c r="E2660" s="139" t="str">
        <v/>
      </c>
      <c r="F2660" s="140" t="str">
        <f t="shared" si="156"/>
        <v/>
      </c>
    </row>
    <row r="2661" spans="1:7" ht="12.4" customHeight="1">
      <c r="A2661" s="246"/>
      <c r="B2661" s="243"/>
      <c r="C2661" s="137" t="str">
        <v>Vocabulary</v>
      </c>
      <c r="D2661" s="138">
        <v>10</v>
      </c>
      <c r="E2661" s="139" t="str">
        <v/>
      </c>
      <c r="F2661" s="140" t="str">
        <f t="shared" si="156"/>
        <v/>
      </c>
    </row>
    <row r="2662" spans="1:7" ht="12.4" customHeight="1">
      <c r="A2662" s="247" t="s">
        <v>131</v>
      </c>
      <c r="B2662" s="243"/>
      <c r="C2662" s="137" t="str">
        <v>Sprouts</v>
      </c>
      <c r="D2662" s="138">
        <v>10</v>
      </c>
      <c r="E2662" s="139" t="str">
        <v/>
      </c>
      <c r="F2662" s="140" t="str">
        <f t="shared" si="156"/>
        <v/>
      </c>
    </row>
    <row r="2663" spans="1:7" ht="12.4" customHeight="1">
      <c r="A2663" s="247"/>
      <c r="B2663" s="243"/>
      <c r="C2663" s="137" t="str">
        <v>Phonics</v>
      </c>
      <c r="D2663" s="138">
        <v>10</v>
      </c>
      <c r="E2663" s="139" t="str">
        <v/>
      </c>
      <c r="F2663" s="140" t="str">
        <f t="shared" si="156"/>
        <v/>
      </c>
    </row>
    <row r="2664" spans="1:7" ht="12.4" customHeight="1">
      <c r="A2664" s="247"/>
      <c r="B2664" s="243"/>
      <c r="C2664" s="137" t="str">
        <v>Math</v>
      </c>
      <c r="D2664" s="138">
        <v>10</v>
      </c>
      <c r="E2664" s="139" t="str">
        <v/>
      </c>
      <c r="F2664" s="140" t="str">
        <f t="shared" si="156"/>
        <v/>
      </c>
    </row>
    <row r="2665" spans="1:7" ht="12.4" customHeight="1">
      <c r="A2665" s="247"/>
      <c r="B2665" s="243"/>
      <c r="C2665" s="137" t="str">
        <v>Shape</v>
      </c>
      <c r="D2665" s="138">
        <v>10</v>
      </c>
      <c r="E2665" s="139" t="str">
        <v/>
      </c>
      <c r="F2665" s="140" t="str">
        <f t="shared" si="156"/>
        <v/>
      </c>
    </row>
    <row r="2666" spans="1:7" ht="12.4" customHeight="1">
      <c r="A2666" s="247"/>
      <c r="B2666" s="243"/>
      <c r="C2666" s="137" t="str">
        <v>Science</v>
      </c>
      <c r="D2666" s="138">
        <v>10</v>
      </c>
      <c r="E2666" s="139" t="str">
        <v/>
      </c>
      <c r="F2666" s="140" t="str">
        <f t="shared" si="156"/>
        <v/>
      </c>
    </row>
    <row r="2667" spans="1:7" ht="12.4" customHeight="1">
      <c r="A2667" s="247"/>
      <c r="B2667" s="244"/>
      <c r="C2667" s="141" t="str">
        <v>Tracing</v>
      </c>
      <c r="D2667" s="142">
        <v>10</v>
      </c>
      <c r="E2667" s="143" t="str">
        <v/>
      </c>
      <c r="F2667" s="144" t="str">
        <f t="shared" si="156"/>
        <v/>
      </c>
    </row>
    <row r="2668" spans="1:7" ht="12.4" customHeight="1">
      <c r="A2668" s="248"/>
      <c r="B2668" s="240" t="s">
        <v>133</v>
      </c>
      <c r="C2668" s="241"/>
      <c r="D2668" s="103">
        <f>D2657*20%+SUM(D2658:D2667)*80%</f>
        <v>100</v>
      </c>
      <c r="E2668" s="110" t="str">
        <v/>
      </c>
      <c r="F2668" s="104" t="str">
        <f t="shared" si="156"/>
        <v/>
      </c>
    </row>
    <row r="2670" spans="1:7" ht="12.4" customHeight="1">
      <c r="A2670" s="230" t="s">
        <v>121</v>
      </c>
      <c r="B2670" s="231"/>
      <c r="C2670" s="231"/>
      <c r="D2670" s="107" t="s">
        <v>123</v>
      </c>
      <c r="E2670" s="232" t="str">
        <f>I194</f>
        <v/>
      </c>
      <c r="F2670" s="233"/>
      <c r="G2670" s="101">
        <v>194</v>
      </c>
    </row>
    <row r="2671" spans="1:7" ht="12.4" customHeight="1">
      <c r="A2671" s="105" t="s">
        <v>122</v>
      </c>
      <c r="B2671" s="234" t="str">
        <f>$K$182</f>
        <v>FEBRUARY - JULY 2026</v>
      </c>
      <c r="C2671" s="234"/>
      <c r="D2671" s="106" t="s">
        <v>124</v>
      </c>
      <c r="E2671" s="235" t="str">
        <f>$I$182</f>
        <v/>
      </c>
      <c r="F2671" s="236"/>
    </row>
    <row r="2672" spans="1:7" ht="12.4" customHeight="1">
      <c r="A2672" s="237" t="s">
        <v>130</v>
      </c>
      <c r="B2672" s="238"/>
      <c r="C2672" s="238"/>
      <c r="D2672" s="238"/>
      <c r="E2672" s="238"/>
      <c r="F2672" s="239"/>
    </row>
    <row r="2673" spans="1:7" ht="12.4" customHeight="1">
      <c r="A2673" s="245" t="s">
        <v>14</v>
      </c>
      <c r="B2673" s="240" t="s">
        <v>125</v>
      </c>
      <c r="C2673" s="241"/>
      <c r="D2673" s="102" t="s">
        <v>126</v>
      </c>
      <c r="E2673" s="109" t="s">
        <v>127</v>
      </c>
      <c r="F2673" s="102" t="s">
        <v>128</v>
      </c>
    </row>
    <row r="2674" spans="1:7" ht="12.4" customHeight="1">
      <c r="A2674" s="246"/>
      <c r="B2674" s="240" t="s">
        <v>129</v>
      </c>
      <c r="C2674" s="241"/>
      <c r="D2674" s="102">
        <v>100</v>
      </c>
      <c r="E2674" s="110" t="str" cm="1">
        <f t="array" ref="E2674:E2685">TRANSPOSE(K194:V194)</f>
        <v/>
      </c>
      <c r="F2674" s="104" t="str">
        <f>IF(E2674="","",IF(E2674&lt;D2674*60%,"Try harder",""))</f>
        <v/>
      </c>
    </row>
    <row r="2675" spans="1:7" ht="12.4" customHeight="1">
      <c r="A2675" s="246"/>
      <c r="B2675" s="242" t="s">
        <v>132</v>
      </c>
      <c r="C2675" s="133" t="str" cm="1">
        <f t="array" ref="C2675:C2684">TRANSPOSE($L$185:$U$185)</f>
        <v>Up-Low C</v>
      </c>
      <c r="D2675" s="134">
        <v>10</v>
      </c>
      <c r="E2675" s="135" t="str">
        <v/>
      </c>
      <c r="F2675" s="136" t="str">
        <f t="shared" ref="F2675:F2685" si="157">IF(E2675="","",IF(E2675&lt;D2675*60%,"Try harder",""))</f>
        <v/>
      </c>
    </row>
    <row r="2676" spans="1:7" ht="12.4" customHeight="1">
      <c r="A2676" s="246"/>
      <c r="B2676" s="243"/>
      <c r="C2676" s="137" t="str">
        <v>Alphabet N</v>
      </c>
      <c r="D2676" s="138">
        <v>10</v>
      </c>
      <c r="E2676" s="139" t="str">
        <v/>
      </c>
      <c r="F2676" s="140" t="str">
        <f t="shared" si="157"/>
        <v/>
      </c>
    </row>
    <row r="2677" spans="1:7" ht="12.4" customHeight="1">
      <c r="A2677" s="246"/>
      <c r="B2677" s="243"/>
      <c r="C2677" s="137" t="str">
        <v>Alphabet S</v>
      </c>
      <c r="D2677" s="138">
        <v>10</v>
      </c>
      <c r="E2677" s="139" t="str">
        <v/>
      </c>
      <c r="F2677" s="140" t="str">
        <f t="shared" si="157"/>
        <v/>
      </c>
    </row>
    <row r="2678" spans="1:7" ht="12.4" customHeight="1">
      <c r="A2678" s="246"/>
      <c r="B2678" s="243"/>
      <c r="C2678" s="137" t="str">
        <v>Vocabulary</v>
      </c>
      <c r="D2678" s="138">
        <v>10</v>
      </c>
      <c r="E2678" s="139" t="str">
        <v/>
      </c>
      <c r="F2678" s="140" t="str">
        <f t="shared" si="157"/>
        <v/>
      </c>
    </row>
    <row r="2679" spans="1:7" ht="12.4" customHeight="1">
      <c r="A2679" s="247" t="s">
        <v>131</v>
      </c>
      <c r="B2679" s="243"/>
      <c r="C2679" s="137" t="str">
        <v>Sprouts</v>
      </c>
      <c r="D2679" s="138">
        <v>10</v>
      </c>
      <c r="E2679" s="139" t="str">
        <v/>
      </c>
      <c r="F2679" s="140" t="str">
        <f t="shared" si="157"/>
        <v/>
      </c>
    </row>
    <row r="2680" spans="1:7" ht="12.4" customHeight="1">
      <c r="A2680" s="247"/>
      <c r="B2680" s="243"/>
      <c r="C2680" s="137" t="str">
        <v>Phonics</v>
      </c>
      <c r="D2680" s="138">
        <v>10</v>
      </c>
      <c r="E2680" s="139" t="str">
        <v/>
      </c>
      <c r="F2680" s="140" t="str">
        <f t="shared" si="157"/>
        <v/>
      </c>
    </row>
    <row r="2681" spans="1:7" ht="12.4" customHeight="1">
      <c r="A2681" s="247"/>
      <c r="B2681" s="243"/>
      <c r="C2681" s="137" t="str">
        <v>Math</v>
      </c>
      <c r="D2681" s="138">
        <v>10</v>
      </c>
      <c r="E2681" s="139" t="str">
        <v/>
      </c>
      <c r="F2681" s="140" t="str">
        <f t="shared" si="157"/>
        <v/>
      </c>
    </row>
    <row r="2682" spans="1:7" ht="12.4" customHeight="1">
      <c r="A2682" s="247"/>
      <c r="B2682" s="243"/>
      <c r="C2682" s="137" t="str">
        <v>Shape</v>
      </c>
      <c r="D2682" s="138">
        <v>10</v>
      </c>
      <c r="E2682" s="139" t="str">
        <v/>
      </c>
      <c r="F2682" s="140" t="str">
        <f t="shared" si="157"/>
        <v/>
      </c>
    </row>
    <row r="2683" spans="1:7" ht="12.4" customHeight="1">
      <c r="A2683" s="247"/>
      <c r="B2683" s="243"/>
      <c r="C2683" s="137" t="str">
        <v>Science</v>
      </c>
      <c r="D2683" s="138">
        <v>10</v>
      </c>
      <c r="E2683" s="139" t="str">
        <v/>
      </c>
      <c r="F2683" s="140" t="str">
        <f t="shared" si="157"/>
        <v/>
      </c>
    </row>
    <row r="2684" spans="1:7" ht="12.4" customHeight="1">
      <c r="A2684" s="247"/>
      <c r="B2684" s="244"/>
      <c r="C2684" s="141" t="str">
        <v>Tracing</v>
      </c>
      <c r="D2684" s="142">
        <v>10</v>
      </c>
      <c r="E2684" s="143" t="str">
        <v/>
      </c>
      <c r="F2684" s="144" t="str">
        <f t="shared" si="157"/>
        <v/>
      </c>
    </row>
    <row r="2685" spans="1:7" ht="12.4" customHeight="1">
      <c r="A2685" s="248"/>
      <c r="B2685" s="240" t="s">
        <v>133</v>
      </c>
      <c r="C2685" s="241"/>
      <c r="D2685" s="103">
        <f>D2674*20%+SUM(D2675:D2684)*80%</f>
        <v>100</v>
      </c>
      <c r="E2685" s="110" t="str">
        <v/>
      </c>
      <c r="F2685" s="104" t="str">
        <f t="shared" si="157"/>
        <v/>
      </c>
    </row>
    <row r="2687" spans="1:7" ht="12.4" customHeight="1">
      <c r="A2687" s="230" t="s">
        <v>121</v>
      </c>
      <c r="B2687" s="231"/>
      <c r="C2687" s="231"/>
      <c r="D2687" s="107" t="s">
        <v>123</v>
      </c>
      <c r="E2687" s="232" t="str">
        <f>I195</f>
        <v/>
      </c>
      <c r="F2687" s="233"/>
      <c r="G2687" s="101">
        <v>195</v>
      </c>
    </row>
    <row r="2688" spans="1:7" ht="12.4" customHeight="1">
      <c r="A2688" s="105" t="s">
        <v>122</v>
      </c>
      <c r="B2688" s="234" t="str">
        <f>$K$182</f>
        <v>FEBRUARY - JULY 2026</v>
      </c>
      <c r="C2688" s="234"/>
      <c r="D2688" s="106" t="s">
        <v>124</v>
      </c>
      <c r="E2688" s="235" t="str">
        <f>$I$182</f>
        <v/>
      </c>
      <c r="F2688" s="236"/>
    </row>
    <row r="2689" spans="1:7" ht="12.4" customHeight="1">
      <c r="A2689" s="237" t="s">
        <v>130</v>
      </c>
      <c r="B2689" s="238"/>
      <c r="C2689" s="238"/>
      <c r="D2689" s="238"/>
      <c r="E2689" s="238"/>
      <c r="F2689" s="239"/>
    </row>
    <row r="2690" spans="1:7" ht="12.4" customHeight="1">
      <c r="A2690" s="245" t="s">
        <v>14</v>
      </c>
      <c r="B2690" s="240" t="s">
        <v>125</v>
      </c>
      <c r="C2690" s="241"/>
      <c r="D2690" s="102" t="s">
        <v>126</v>
      </c>
      <c r="E2690" s="109" t="s">
        <v>127</v>
      </c>
      <c r="F2690" s="102" t="s">
        <v>128</v>
      </c>
    </row>
    <row r="2691" spans="1:7" ht="12.4" customHeight="1">
      <c r="A2691" s="246"/>
      <c r="B2691" s="240" t="s">
        <v>129</v>
      </c>
      <c r="C2691" s="241"/>
      <c r="D2691" s="102">
        <v>100</v>
      </c>
      <c r="E2691" s="110" t="str" cm="1">
        <f t="array" ref="E2691:E2702">TRANSPOSE(K195:V195)</f>
        <v/>
      </c>
      <c r="F2691" s="104" t="str">
        <f>IF(E2691="","",IF(E2691&lt;D2691*60%,"Try harder",""))</f>
        <v/>
      </c>
    </row>
    <row r="2692" spans="1:7" ht="12.4" customHeight="1">
      <c r="A2692" s="246"/>
      <c r="B2692" s="242" t="s">
        <v>132</v>
      </c>
      <c r="C2692" s="133" t="str" cm="1">
        <f t="array" ref="C2692:C2701">TRANSPOSE($L$185:$U$185)</f>
        <v>Up-Low C</v>
      </c>
      <c r="D2692" s="134">
        <v>10</v>
      </c>
      <c r="E2692" s="135" t="str">
        <v/>
      </c>
      <c r="F2692" s="136" t="str">
        <f t="shared" ref="F2692:F2702" si="158">IF(E2692="","",IF(E2692&lt;D2692*60%,"Try harder",""))</f>
        <v/>
      </c>
    </row>
    <row r="2693" spans="1:7" ht="12.4" customHeight="1">
      <c r="A2693" s="246"/>
      <c r="B2693" s="243"/>
      <c r="C2693" s="137" t="str">
        <v>Alphabet N</v>
      </c>
      <c r="D2693" s="138">
        <v>10</v>
      </c>
      <c r="E2693" s="139" t="str">
        <v/>
      </c>
      <c r="F2693" s="140" t="str">
        <f t="shared" si="158"/>
        <v/>
      </c>
    </row>
    <row r="2694" spans="1:7" ht="12.4" customHeight="1">
      <c r="A2694" s="246"/>
      <c r="B2694" s="243"/>
      <c r="C2694" s="137" t="str">
        <v>Alphabet S</v>
      </c>
      <c r="D2694" s="138">
        <v>10</v>
      </c>
      <c r="E2694" s="139" t="str">
        <v/>
      </c>
      <c r="F2694" s="140" t="str">
        <f t="shared" si="158"/>
        <v/>
      </c>
    </row>
    <row r="2695" spans="1:7" ht="12.4" customHeight="1">
      <c r="A2695" s="246"/>
      <c r="B2695" s="243"/>
      <c r="C2695" s="137" t="str">
        <v>Vocabulary</v>
      </c>
      <c r="D2695" s="138">
        <v>10</v>
      </c>
      <c r="E2695" s="139" t="str">
        <v/>
      </c>
      <c r="F2695" s="140" t="str">
        <f t="shared" si="158"/>
        <v/>
      </c>
    </row>
    <row r="2696" spans="1:7" ht="12.4" customHeight="1">
      <c r="A2696" s="247" t="s">
        <v>131</v>
      </c>
      <c r="B2696" s="243"/>
      <c r="C2696" s="137" t="str">
        <v>Sprouts</v>
      </c>
      <c r="D2696" s="138">
        <v>10</v>
      </c>
      <c r="E2696" s="139" t="str">
        <v/>
      </c>
      <c r="F2696" s="140" t="str">
        <f t="shared" si="158"/>
        <v/>
      </c>
    </row>
    <row r="2697" spans="1:7" ht="12.4" customHeight="1">
      <c r="A2697" s="247"/>
      <c r="B2697" s="243"/>
      <c r="C2697" s="137" t="str">
        <v>Phonics</v>
      </c>
      <c r="D2697" s="138">
        <v>10</v>
      </c>
      <c r="E2697" s="139" t="str">
        <v/>
      </c>
      <c r="F2697" s="140" t="str">
        <f t="shared" si="158"/>
        <v/>
      </c>
    </row>
    <row r="2698" spans="1:7" ht="12.4" customHeight="1">
      <c r="A2698" s="247"/>
      <c r="B2698" s="243"/>
      <c r="C2698" s="137" t="str">
        <v>Math</v>
      </c>
      <c r="D2698" s="138">
        <v>10</v>
      </c>
      <c r="E2698" s="139" t="str">
        <v/>
      </c>
      <c r="F2698" s="140" t="str">
        <f t="shared" si="158"/>
        <v/>
      </c>
    </row>
    <row r="2699" spans="1:7" ht="12.4" customHeight="1">
      <c r="A2699" s="247"/>
      <c r="B2699" s="243"/>
      <c r="C2699" s="137" t="str">
        <v>Shape</v>
      </c>
      <c r="D2699" s="138">
        <v>10</v>
      </c>
      <c r="E2699" s="139" t="str">
        <v/>
      </c>
      <c r="F2699" s="140" t="str">
        <f t="shared" si="158"/>
        <v/>
      </c>
    </row>
    <row r="2700" spans="1:7" ht="12.4" customHeight="1">
      <c r="A2700" s="247"/>
      <c r="B2700" s="243"/>
      <c r="C2700" s="137" t="str">
        <v>Science</v>
      </c>
      <c r="D2700" s="138">
        <v>10</v>
      </c>
      <c r="E2700" s="139" t="str">
        <v/>
      </c>
      <c r="F2700" s="140" t="str">
        <f t="shared" si="158"/>
        <v/>
      </c>
    </row>
    <row r="2701" spans="1:7" ht="12.4" customHeight="1">
      <c r="A2701" s="247"/>
      <c r="B2701" s="244"/>
      <c r="C2701" s="141" t="str">
        <v>Tracing</v>
      </c>
      <c r="D2701" s="142">
        <v>10</v>
      </c>
      <c r="E2701" s="143" t="str">
        <v/>
      </c>
      <c r="F2701" s="144" t="str">
        <f t="shared" si="158"/>
        <v/>
      </c>
    </row>
    <row r="2702" spans="1:7" ht="12.4" customHeight="1">
      <c r="A2702" s="248"/>
      <c r="B2702" s="240" t="s">
        <v>133</v>
      </c>
      <c r="C2702" s="241"/>
      <c r="D2702" s="103">
        <f>D2691*20%+SUM(D2692:D2701)*80%</f>
        <v>100</v>
      </c>
      <c r="E2702" s="110" t="str">
        <v/>
      </c>
      <c r="F2702" s="104" t="str">
        <f t="shared" si="158"/>
        <v/>
      </c>
    </row>
    <row r="2704" spans="1:7" ht="12.4" customHeight="1">
      <c r="A2704" s="230" t="s">
        <v>121</v>
      </c>
      <c r="B2704" s="231"/>
      <c r="C2704" s="231"/>
      <c r="D2704" s="107" t="s">
        <v>123</v>
      </c>
      <c r="E2704" s="232" t="str">
        <f>I196</f>
        <v/>
      </c>
      <c r="F2704" s="233"/>
      <c r="G2704" s="101">
        <v>196</v>
      </c>
    </row>
    <row r="2705" spans="1:6" ht="12.4" customHeight="1">
      <c r="A2705" s="105" t="s">
        <v>122</v>
      </c>
      <c r="B2705" s="234" t="str">
        <f>$K$182</f>
        <v>FEBRUARY - JULY 2026</v>
      </c>
      <c r="C2705" s="234"/>
      <c r="D2705" s="106" t="s">
        <v>124</v>
      </c>
      <c r="E2705" s="235" t="str">
        <f>$I$182</f>
        <v/>
      </c>
      <c r="F2705" s="236"/>
    </row>
    <row r="2706" spans="1:6" ht="12.4" customHeight="1">
      <c r="A2706" s="237" t="s">
        <v>130</v>
      </c>
      <c r="B2706" s="238"/>
      <c r="C2706" s="238"/>
      <c r="D2706" s="238"/>
      <c r="E2706" s="238"/>
      <c r="F2706" s="239"/>
    </row>
    <row r="2707" spans="1:6" ht="12.4" customHeight="1">
      <c r="A2707" s="245" t="s">
        <v>14</v>
      </c>
      <c r="B2707" s="240" t="s">
        <v>125</v>
      </c>
      <c r="C2707" s="241"/>
      <c r="D2707" s="102" t="s">
        <v>126</v>
      </c>
      <c r="E2707" s="109" t="s">
        <v>127</v>
      </c>
      <c r="F2707" s="102" t="s">
        <v>128</v>
      </c>
    </row>
    <row r="2708" spans="1:6" ht="12.4" customHeight="1">
      <c r="A2708" s="246"/>
      <c r="B2708" s="240" t="s">
        <v>129</v>
      </c>
      <c r="C2708" s="241"/>
      <c r="D2708" s="102">
        <v>100</v>
      </c>
      <c r="E2708" s="110" t="str" cm="1">
        <f t="array" ref="E2708:E2719">TRANSPOSE(K196:V196)</f>
        <v/>
      </c>
      <c r="F2708" s="104" t="str">
        <f>IF(E2708="","",IF(E2708&lt;D2708*60%,"Try harder",""))</f>
        <v/>
      </c>
    </row>
    <row r="2709" spans="1:6" ht="12.4" customHeight="1">
      <c r="A2709" s="246"/>
      <c r="B2709" s="242" t="s">
        <v>132</v>
      </c>
      <c r="C2709" s="133" t="str" cm="1">
        <f t="array" ref="C2709:C2718">TRANSPOSE($L$185:$U$185)</f>
        <v>Up-Low C</v>
      </c>
      <c r="D2709" s="134">
        <v>10</v>
      </c>
      <c r="E2709" s="135" t="str">
        <v/>
      </c>
      <c r="F2709" s="136" t="str">
        <f t="shared" ref="F2709:F2719" si="159">IF(E2709="","",IF(E2709&lt;D2709*60%,"Try harder",""))</f>
        <v/>
      </c>
    </row>
    <row r="2710" spans="1:6" ht="12.4" customHeight="1">
      <c r="A2710" s="246"/>
      <c r="B2710" s="243"/>
      <c r="C2710" s="137" t="str">
        <v>Alphabet N</v>
      </c>
      <c r="D2710" s="138">
        <v>10</v>
      </c>
      <c r="E2710" s="139" t="str">
        <v/>
      </c>
      <c r="F2710" s="140" t="str">
        <f t="shared" si="159"/>
        <v/>
      </c>
    </row>
    <row r="2711" spans="1:6" ht="12.4" customHeight="1">
      <c r="A2711" s="246"/>
      <c r="B2711" s="243"/>
      <c r="C2711" s="137" t="str">
        <v>Alphabet S</v>
      </c>
      <c r="D2711" s="138">
        <v>10</v>
      </c>
      <c r="E2711" s="139" t="str">
        <v/>
      </c>
      <c r="F2711" s="140" t="str">
        <f t="shared" si="159"/>
        <v/>
      </c>
    </row>
    <row r="2712" spans="1:6" ht="12.4" customHeight="1">
      <c r="A2712" s="246"/>
      <c r="B2712" s="243"/>
      <c r="C2712" s="137" t="str">
        <v>Vocabulary</v>
      </c>
      <c r="D2712" s="138">
        <v>10</v>
      </c>
      <c r="E2712" s="139" t="str">
        <v/>
      </c>
      <c r="F2712" s="140" t="str">
        <f t="shared" si="159"/>
        <v/>
      </c>
    </row>
    <row r="2713" spans="1:6" ht="12.4" customHeight="1">
      <c r="A2713" s="247" t="s">
        <v>131</v>
      </c>
      <c r="B2713" s="243"/>
      <c r="C2713" s="137" t="str">
        <v>Sprouts</v>
      </c>
      <c r="D2713" s="138">
        <v>10</v>
      </c>
      <c r="E2713" s="139" t="str">
        <v/>
      </c>
      <c r="F2713" s="140" t="str">
        <f t="shared" si="159"/>
        <v/>
      </c>
    </row>
    <row r="2714" spans="1:6" ht="12.4" customHeight="1">
      <c r="A2714" s="247"/>
      <c r="B2714" s="243"/>
      <c r="C2714" s="137" t="str">
        <v>Phonics</v>
      </c>
      <c r="D2714" s="138">
        <v>10</v>
      </c>
      <c r="E2714" s="139" t="str">
        <v/>
      </c>
      <c r="F2714" s="140" t="str">
        <f t="shared" si="159"/>
        <v/>
      </c>
    </row>
    <row r="2715" spans="1:6" ht="12.4" customHeight="1">
      <c r="A2715" s="247"/>
      <c r="B2715" s="243"/>
      <c r="C2715" s="137" t="str">
        <v>Math</v>
      </c>
      <c r="D2715" s="138">
        <v>10</v>
      </c>
      <c r="E2715" s="139" t="str">
        <v/>
      </c>
      <c r="F2715" s="140" t="str">
        <f t="shared" si="159"/>
        <v/>
      </c>
    </row>
    <row r="2716" spans="1:6" ht="12.4" customHeight="1">
      <c r="A2716" s="247"/>
      <c r="B2716" s="243"/>
      <c r="C2716" s="137" t="str">
        <v>Shape</v>
      </c>
      <c r="D2716" s="138">
        <v>10</v>
      </c>
      <c r="E2716" s="139" t="str">
        <v/>
      </c>
      <c r="F2716" s="140" t="str">
        <f t="shared" si="159"/>
        <v/>
      </c>
    </row>
    <row r="2717" spans="1:6" ht="12.4" customHeight="1">
      <c r="A2717" s="247"/>
      <c r="B2717" s="243"/>
      <c r="C2717" s="137" t="str">
        <v>Science</v>
      </c>
      <c r="D2717" s="138">
        <v>10</v>
      </c>
      <c r="E2717" s="139" t="str">
        <v/>
      </c>
      <c r="F2717" s="140" t="str">
        <f t="shared" si="159"/>
        <v/>
      </c>
    </row>
    <row r="2718" spans="1:6" ht="12.4" customHeight="1">
      <c r="A2718" s="247"/>
      <c r="B2718" s="244"/>
      <c r="C2718" s="141" t="str">
        <v>Tracing</v>
      </c>
      <c r="D2718" s="142">
        <v>10</v>
      </c>
      <c r="E2718" s="143" t="str">
        <v/>
      </c>
      <c r="F2718" s="144" t="str">
        <f t="shared" si="159"/>
        <v/>
      </c>
    </row>
    <row r="2719" spans="1:6" ht="12.4" customHeight="1">
      <c r="A2719" s="248"/>
      <c r="B2719" s="240" t="s">
        <v>133</v>
      </c>
      <c r="C2719" s="241"/>
      <c r="D2719" s="103">
        <f>D2708*20%+SUM(D2709:D2718)*80%</f>
        <v>100</v>
      </c>
      <c r="E2719" s="110" t="str">
        <v/>
      </c>
      <c r="F2719" s="104" t="str">
        <f t="shared" si="159"/>
        <v/>
      </c>
    </row>
    <row r="2721" spans="1:7" ht="12.4" customHeight="1">
      <c r="A2721" s="230" t="s">
        <v>121</v>
      </c>
      <c r="B2721" s="231"/>
      <c r="C2721" s="231"/>
      <c r="D2721" s="107" t="s">
        <v>123</v>
      </c>
      <c r="E2721" s="232" t="str">
        <f>I197</f>
        <v/>
      </c>
      <c r="F2721" s="233"/>
      <c r="G2721" s="101">
        <v>197</v>
      </c>
    </row>
    <row r="2722" spans="1:7" ht="12.4" customHeight="1">
      <c r="A2722" s="105" t="s">
        <v>122</v>
      </c>
      <c r="B2722" s="234" t="str">
        <f>$K$182</f>
        <v>FEBRUARY - JULY 2026</v>
      </c>
      <c r="C2722" s="234"/>
      <c r="D2722" s="106" t="s">
        <v>124</v>
      </c>
      <c r="E2722" s="235" t="str">
        <f>$I$182</f>
        <v/>
      </c>
      <c r="F2722" s="236"/>
    </row>
    <row r="2723" spans="1:7" ht="12.4" customHeight="1">
      <c r="A2723" s="237" t="s">
        <v>130</v>
      </c>
      <c r="B2723" s="238"/>
      <c r="C2723" s="238"/>
      <c r="D2723" s="238"/>
      <c r="E2723" s="238"/>
      <c r="F2723" s="239"/>
    </row>
    <row r="2724" spans="1:7" ht="12.4" customHeight="1">
      <c r="A2724" s="245" t="s">
        <v>14</v>
      </c>
      <c r="B2724" s="240" t="s">
        <v>125</v>
      </c>
      <c r="C2724" s="241"/>
      <c r="D2724" s="102" t="s">
        <v>126</v>
      </c>
      <c r="E2724" s="109" t="s">
        <v>127</v>
      </c>
      <c r="F2724" s="102" t="s">
        <v>128</v>
      </c>
    </row>
    <row r="2725" spans="1:7" ht="12.4" customHeight="1">
      <c r="A2725" s="246"/>
      <c r="B2725" s="240" t="s">
        <v>129</v>
      </c>
      <c r="C2725" s="241"/>
      <c r="D2725" s="102">
        <v>100</v>
      </c>
      <c r="E2725" s="110" t="str" cm="1">
        <f t="array" ref="E2725:E2736">TRANSPOSE(K197:V197)</f>
        <v/>
      </c>
      <c r="F2725" s="104" t="str">
        <f>IF(E2725="","",IF(E2725&lt;D2725*60%,"Try harder",""))</f>
        <v/>
      </c>
    </row>
    <row r="2726" spans="1:7" ht="12.4" customHeight="1">
      <c r="A2726" s="246"/>
      <c r="B2726" s="242" t="s">
        <v>132</v>
      </c>
      <c r="C2726" s="133" t="str" cm="1">
        <f t="array" ref="C2726:C2735">TRANSPOSE($L$185:$U$185)</f>
        <v>Up-Low C</v>
      </c>
      <c r="D2726" s="134">
        <v>10</v>
      </c>
      <c r="E2726" s="135" t="str">
        <v/>
      </c>
      <c r="F2726" s="136" t="str">
        <f t="shared" ref="F2726:F2736" si="160">IF(E2726="","",IF(E2726&lt;D2726*60%,"Try harder",""))</f>
        <v/>
      </c>
    </row>
    <row r="2727" spans="1:7" ht="12.4" customHeight="1">
      <c r="A2727" s="246"/>
      <c r="B2727" s="243"/>
      <c r="C2727" s="137" t="str">
        <v>Alphabet N</v>
      </c>
      <c r="D2727" s="138">
        <v>10</v>
      </c>
      <c r="E2727" s="139" t="str">
        <v/>
      </c>
      <c r="F2727" s="140" t="str">
        <f t="shared" si="160"/>
        <v/>
      </c>
    </row>
    <row r="2728" spans="1:7" ht="12.4" customHeight="1">
      <c r="A2728" s="246"/>
      <c r="B2728" s="243"/>
      <c r="C2728" s="137" t="str">
        <v>Alphabet S</v>
      </c>
      <c r="D2728" s="138">
        <v>10</v>
      </c>
      <c r="E2728" s="139" t="str">
        <v/>
      </c>
      <c r="F2728" s="140" t="str">
        <f t="shared" si="160"/>
        <v/>
      </c>
    </row>
    <row r="2729" spans="1:7" ht="12.4" customHeight="1">
      <c r="A2729" s="246"/>
      <c r="B2729" s="243"/>
      <c r="C2729" s="137" t="str">
        <v>Vocabulary</v>
      </c>
      <c r="D2729" s="138">
        <v>10</v>
      </c>
      <c r="E2729" s="139" t="str">
        <v/>
      </c>
      <c r="F2729" s="140" t="str">
        <f t="shared" si="160"/>
        <v/>
      </c>
    </row>
    <row r="2730" spans="1:7" ht="12.4" customHeight="1">
      <c r="A2730" s="247" t="s">
        <v>131</v>
      </c>
      <c r="B2730" s="243"/>
      <c r="C2730" s="137" t="str">
        <v>Sprouts</v>
      </c>
      <c r="D2730" s="138">
        <v>10</v>
      </c>
      <c r="E2730" s="139" t="str">
        <v/>
      </c>
      <c r="F2730" s="140" t="str">
        <f t="shared" si="160"/>
        <v/>
      </c>
    </row>
    <row r="2731" spans="1:7" ht="12.4" customHeight="1">
      <c r="A2731" s="247"/>
      <c r="B2731" s="243"/>
      <c r="C2731" s="137" t="str">
        <v>Phonics</v>
      </c>
      <c r="D2731" s="138">
        <v>10</v>
      </c>
      <c r="E2731" s="139" t="str">
        <v/>
      </c>
      <c r="F2731" s="140" t="str">
        <f t="shared" si="160"/>
        <v/>
      </c>
    </row>
    <row r="2732" spans="1:7" ht="12.4" customHeight="1">
      <c r="A2732" s="247"/>
      <c r="B2732" s="243"/>
      <c r="C2732" s="137" t="str">
        <v>Math</v>
      </c>
      <c r="D2732" s="138">
        <v>10</v>
      </c>
      <c r="E2732" s="139" t="str">
        <v/>
      </c>
      <c r="F2732" s="140" t="str">
        <f t="shared" si="160"/>
        <v/>
      </c>
    </row>
    <row r="2733" spans="1:7" ht="12.4" customHeight="1">
      <c r="A2733" s="247"/>
      <c r="B2733" s="243"/>
      <c r="C2733" s="137" t="str">
        <v>Shape</v>
      </c>
      <c r="D2733" s="138">
        <v>10</v>
      </c>
      <c r="E2733" s="139" t="str">
        <v/>
      </c>
      <c r="F2733" s="140" t="str">
        <f t="shared" si="160"/>
        <v/>
      </c>
    </row>
    <row r="2734" spans="1:7" ht="12.4" customHeight="1">
      <c r="A2734" s="247"/>
      <c r="B2734" s="243"/>
      <c r="C2734" s="137" t="str">
        <v>Science</v>
      </c>
      <c r="D2734" s="138">
        <v>10</v>
      </c>
      <c r="E2734" s="139" t="str">
        <v/>
      </c>
      <c r="F2734" s="140" t="str">
        <f t="shared" si="160"/>
        <v/>
      </c>
    </row>
    <row r="2735" spans="1:7" ht="12.4" customHeight="1">
      <c r="A2735" s="247"/>
      <c r="B2735" s="244"/>
      <c r="C2735" s="141" t="str">
        <v>Tracing</v>
      </c>
      <c r="D2735" s="142">
        <v>10</v>
      </c>
      <c r="E2735" s="143" t="str">
        <v/>
      </c>
      <c r="F2735" s="144" t="str">
        <f t="shared" si="160"/>
        <v/>
      </c>
    </row>
    <row r="2736" spans="1:7" ht="12.4" customHeight="1">
      <c r="A2736" s="248"/>
      <c r="B2736" s="240" t="s">
        <v>133</v>
      </c>
      <c r="C2736" s="241"/>
      <c r="D2736" s="103">
        <f>D2725*20%+SUM(D2726:D2735)*80%</f>
        <v>100</v>
      </c>
      <c r="E2736" s="110" t="str">
        <v/>
      </c>
      <c r="F2736" s="104" t="str">
        <f t="shared" si="160"/>
        <v/>
      </c>
    </row>
    <row r="2738" spans="1:7" ht="12.4" customHeight="1">
      <c r="A2738" s="230" t="s">
        <v>121</v>
      </c>
      <c r="B2738" s="231"/>
      <c r="C2738" s="231"/>
      <c r="D2738" s="107" t="s">
        <v>123</v>
      </c>
      <c r="E2738" s="232" t="str">
        <f>I198</f>
        <v/>
      </c>
      <c r="F2738" s="233"/>
      <c r="G2738" s="101">
        <v>198</v>
      </c>
    </row>
    <row r="2739" spans="1:7" ht="12.4" customHeight="1">
      <c r="A2739" s="105" t="s">
        <v>122</v>
      </c>
      <c r="B2739" s="234" t="str">
        <f>$K$182</f>
        <v>FEBRUARY - JULY 2026</v>
      </c>
      <c r="C2739" s="234"/>
      <c r="D2739" s="106" t="s">
        <v>124</v>
      </c>
      <c r="E2739" s="235" t="str">
        <f>$I$182</f>
        <v/>
      </c>
      <c r="F2739" s="236"/>
    </row>
    <row r="2740" spans="1:7" ht="12.4" customHeight="1">
      <c r="A2740" s="237" t="s">
        <v>130</v>
      </c>
      <c r="B2740" s="238"/>
      <c r="C2740" s="238"/>
      <c r="D2740" s="238"/>
      <c r="E2740" s="238"/>
      <c r="F2740" s="239"/>
    </row>
    <row r="2741" spans="1:7" ht="12.4" customHeight="1">
      <c r="A2741" s="245" t="s">
        <v>14</v>
      </c>
      <c r="B2741" s="240" t="s">
        <v>125</v>
      </c>
      <c r="C2741" s="241"/>
      <c r="D2741" s="102" t="s">
        <v>126</v>
      </c>
      <c r="E2741" s="109" t="s">
        <v>127</v>
      </c>
      <c r="F2741" s="102" t="s">
        <v>128</v>
      </c>
    </row>
    <row r="2742" spans="1:7" ht="12.4" customHeight="1">
      <c r="A2742" s="246"/>
      <c r="B2742" s="240" t="s">
        <v>129</v>
      </c>
      <c r="C2742" s="241"/>
      <c r="D2742" s="102">
        <v>100</v>
      </c>
      <c r="E2742" s="110" t="str" cm="1">
        <f t="array" ref="E2742:E2753">TRANSPOSE(K198:V198)</f>
        <v/>
      </c>
      <c r="F2742" s="104" t="str">
        <f>IF(E2742="","",IF(E2742&lt;D2742*60%,"Try harder",""))</f>
        <v/>
      </c>
    </row>
    <row r="2743" spans="1:7" ht="12.4" customHeight="1">
      <c r="A2743" s="246"/>
      <c r="B2743" s="242" t="s">
        <v>132</v>
      </c>
      <c r="C2743" s="133" t="str" cm="1">
        <f t="array" ref="C2743:C2752">TRANSPOSE($L$185:$U$185)</f>
        <v>Up-Low C</v>
      </c>
      <c r="D2743" s="134">
        <v>10</v>
      </c>
      <c r="E2743" s="135" t="str">
        <v/>
      </c>
      <c r="F2743" s="136" t="str">
        <f t="shared" ref="F2743:F2753" si="161">IF(E2743="","",IF(E2743&lt;D2743*60%,"Try harder",""))</f>
        <v/>
      </c>
    </row>
    <row r="2744" spans="1:7" ht="12.4" customHeight="1">
      <c r="A2744" s="246"/>
      <c r="B2744" s="243"/>
      <c r="C2744" s="137" t="str">
        <v>Alphabet N</v>
      </c>
      <c r="D2744" s="138">
        <v>10</v>
      </c>
      <c r="E2744" s="139" t="str">
        <v/>
      </c>
      <c r="F2744" s="140" t="str">
        <f t="shared" si="161"/>
        <v/>
      </c>
    </row>
    <row r="2745" spans="1:7" ht="12.4" customHeight="1">
      <c r="A2745" s="246"/>
      <c r="B2745" s="243"/>
      <c r="C2745" s="137" t="str">
        <v>Alphabet S</v>
      </c>
      <c r="D2745" s="138">
        <v>10</v>
      </c>
      <c r="E2745" s="139" t="str">
        <v/>
      </c>
      <c r="F2745" s="140" t="str">
        <f t="shared" si="161"/>
        <v/>
      </c>
    </row>
    <row r="2746" spans="1:7" ht="12.4" customHeight="1">
      <c r="A2746" s="246"/>
      <c r="B2746" s="243"/>
      <c r="C2746" s="137" t="str">
        <v>Vocabulary</v>
      </c>
      <c r="D2746" s="138">
        <v>10</v>
      </c>
      <c r="E2746" s="139" t="str">
        <v/>
      </c>
      <c r="F2746" s="140" t="str">
        <f t="shared" si="161"/>
        <v/>
      </c>
    </row>
    <row r="2747" spans="1:7" ht="12.4" customHeight="1">
      <c r="A2747" s="247" t="s">
        <v>131</v>
      </c>
      <c r="B2747" s="243"/>
      <c r="C2747" s="137" t="str">
        <v>Sprouts</v>
      </c>
      <c r="D2747" s="138">
        <v>10</v>
      </c>
      <c r="E2747" s="139" t="str">
        <v/>
      </c>
      <c r="F2747" s="140" t="str">
        <f t="shared" si="161"/>
        <v/>
      </c>
    </row>
    <row r="2748" spans="1:7" ht="12.4" customHeight="1">
      <c r="A2748" s="247"/>
      <c r="B2748" s="243"/>
      <c r="C2748" s="137" t="str">
        <v>Phonics</v>
      </c>
      <c r="D2748" s="138">
        <v>10</v>
      </c>
      <c r="E2748" s="139" t="str">
        <v/>
      </c>
      <c r="F2748" s="140" t="str">
        <f t="shared" si="161"/>
        <v/>
      </c>
    </row>
    <row r="2749" spans="1:7" ht="12.4" customHeight="1">
      <c r="A2749" s="247"/>
      <c r="B2749" s="243"/>
      <c r="C2749" s="137" t="str">
        <v>Math</v>
      </c>
      <c r="D2749" s="138">
        <v>10</v>
      </c>
      <c r="E2749" s="139" t="str">
        <v/>
      </c>
      <c r="F2749" s="140" t="str">
        <f t="shared" si="161"/>
        <v/>
      </c>
    </row>
    <row r="2750" spans="1:7" ht="12.4" customHeight="1">
      <c r="A2750" s="247"/>
      <c r="B2750" s="243"/>
      <c r="C2750" s="137" t="str">
        <v>Shape</v>
      </c>
      <c r="D2750" s="138">
        <v>10</v>
      </c>
      <c r="E2750" s="139" t="str">
        <v/>
      </c>
      <c r="F2750" s="140" t="str">
        <f t="shared" si="161"/>
        <v/>
      </c>
    </row>
    <row r="2751" spans="1:7" ht="12.4" customHeight="1">
      <c r="A2751" s="247"/>
      <c r="B2751" s="243"/>
      <c r="C2751" s="137" t="str">
        <v>Science</v>
      </c>
      <c r="D2751" s="138">
        <v>10</v>
      </c>
      <c r="E2751" s="139" t="str">
        <v/>
      </c>
      <c r="F2751" s="140" t="str">
        <f t="shared" si="161"/>
        <v/>
      </c>
    </row>
    <row r="2752" spans="1:7" ht="12.4" customHeight="1">
      <c r="A2752" s="247"/>
      <c r="B2752" s="244"/>
      <c r="C2752" s="141" t="str">
        <v>Tracing</v>
      </c>
      <c r="D2752" s="142">
        <v>10</v>
      </c>
      <c r="E2752" s="143" t="str">
        <v/>
      </c>
      <c r="F2752" s="144" t="str">
        <f t="shared" si="161"/>
        <v/>
      </c>
    </row>
    <row r="2753" spans="1:7" ht="12.4" customHeight="1">
      <c r="A2753" s="248"/>
      <c r="B2753" s="240" t="s">
        <v>133</v>
      </c>
      <c r="C2753" s="241"/>
      <c r="D2753" s="103">
        <f>D2742*20%+SUM(D2743:D2752)*80%</f>
        <v>100</v>
      </c>
      <c r="E2753" s="110" t="str">
        <v/>
      </c>
      <c r="F2753" s="104" t="str">
        <f t="shared" si="161"/>
        <v/>
      </c>
    </row>
    <row r="2755" spans="1:7" ht="12.4" customHeight="1">
      <c r="A2755" s="230" t="s">
        <v>121</v>
      </c>
      <c r="B2755" s="231"/>
      <c r="C2755" s="231"/>
      <c r="D2755" s="107" t="s">
        <v>123</v>
      </c>
      <c r="E2755" s="232" t="str">
        <f>I199</f>
        <v/>
      </c>
      <c r="F2755" s="233"/>
      <c r="G2755" s="101">
        <v>199</v>
      </c>
    </row>
    <row r="2756" spans="1:7" ht="12.4" customHeight="1">
      <c r="A2756" s="105" t="s">
        <v>122</v>
      </c>
      <c r="B2756" s="234" t="str">
        <f>$K$182</f>
        <v>FEBRUARY - JULY 2026</v>
      </c>
      <c r="C2756" s="234"/>
      <c r="D2756" s="106" t="s">
        <v>124</v>
      </c>
      <c r="E2756" s="235" t="str">
        <f>$I$182</f>
        <v/>
      </c>
      <c r="F2756" s="236"/>
    </row>
    <row r="2757" spans="1:7" ht="12.4" customHeight="1">
      <c r="A2757" s="237" t="s">
        <v>130</v>
      </c>
      <c r="B2757" s="238"/>
      <c r="C2757" s="238"/>
      <c r="D2757" s="238"/>
      <c r="E2757" s="238"/>
      <c r="F2757" s="239"/>
    </row>
    <row r="2758" spans="1:7" ht="12.4" customHeight="1">
      <c r="A2758" s="245" t="s">
        <v>14</v>
      </c>
      <c r="B2758" s="240" t="s">
        <v>125</v>
      </c>
      <c r="C2758" s="241"/>
      <c r="D2758" s="102" t="s">
        <v>126</v>
      </c>
      <c r="E2758" s="109" t="s">
        <v>127</v>
      </c>
      <c r="F2758" s="102" t="s">
        <v>128</v>
      </c>
    </row>
    <row r="2759" spans="1:7" ht="12.4" customHeight="1">
      <c r="A2759" s="246"/>
      <c r="B2759" s="240" t="s">
        <v>129</v>
      </c>
      <c r="C2759" s="241"/>
      <c r="D2759" s="102">
        <v>100</v>
      </c>
      <c r="E2759" s="110" t="str" cm="1">
        <f t="array" ref="E2759:E2770">TRANSPOSE(K199:V199)</f>
        <v/>
      </c>
      <c r="F2759" s="104" t="str">
        <f>IF(E2759="","",IF(E2759&lt;D2759*60%,"Try harder",""))</f>
        <v/>
      </c>
    </row>
    <row r="2760" spans="1:7" ht="12.4" customHeight="1">
      <c r="A2760" s="246"/>
      <c r="B2760" s="242" t="s">
        <v>132</v>
      </c>
      <c r="C2760" s="133" t="str" cm="1">
        <f t="array" ref="C2760:C2769">TRANSPOSE($L$185:$U$185)</f>
        <v>Up-Low C</v>
      </c>
      <c r="D2760" s="134">
        <v>10</v>
      </c>
      <c r="E2760" s="135" t="str">
        <v/>
      </c>
      <c r="F2760" s="136" t="str">
        <f t="shared" ref="F2760:F2770" si="162">IF(E2760="","",IF(E2760&lt;D2760*60%,"Try harder",""))</f>
        <v/>
      </c>
    </row>
    <row r="2761" spans="1:7" ht="12.4" customHeight="1">
      <c r="A2761" s="246"/>
      <c r="B2761" s="243"/>
      <c r="C2761" s="137" t="str">
        <v>Alphabet N</v>
      </c>
      <c r="D2761" s="138">
        <v>10</v>
      </c>
      <c r="E2761" s="139" t="str">
        <v/>
      </c>
      <c r="F2761" s="140" t="str">
        <f t="shared" si="162"/>
        <v/>
      </c>
    </row>
    <row r="2762" spans="1:7" ht="12.4" customHeight="1">
      <c r="A2762" s="246"/>
      <c r="B2762" s="243"/>
      <c r="C2762" s="137" t="str">
        <v>Alphabet S</v>
      </c>
      <c r="D2762" s="138">
        <v>10</v>
      </c>
      <c r="E2762" s="139" t="str">
        <v/>
      </c>
      <c r="F2762" s="140" t="str">
        <f t="shared" si="162"/>
        <v/>
      </c>
    </row>
    <row r="2763" spans="1:7" ht="12.4" customHeight="1">
      <c r="A2763" s="246"/>
      <c r="B2763" s="243"/>
      <c r="C2763" s="137" t="str">
        <v>Vocabulary</v>
      </c>
      <c r="D2763" s="138">
        <v>10</v>
      </c>
      <c r="E2763" s="139" t="str">
        <v/>
      </c>
      <c r="F2763" s="140" t="str">
        <f t="shared" si="162"/>
        <v/>
      </c>
    </row>
    <row r="2764" spans="1:7" ht="12.4" customHeight="1">
      <c r="A2764" s="247" t="s">
        <v>131</v>
      </c>
      <c r="B2764" s="243"/>
      <c r="C2764" s="137" t="str">
        <v>Sprouts</v>
      </c>
      <c r="D2764" s="138">
        <v>10</v>
      </c>
      <c r="E2764" s="139" t="str">
        <v/>
      </c>
      <c r="F2764" s="140" t="str">
        <f t="shared" si="162"/>
        <v/>
      </c>
    </row>
    <row r="2765" spans="1:7" ht="12.4" customHeight="1">
      <c r="A2765" s="247"/>
      <c r="B2765" s="243"/>
      <c r="C2765" s="137" t="str">
        <v>Phonics</v>
      </c>
      <c r="D2765" s="138">
        <v>10</v>
      </c>
      <c r="E2765" s="139" t="str">
        <v/>
      </c>
      <c r="F2765" s="140" t="str">
        <f t="shared" si="162"/>
        <v/>
      </c>
    </row>
    <row r="2766" spans="1:7" ht="12.4" customHeight="1">
      <c r="A2766" s="247"/>
      <c r="B2766" s="243"/>
      <c r="C2766" s="137" t="str">
        <v>Math</v>
      </c>
      <c r="D2766" s="138">
        <v>10</v>
      </c>
      <c r="E2766" s="139" t="str">
        <v/>
      </c>
      <c r="F2766" s="140" t="str">
        <f t="shared" si="162"/>
        <v/>
      </c>
    </row>
    <row r="2767" spans="1:7" ht="12.4" customHeight="1">
      <c r="A2767" s="247"/>
      <c r="B2767" s="243"/>
      <c r="C2767" s="137" t="str">
        <v>Shape</v>
      </c>
      <c r="D2767" s="138">
        <v>10</v>
      </c>
      <c r="E2767" s="139" t="str">
        <v/>
      </c>
      <c r="F2767" s="140" t="str">
        <f t="shared" si="162"/>
        <v/>
      </c>
    </row>
    <row r="2768" spans="1:7" ht="12.4" customHeight="1">
      <c r="A2768" s="247"/>
      <c r="B2768" s="243"/>
      <c r="C2768" s="137" t="str">
        <v>Science</v>
      </c>
      <c r="D2768" s="138">
        <v>10</v>
      </c>
      <c r="E2768" s="139" t="str">
        <v/>
      </c>
      <c r="F2768" s="140" t="str">
        <f t="shared" si="162"/>
        <v/>
      </c>
    </row>
    <row r="2769" spans="1:7" ht="12.4" customHeight="1">
      <c r="A2769" s="247"/>
      <c r="B2769" s="244"/>
      <c r="C2769" s="141" t="str">
        <v>Tracing</v>
      </c>
      <c r="D2769" s="142">
        <v>10</v>
      </c>
      <c r="E2769" s="143" t="str">
        <v/>
      </c>
      <c r="F2769" s="144" t="str">
        <f t="shared" si="162"/>
        <v/>
      </c>
    </row>
    <row r="2770" spans="1:7" ht="12.4" customHeight="1">
      <c r="A2770" s="248"/>
      <c r="B2770" s="240" t="s">
        <v>133</v>
      </c>
      <c r="C2770" s="241"/>
      <c r="D2770" s="103">
        <f>D2759*20%+SUM(D2760:D2769)*80%</f>
        <v>100</v>
      </c>
      <c r="E2770" s="110" t="str">
        <v/>
      </c>
      <c r="F2770" s="104" t="str">
        <f t="shared" si="162"/>
        <v/>
      </c>
    </row>
    <row r="2772" spans="1:7" ht="12.4" customHeight="1">
      <c r="A2772" s="230" t="s">
        <v>121</v>
      </c>
      <c r="B2772" s="231"/>
      <c r="C2772" s="231"/>
      <c r="D2772" s="107" t="s">
        <v>123</v>
      </c>
      <c r="E2772" s="232" t="str">
        <f>I200</f>
        <v/>
      </c>
      <c r="F2772" s="233"/>
      <c r="G2772" s="101">
        <v>200</v>
      </c>
    </row>
    <row r="2773" spans="1:7" ht="12.4" customHeight="1">
      <c r="A2773" s="105" t="s">
        <v>122</v>
      </c>
      <c r="B2773" s="234" t="str">
        <f>$K$182</f>
        <v>FEBRUARY - JULY 2026</v>
      </c>
      <c r="C2773" s="234"/>
      <c r="D2773" s="106" t="s">
        <v>124</v>
      </c>
      <c r="E2773" s="235" t="str">
        <f>$I$182</f>
        <v/>
      </c>
      <c r="F2773" s="236"/>
    </row>
    <row r="2774" spans="1:7" ht="12.4" customHeight="1">
      <c r="A2774" s="237" t="s">
        <v>130</v>
      </c>
      <c r="B2774" s="238"/>
      <c r="C2774" s="238"/>
      <c r="D2774" s="238"/>
      <c r="E2774" s="238"/>
      <c r="F2774" s="239"/>
    </row>
    <row r="2775" spans="1:7" ht="12.4" customHeight="1">
      <c r="A2775" s="245" t="s">
        <v>14</v>
      </c>
      <c r="B2775" s="240" t="s">
        <v>125</v>
      </c>
      <c r="C2775" s="241"/>
      <c r="D2775" s="102" t="s">
        <v>126</v>
      </c>
      <c r="E2775" s="109" t="s">
        <v>127</v>
      </c>
      <c r="F2775" s="102" t="s">
        <v>128</v>
      </c>
    </row>
    <row r="2776" spans="1:7" ht="12.4" customHeight="1">
      <c r="A2776" s="246"/>
      <c r="B2776" s="240" t="s">
        <v>129</v>
      </c>
      <c r="C2776" s="241"/>
      <c r="D2776" s="102">
        <v>100</v>
      </c>
      <c r="E2776" s="110" t="str" cm="1">
        <f t="array" ref="E2776:E2787">TRANSPOSE(K200:V200)</f>
        <v/>
      </c>
      <c r="F2776" s="104" t="str">
        <f>IF(E2776="","",IF(E2776&lt;D2776*60%,"Try harder",""))</f>
        <v/>
      </c>
    </row>
    <row r="2777" spans="1:7" ht="12.4" customHeight="1">
      <c r="A2777" s="246"/>
      <c r="B2777" s="242" t="s">
        <v>132</v>
      </c>
      <c r="C2777" s="133" t="str" cm="1">
        <f t="array" ref="C2777:C2786">TRANSPOSE($L$185:$U$185)</f>
        <v>Up-Low C</v>
      </c>
      <c r="D2777" s="134">
        <v>10</v>
      </c>
      <c r="E2777" s="135" t="str">
        <v/>
      </c>
      <c r="F2777" s="136" t="str">
        <f t="shared" ref="F2777:F2787" si="163">IF(E2777="","",IF(E2777&lt;D2777*60%,"Try harder",""))</f>
        <v/>
      </c>
    </row>
    <row r="2778" spans="1:7" ht="12.4" customHeight="1">
      <c r="A2778" s="246"/>
      <c r="B2778" s="243"/>
      <c r="C2778" s="137" t="str">
        <v>Alphabet N</v>
      </c>
      <c r="D2778" s="138">
        <v>10</v>
      </c>
      <c r="E2778" s="139" t="str">
        <v/>
      </c>
      <c r="F2778" s="140" t="str">
        <f t="shared" si="163"/>
        <v/>
      </c>
    </row>
    <row r="2779" spans="1:7" ht="12.4" customHeight="1">
      <c r="A2779" s="246"/>
      <c r="B2779" s="243"/>
      <c r="C2779" s="137" t="str">
        <v>Alphabet S</v>
      </c>
      <c r="D2779" s="138">
        <v>10</v>
      </c>
      <c r="E2779" s="139" t="str">
        <v/>
      </c>
      <c r="F2779" s="140" t="str">
        <f t="shared" si="163"/>
        <v/>
      </c>
    </row>
    <row r="2780" spans="1:7" ht="12.4" customHeight="1">
      <c r="A2780" s="246"/>
      <c r="B2780" s="243"/>
      <c r="C2780" s="137" t="str">
        <v>Vocabulary</v>
      </c>
      <c r="D2780" s="138">
        <v>10</v>
      </c>
      <c r="E2780" s="139" t="str">
        <v/>
      </c>
      <c r="F2780" s="140" t="str">
        <f t="shared" si="163"/>
        <v/>
      </c>
    </row>
    <row r="2781" spans="1:7" ht="12.4" customHeight="1">
      <c r="A2781" s="247" t="s">
        <v>131</v>
      </c>
      <c r="B2781" s="243"/>
      <c r="C2781" s="137" t="str">
        <v>Sprouts</v>
      </c>
      <c r="D2781" s="138">
        <v>10</v>
      </c>
      <c r="E2781" s="139" t="str">
        <v/>
      </c>
      <c r="F2781" s="140" t="str">
        <f t="shared" si="163"/>
        <v/>
      </c>
    </row>
    <row r="2782" spans="1:7" ht="12.4" customHeight="1">
      <c r="A2782" s="247"/>
      <c r="B2782" s="243"/>
      <c r="C2782" s="137" t="str">
        <v>Phonics</v>
      </c>
      <c r="D2782" s="138">
        <v>10</v>
      </c>
      <c r="E2782" s="139" t="str">
        <v/>
      </c>
      <c r="F2782" s="140" t="str">
        <f t="shared" si="163"/>
        <v/>
      </c>
    </row>
    <row r="2783" spans="1:7" ht="12.4" customHeight="1">
      <c r="A2783" s="247"/>
      <c r="B2783" s="243"/>
      <c r="C2783" s="137" t="str">
        <v>Math</v>
      </c>
      <c r="D2783" s="138">
        <v>10</v>
      </c>
      <c r="E2783" s="139" t="str">
        <v/>
      </c>
      <c r="F2783" s="140" t="str">
        <f t="shared" si="163"/>
        <v/>
      </c>
    </row>
    <row r="2784" spans="1:7" ht="12.4" customHeight="1">
      <c r="A2784" s="247"/>
      <c r="B2784" s="243"/>
      <c r="C2784" s="137" t="str">
        <v>Shape</v>
      </c>
      <c r="D2784" s="138">
        <v>10</v>
      </c>
      <c r="E2784" s="139" t="str">
        <v/>
      </c>
      <c r="F2784" s="140" t="str">
        <f t="shared" si="163"/>
        <v/>
      </c>
    </row>
    <row r="2785" spans="1:7" ht="12.4" customHeight="1">
      <c r="A2785" s="247"/>
      <c r="B2785" s="243"/>
      <c r="C2785" s="137" t="str">
        <v>Science</v>
      </c>
      <c r="D2785" s="138">
        <v>10</v>
      </c>
      <c r="E2785" s="139" t="str">
        <v/>
      </c>
      <c r="F2785" s="140" t="str">
        <f t="shared" si="163"/>
        <v/>
      </c>
    </row>
    <row r="2786" spans="1:7" ht="12.4" customHeight="1">
      <c r="A2786" s="247"/>
      <c r="B2786" s="244"/>
      <c r="C2786" s="141" t="str">
        <v>Tracing</v>
      </c>
      <c r="D2786" s="142">
        <v>10</v>
      </c>
      <c r="E2786" s="143" t="str">
        <v/>
      </c>
      <c r="F2786" s="144" t="str">
        <f t="shared" si="163"/>
        <v/>
      </c>
    </row>
    <row r="2787" spans="1:7" ht="12.4" customHeight="1">
      <c r="A2787" s="248"/>
      <c r="B2787" s="240" t="s">
        <v>133</v>
      </c>
      <c r="C2787" s="241"/>
      <c r="D2787" s="103">
        <f>D2776*20%+SUM(D2777:D2786)*80%</f>
        <v>100</v>
      </c>
      <c r="E2787" s="110" t="str">
        <v/>
      </c>
      <c r="F2787" s="104" t="str">
        <f t="shared" si="163"/>
        <v/>
      </c>
    </row>
    <row r="2789" spans="1:7" ht="12.4" customHeight="1">
      <c r="A2789" s="230" t="s">
        <v>121</v>
      </c>
      <c r="B2789" s="231"/>
      <c r="C2789" s="231"/>
      <c r="D2789" s="107" t="s">
        <v>123</v>
      </c>
      <c r="E2789" s="232" t="str">
        <f>I201</f>
        <v/>
      </c>
      <c r="F2789" s="233"/>
      <c r="G2789" s="101">
        <v>201</v>
      </c>
    </row>
    <row r="2790" spans="1:7" ht="12.4" customHeight="1">
      <c r="A2790" s="105" t="s">
        <v>122</v>
      </c>
      <c r="B2790" s="234" t="str">
        <f>$K$182</f>
        <v>FEBRUARY - JULY 2026</v>
      </c>
      <c r="C2790" s="234"/>
      <c r="D2790" s="106" t="s">
        <v>124</v>
      </c>
      <c r="E2790" s="235" t="str">
        <f>$I$182</f>
        <v/>
      </c>
      <c r="F2790" s="236"/>
    </row>
    <row r="2791" spans="1:7" ht="12.4" customHeight="1">
      <c r="A2791" s="237" t="s">
        <v>130</v>
      </c>
      <c r="B2791" s="238"/>
      <c r="C2791" s="238"/>
      <c r="D2791" s="238"/>
      <c r="E2791" s="238"/>
      <c r="F2791" s="239"/>
    </row>
    <row r="2792" spans="1:7" ht="12.4" customHeight="1">
      <c r="A2792" s="245" t="s">
        <v>14</v>
      </c>
      <c r="B2792" s="240" t="s">
        <v>125</v>
      </c>
      <c r="C2792" s="241"/>
      <c r="D2792" s="102" t="s">
        <v>126</v>
      </c>
      <c r="E2792" s="109" t="s">
        <v>127</v>
      </c>
      <c r="F2792" s="102" t="s">
        <v>128</v>
      </c>
    </row>
    <row r="2793" spans="1:7" ht="12.4" customHeight="1">
      <c r="A2793" s="246"/>
      <c r="B2793" s="240" t="s">
        <v>129</v>
      </c>
      <c r="C2793" s="241"/>
      <c r="D2793" s="102">
        <v>100</v>
      </c>
      <c r="E2793" s="110" t="str" cm="1">
        <f t="array" ref="E2793:E2804">TRANSPOSE(K201:V201)</f>
        <v/>
      </c>
      <c r="F2793" s="104" t="str">
        <f>IF(E2793="","",IF(E2793&lt;D2793*60%,"Try harder",""))</f>
        <v/>
      </c>
    </row>
    <row r="2794" spans="1:7" ht="12.4" customHeight="1">
      <c r="A2794" s="246"/>
      <c r="B2794" s="242" t="s">
        <v>132</v>
      </c>
      <c r="C2794" s="133" t="str" cm="1">
        <f t="array" ref="C2794:C2803">TRANSPOSE($L$185:$U$185)</f>
        <v>Up-Low C</v>
      </c>
      <c r="D2794" s="134">
        <v>10</v>
      </c>
      <c r="E2794" s="135" t="str">
        <v/>
      </c>
      <c r="F2794" s="136" t="str">
        <f t="shared" ref="F2794:F2804" si="164">IF(E2794="","",IF(E2794&lt;D2794*60%,"Try harder",""))</f>
        <v/>
      </c>
    </row>
    <row r="2795" spans="1:7" ht="12.4" customHeight="1">
      <c r="A2795" s="246"/>
      <c r="B2795" s="243"/>
      <c r="C2795" s="137" t="str">
        <v>Alphabet N</v>
      </c>
      <c r="D2795" s="138">
        <v>10</v>
      </c>
      <c r="E2795" s="139" t="str">
        <v/>
      </c>
      <c r="F2795" s="140" t="str">
        <f t="shared" si="164"/>
        <v/>
      </c>
    </row>
    <row r="2796" spans="1:7" ht="12.4" customHeight="1">
      <c r="A2796" s="246"/>
      <c r="B2796" s="243"/>
      <c r="C2796" s="137" t="str">
        <v>Alphabet S</v>
      </c>
      <c r="D2796" s="138">
        <v>10</v>
      </c>
      <c r="E2796" s="139" t="str">
        <v/>
      </c>
      <c r="F2796" s="140" t="str">
        <f t="shared" si="164"/>
        <v/>
      </c>
    </row>
    <row r="2797" spans="1:7" ht="12.4" customHeight="1">
      <c r="A2797" s="246"/>
      <c r="B2797" s="243"/>
      <c r="C2797" s="137" t="str">
        <v>Vocabulary</v>
      </c>
      <c r="D2797" s="138">
        <v>10</v>
      </c>
      <c r="E2797" s="139" t="str">
        <v/>
      </c>
      <c r="F2797" s="140" t="str">
        <f t="shared" si="164"/>
        <v/>
      </c>
    </row>
    <row r="2798" spans="1:7" ht="12.4" customHeight="1">
      <c r="A2798" s="247" t="s">
        <v>131</v>
      </c>
      <c r="B2798" s="243"/>
      <c r="C2798" s="137" t="str">
        <v>Sprouts</v>
      </c>
      <c r="D2798" s="138">
        <v>10</v>
      </c>
      <c r="E2798" s="139" t="str">
        <v/>
      </c>
      <c r="F2798" s="140" t="str">
        <f t="shared" si="164"/>
        <v/>
      </c>
    </row>
    <row r="2799" spans="1:7" ht="12.4" customHeight="1">
      <c r="A2799" s="247"/>
      <c r="B2799" s="243"/>
      <c r="C2799" s="137" t="str">
        <v>Phonics</v>
      </c>
      <c r="D2799" s="138">
        <v>10</v>
      </c>
      <c r="E2799" s="139" t="str">
        <v/>
      </c>
      <c r="F2799" s="140" t="str">
        <f t="shared" si="164"/>
        <v/>
      </c>
    </row>
    <row r="2800" spans="1:7" ht="12.4" customHeight="1">
      <c r="A2800" s="247"/>
      <c r="B2800" s="243"/>
      <c r="C2800" s="137" t="str">
        <v>Math</v>
      </c>
      <c r="D2800" s="138">
        <v>10</v>
      </c>
      <c r="E2800" s="139" t="str">
        <v/>
      </c>
      <c r="F2800" s="140" t="str">
        <f t="shared" si="164"/>
        <v/>
      </c>
    </row>
    <row r="2801" spans="1:7" ht="12.4" customHeight="1">
      <c r="A2801" s="247"/>
      <c r="B2801" s="243"/>
      <c r="C2801" s="137" t="str">
        <v>Shape</v>
      </c>
      <c r="D2801" s="138">
        <v>10</v>
      </c>
      <c r="E2801" s="139" t="str">
        <v/>
      </c>
      <c r="F2801" s="140" t="str">
        <f t="shared" si="164"/>
        <v/>
      </c>
    </row>
    <row r="2802" spans="1:7" ht="12.4" customHeight="1">
      <c r="A2802" s="247"/>
      <c r="B2802" s="243"/>
      <c r="C2802" s="137" t="str">
        <v>Science</v>
      </c>
      <c r="D2802" s="138">
        <v>10</v>
      </c>
      <c r="E2802" s="139" t="str">
        <v/>
      </c>
      <c r="F2802" s="140" t="str">
        <f t="shared" si="164"/>
        <v/>
      </c>
    </row>
    <row r="2803" spans="1:7" ht="12.4" customHeight="1">
      <c r="A2803" s="247"/>
      <c r="B2803" s="244"/>
      <c r="C2803" s="141" t="str">
        <v>Tracing</v>
      </c>
      <c r="D2803" s="142">
        <v>10</v>
      </c>
      <c r="E2803" s="143" t="str">
        <v/>
      </c>
      <c r="F2803" s="144" t="str">
        <f t="shared" si="164"/>
        <v/>
      </c>
    </row>
    <row r="2804" spans="1:7" ht="12.4" customHeight="1">
      <c r="A2804" s="248"/>
      <c r="B2804" s="240" t="s">
        <v>133</v>
      </c>
      <c r="C2804" s="241"/>
      <c r="D2804" s="103">
        <f>D2793*20%+SUM(D2794:D2803)*80%</f>
        <v>100</v>
      </c>
      <c r="E2804" s="110" t="str">
        <v/>
      </c>
      <c r="F2804" s="104" t="str">
        <f t="shared" si="164"/>
        <v/>
      </c>
    </row>
    <row r="2806" spans="1:7" ht="12.4" customHeight="1">
      <c r="A2806" s="230" t="s">
        <v>121</v>
      </c>
      <c r="B2806" s="231"/>
      <c r="C2806" s="231"/>
      <c r="D2806" s="107" t="s">
        <v>123</v>
      </c>
      <c r="E2806" s="232" t="str">
        <f>I202</f>
        <v/>
      </c>
      <c r="F2806" s="233"/>
      <c r="G2806" s="101">
        <v>202</v>
      </c>
    </row>
    <row r="2807" spans="1:7" ht="12.4" customHeight="1">
      <c r="A2807" s="105" t="s">
        <v>122</v>
      </c>
      <c r="B2807" s="234" t="str">
        <f>$K$182</f>
        <v>FEBRUARY - JULY 2026</v>
      </c>
      <c r="C2807" s="234"/>
      <c r="D2807" s="106" t="s">
        <v>124</v>
      </c>
      <c r="E2807" s="235" t="str">
        <f>$I$182</f>
        <v/>
      </c>
      <c r="F2807" s="236"/>
    </row>
    <row r="2808" spans="1:7" ht="12.4" customHeight="1">
      <c r="A2808" s="237" t="s">
        <v>130</v>
      </c>
      <c r="B2808" s="238"/>
      <c r="C2808" s="238"/>
      <c r="D2808" s="238"/>
      <c r="E2808" s="238"/>
      <c r="F2808" s="239"/>
    </row>
    <row r="2809" spans="1:7" ht="12.4" customHeight="1">
      <c r="A2809" s="245" t="s">
        <v>14</v>
      </c>
      <c r="B2809" s="240" t="s">
        <v>125</v>
      </c>
      <c r="C2809" s="241"/>
      <c r="D2809" s="102" t="s">
        <v>126</v>
      </c>
      <c r="E2809" s="109" t="s">
        <v>127</v>
      </c>
      <c r="F2809" s="102" t="s">
        <v>128</v>
      </c>
    </row>
    <row r="2810" spans="1:7" ht="12.4" customHeight="1">
      <c r="A2810" s="246"/>
      <c r="B2810" s="240" t="s">
        <v>129</v>
      </c>
      <c r="C2810" s="241"/>
      <c r="D2810" s="102">
        <v>100</v>
      </c>
      <c r="E2810" s="110" t="str" cm="1">
        <f t="array" ref="E2810:E2821">TRANSPOSE(K202:V202)</f>
        <v/>
      </c>
      <c r="F2810" s="104" t="str">
        <f>IF(E2810="","",IF(E2810&lt;D2810*60%,"Try harder",""))</f>
        <v/>
      </c>
    </row>
    <row r="2811" spans="1:7" ht="12.4" customHeight="1">
      <c r="A2811" s="246"/>
      <c r="B2811" s="242" t="s">
        <v>132</v>
      </c>
      <c r="C2811" s="133" t="str" cm="1">
        <f t="array" ref="C2811:C2820">TRANSPOSE($L$185:$U$185)</f>
        <v>Up-Low C</v>
      </c>
      <c r="D2811" s="134">
        <v>10</v>
      </c>
      <c r="E2811" s="135" t="str">
        <v/>
      </c>
      <c r="F2811" s="136" t="str">
        <f t="shared" ref="F2811:F2821" si="165">IF(E2811="","",IF(E2811&lt;D2811*60%,"Try harder",""))</f>
        <v/>
      </c>
    </row>
    <row r="2812" spans="1:7" ht="12.4" customHeight="1">
      <c r="A2812" s="246"/>
      <c r="B2812" s="243"/>
      <c r="C2812" s="137" t="str">
        <v>Alphabet N</v>
      </c>
      <c r="D2812" s="138">
        <v>10</v>
      </c>
      <c r="E2812" s="139" t="str">
        <v/>
      </c>
      <c r="F2812" s="140" t="str">
        <f t="shared" si="165"/>
        <v/>
      </c>
    </row>
    <row r="2813" spans="1:7" ht="12.4" customHeight="1">
      <c r="A2813" s="246"/>
      <c r="B2813" s="243"/>
      <c r="C2813" s="137" t="str">
        <v>Alphabet S</v>
      </c>
      <c r="D2813" s="138">
        <v>10</v>
      </c>
      <c r="E2813" s="139" t="str">
        <v/>
      </c>
      <c r="F2813" s="140" t="str">
        <f t="shared" si="165"/>
        <v/>
      </c>
    </row>
    <row r="2814" spans="1:7" ht="12.4" customHeight="1">
      <c r="A2814" s="246"/>
      <c r="B2814" s="243"/>
      <c r="C2814" s="137" t="str">
        <v>Vocabulary</v>
      </c>
      <c r="D2814" s="138">
        <v>10</v>
      </c>
      <c r="E2814" s="139" t="str">
        <v/>
      </c>
      <c r="F2814" s="140" t="str">
        <f t="shared" si="165"/>
        <v/>
      </c>
    </row>
    <row r="2815" spans="1:7" ht="12.4" customHeight="1">
      <c r="A2815" s="247" t="s">
        <v>131</v>
      </c>
      <c r="B2815" s="243"/>
      <c r="C2815" s="137" t="str">
        <v>Sprouts</v>
      </c>
      <c r="D2815" s="138">
        <v>10</v>
      </c>
      <c r="E2815" s="139" t="str">
        <v/>
      </c>
      <c r="F2815" s="140" t="str">
        <f t="shared" si="165"/>
        <v/>
      </c>
    </row>
    <row r="2816" spans="1:7" ht="12.4" customHeight="1">
      <c r="A2816" s="247"/>
      <c r="B2816" s="243"/>
      <c r="C2816" s="137" t="str">
        <v>Phonics</v>
      </c>
      <c r="D2816" s="138">
        <v>10</v>
      </c>
      <c r="E2816" s="139" t="str">
        <v/>
      </c>
      <c r="F2816" s="140" t="str">
        <f t="shared" si="165"/>
        <v/>
      </c>
    </row>
    <row r="2817" spans="1:7" ht="12.4" customHeight="1">
      <c r="A2817" s="247"/>
      <c r="B2817" s="243"/>
      <c r="C2817" s="137" t="str">
        <v>Math</v>
      </c>
      <c r="D2817" s="138">
        <v>10</v>
      </c>
      <c r="E2817" s="139" t="str">
        <v/>
      </c>
      <c r="F2817" s="140" t="str">
        <f t="shared" si="165"/>
        <v/>
      </c>
    </row>
    <row r="2818" spans="1:7" ht="12.4" customHeight="1">
      <c r="A2818" s="247"/>
      <c r="B2818" s="243"/>
      <c r="C2818" s="137" t="str">
        <v>Shape</v>
      </c>
      <c r="D2818" s="138">
        <v>10</v>
      </c>
      <c r="E2818" s="139" t="str">
        <v/>
      </c>
      <c r="F2818" s="140" t="str">
        <f t="shared" si="165"/>
        <v/>
      </c>
    </row>
    <row r="2819" spans="1:7" ht="12.4" customHeight="1">
      <c r="A2819" s="247"/>
      <c r="B2819" s="243"/>
      <c r="C2819" s="137" t="str">
        <v>Science</v>
      </c>
      <c r="D2819" s="138">
        <v>10</v>
      </c>
      <c r="E2819" s="139" t="str">
        <v/>
      </c>
      <c r="F2819" s="140" t="str">
        <f t="shared" si="165"/>
        <v/>
      </c>
    </row>
    <row r="2820" spans="1:7" ht="12.4" customHeight="1">
      <c r="A2820" s="247"/>
      <c r="B2820" s="244"/>
      <c r="C2820" s="141" t="str">
        <v>Tracing</v>
      </c>
      <c r="D2820" s="142">
        <v>10</v>
      </c>
      <c r="E2820" s="143" t="str">
        <v/>
      </c>
      <c r="F2820" s="144" t="str">
        <f t="shared" si="165"/>
        <v/>
      </c>
    </row>
    <row r="2821" spans="1:7" ht="12.4" customHeight="1">
      <c r="A2821" s="248"/>
      <c r="B2821" s="240" t="s">
        <v>133</v>
      </c>
      <c r="C2821" s="241"/>
      <c r="D2821" s="103">
        <f>D2810*20%+SUM(D2811:D2820)*80%</f>
        <v>100</v>
      </c>
      <c r="E2821" s="110" t="str">
        <v/>
      </c>
      <c r="F2821" s="104" t="str">
        <f t="shared" si="165"/>
        <v/>
      </c>
    </row>
    <row r="2823" spans="1:7" ht="12.4" customHeight="1">
      <c r="A2823" s="230" t="s">
        <v>121</v>
      </c>
      <c r="B2823" s="231"/>
      <c r="C2823" s="231"/>
      <c r="D2823" s="107" t="s">
        <v>123</v>
      </c>
      <c r="E2823" s="232" t="str">
        <f>I203</f>
        <v/>
      </c>
      <c r="F2823" s="233"/>
      <c r="G2823" s="101">
        <v>203</v>
      </c>
    </row>
    <row r="2824" spans="1:7" ht="12.4" customHeight="1">
      <c r="A2824" s="105" t="s">
        <v>122</v>
      </c>
      <c r="B2824" s="234" t="str">
        <f>$K$182</f>
        <v>FEBRUARY - JULY 2026</v>
      </c>
      <c r="C2824" s="234"/>
      <c r="D2824" s="106" t="s">
        <v>124</v>
      </c>
      <c r="E2824" s="235" t="str">
        <f>$I$182</f>
        <v/>
      </c>
      <c r="F2824" s="236"/>
    </row>
    <row r="2825" spans="1:7" ht="12.4" customHeight="1">
      <c r="A2825" s="237" t="s">
        <v>130</v>
      </c>
      <c r="B2825" s="238"/>
      <c r="C2825" s="238"/>
      <c r="D2825" s="238"/>
      <c r="E2825" s="238"/>
      <c r="F2825" s="239"/>
    </row>
    <row r="2826" spans="1:7" ht="12.4" customHeight="1">
      <c r="A2826" s="245" t="s">
        <v>14</v>
      </c>
      <c r="B2826" s="240" t="s">
        <v>125</v>
      </c>
      <c r="C2826" s="241"/>
      <c r="D2826" s="102" t="s">
        <v>126</v>
      </c>
      <c r="E2826" s="109" t="s">
        <v>127</v>
      </c>
      <c r="F2826" s="102" t="s">
        <v>128</v>
      </c>
    </row>
    <row r="2827" spans="1:7" ht="12.4" customHeight="1">
      <c r="A2827" s="246"/>
      <c r="B2827" s="240" t="s">
        <v>129</v>
      </c>
      <c r="C2827" s="241"/>
      <c r="D2827" s="102">
        <v>100</v>
      </c>
      <c r="E2827" s="110" t="str" cm="1">
        <f t="array" ref="E2827:E2838">TRANSPOSE(K203:V203)</f>
        <v/>
      </c>
      <c r="F2827" s="104" t="str">
        <f>IF(E2827="","",IF(E2827&lt;D2827*60%,"Try harder",""))</f>
        <v/>
      </c>
    </row>
    <row r="2828" spans="1:7" ht="12.4" customHeight="1">
      <c r="A2828" s="246"/>
      <c r="B2828" s="242" t="s">
        <v>132</v>
      </c>
      <c r="C2828" s="133" t="str" cm="1">
        <f t="array" ref="C2828:C2837">TRANSPOSE($L$185:$U$185)</f>
        <v>Up-Low C</v>
      </c>
      <c r="D2828" s="134">
        <v>10</v>
      </c>
      <c r="E2828" s="135" t="str">
        <v/>
      </c>
      <c r="F2828" s="136" t="str">
        <f t="shared" ref="F2828:F2838" si="166">IF(E2828="","",IF(E2828&lt;D2828*60%,"Try harder",""))</f>
        <v/>
      </c>
    </row>
    <row r="2829" spans="1:7" ht="12.4" customHeight="1">
      <c r="A2829" s="246"/>
      <c r="B2829" s="243"/>
      <c r="C2829" s="137" t="str">
        <v>Alphabet N</v>
      </c>
      <c r="D2829" s="138">
        <v>10</v>
      </c>
      <c r="E2829" s="139" t="str">
        <v/>
      </c>
      <c r="F2829" s="140" t="str">
        <f t="shared" si="166"/>
        <v/>
      </c>
    </row>
    <row r="2830" spans="1:7" ht="12.4" customHeight="1">
      <c r="A2830" s="246"/>
      <c r="B2830" s="243"/>
      <c r="C2830" s="137" t="str">
        <v>Alphabet S</v>
      </c>
      <c r="D2830" s="138">
        <v>10</v>
      </c>
      <c r="E2830" s="139" t="str">
        <v/>
      </c>
      <c r="F2830" s="140" t="str">
        <f t="shared" si="166"/>
        <v/>
      </c>
    </row>
    <row r="2831" spans="1:7" ht="12.4" customHeight="1">
      <c r="A2831" s="246"/>
      <c r="B2831" s="243"/>
      <c r="C2831" s="137" t="str">
        <v>Vocabulary</v>
      </c>
      <c r="D2831" s="138">
        <v>10</v>
      </c>
      <c r="E2831" s="139" t="str">
        <v/>
      </c>
      <c r="F2831" s="140" t="str">
        <f t="shared" si="166"/>
        <v/>
      </c>
    </row>
    <row r="2832" spans="1:7" ht="12.4" customHeight="1">
      <c r="A2832" s="247" t="s">
        <v>131</v>
      </c>
      <c r="B2832" s="243"/>
      <c r="C2832" s="137" t="str">
        <v>Sprouts</v>
      </c>
      <c r="D2832" s="138">
        <v>10</v>
      </c>
      <c r="E2832" s="139" t="str">
        <v/>
      </c>
      <c r="F2832" s="140" t="str">
        <f t="shared" si="166"/>
        <v/>
      </c>
    </row>
    <row r="2833" spans="1:7" ht="12.4" customHeight="1">
      <c r="A2833" s="247"/>
      <c r="B2833" s="243"/>
      <c r="C2833" s="137" t="str">
        <v>Phonics</v>
      </c>
      <c r="D2833" s="138">
        <v>10</v>
      </c>
      <c r="E2833" s="139" t="str">
        <v/>
      </c>
      <c r="F2833" s="140" t="str">
        <f t="shared" si="166"/>
        <v/>
      </c>
    </row>
    <row r="2834" spans="1:7" ht="12.4" customHeight="1">
      <c r="A2834" s="247"/>
      <c r="B2834" s="243"/>
      <c r="C2834" s="137" t="str">
        <v>Math</v>
      </c>
      <c r="D2834" s="138">
        <v>10</v>
      </c>
      <c r="E2834" s="139" t="str">
        <v/>
      </c>
      <c r="F2834" s="140" t="str">
        <f t="shared" si="166"/>
        <v/>
      </c>
    </row>
    <row r="2835" spans="1:7" ht="12.4" customHeight="1">
      <c r="A2835" s="247"/>
      <c r="B2835" s="243"/>
      <c r="C2835" s="137" t="str">
        <v>Shape</v>
      </c>
      <c r="D2835" s="138">
        <v>10</v>
      </c>
      <c r="E2835" s="139" t="str">
        <v/>
      </c>
      <c r="F2835" s="140" t="str">
        <f t="shared" si="166"/>
        <v/>
      </c>
    </row>
    <row r="2836" spans="1:7" ht="12.4" customHeight="1">
      <c r="A2836" s="247"/>
      <c r="B2836" s="243"/>
      <c r="C2836" s="137" t="str">
        <v>Science</v>
      </c>
      <c r="D2836" s="138">
        <v>10</v>
      </c>
      <c r="E2836" s="139" t="str">
        <v/>
      </c>
      <c r="F2836" s="140" t="str">
        <f t="shared" si="166"/>
        <v/>
      </c>
    </row>
    <row r="2837" spans="1:7" ht="12.4" customHeight="1">
      <c r="A2837" s="247"/>
      <c r="B2837" s="244"/>
      <c r="C2837" s="141" t="str">
        <v>Tracing</v>
      </c>
      <c r="D2837" s="142">
        <v>10</v>
      </c>
      <c r="E2837" s="143" t="str">
        <v/>
      </c>
      <c r="F2837" s="144" t="str">
        <f t="shared" si="166"/>
        <v/>
      </c>
    </row>
    <row r="2838" spans="1:7" ht="12.4" customHeight="1">
      <c r="A2838" s="248"/>
      <c r="B2838" s="240" t="s">
        <v>133</v>
      </c>
      <c r="C2838" s="241"/>
      <c r="D2838" s="103">
        <f>D2827*20%+SUM(D2828:D2837)*80%</f>
        <v>100</v>
      </c>
      <c r="E2838" s="110" t="str">
        <v/>
      </c>
      <c r="F2838" s="104" t="str">
        <f t="shared" si="166"/>
        <v/>
      </c>
    </row>
    <row r="2840" spans="1:7" ht="12.4" customHeight="1">
      <c r="A2840" s="230" t="s">
        <v>121</v>
      </c>
      <c r="B2840" s="231"/>
      <c r="C2840" s="231"/>
      <c r="D2840" s="107" t="s">
        <v>123</v>
      </c>
      <c r="E2840" s="232" t="str">
        <f>I204</f>
        <v/>
      </c>
      <c r="F2840" s="233"/>
      <c r="G2840" s="101">
        <v>204</v>
      </c>
    </row>
    <row r="2841" spans="1:7" ht="12.4" customHeight="1">
      <c r="A2841" s="105" t="s">
        <v>122</v>
      </c>
      <c r="B2841" s="234" t="str">
        <f>$K$182</f>
        <v>FEBRUARY - JULY 2026</v>
      </c>
      <c r="C2841" s="234"/>
      <c r="D2841" s="106" t="s">
        <v>124</v>
      </c>
      <c r="E2841" s="235" t="str">
        <f>$I$182</f>
        <v/>
      </c>
      <c r="F2841" s="236"/>
    </row>
    <row r="2842" spans="1:7" ht="12.4" customHeight="1">
      <c r="A2842" s="237" t="s">
        <v>130</v>
      </c>
      <c r="B2842" s="238"/>
      <c r="C2842" s="238"/>
      <c r="D2842" s="238"/>
      <c r="E2842" s="238"/>
      <c r="F2842" s="239"/>
    </row>
    <row r="2843" spans="1:7" ht="12.4" customHeight="1">
      <c r="A2843" s="245" t="s">
        <v>14</v>
      </c>
      <c r="B2843" s="240" t="s">
        <v>125</v>
      </c>
      <c r="C2843" s="241"/>
      <c r="D2843" s="102" t="s">
        <v>126</v>
      </c>
      <c r="E2843" s="109" t="s">
        <v>127</v>
      </c>
      <c r="F2843" s="102" t="s">
        <v>128</v>
      </c>
    </row>
    <row r="2844" spans="1:7" ht="12.4" customHeight="1">
      <c r="A2844" s="246"/>
      <c r="B2844" s="240" t="s">
        <v>129</v>
      </c>
      <c r="C2844" s="241"/>
      <c r="D2844" s="102">
        <v>100</v>
      </c>
      <c r="E2844" s="110" t="str" cm="1">
        <f t="array" ref="E2844:E2855">TRANSPOSE(K204:V204)</f>
        <v/>
      </c>
      <c r="F2844" s="104" t="str">
        <f>IF(E2844="","",IF(E2844&lt;D2844*60%,"Try harder",""))</f>
        <v/>
      </c>
    </row>
    <row r="2845" spans="1:7" ht="12.4" customHeight="1">
      <c r="A2845" s="246"/>
      <c r="B2845" s="242" t="s">
        <v>132</v>
      </c>
      <c r="C2845" s="133" t="str" cm="1">
        <f t="array" ref="C2845:C2854">TRANSPOSE($L$185:$U$185)</f>
        <v>Up-Low C</v>
      </c>
      <c r="D2845" s="134">
        <v>10</v>
      </c>
      <c r="E2845" s="135" t="str">
        <v/>
      </c>
      <c r="F2845" s="136" t="str">
        <f t="shared" ref="F2845:F2855" si="167">IF(E2845="","",IF(E2845&lt;D2845*60%,"Try harder",""))</f>
        <v/>
      </c>
    </row>
    <row r="2846" spans="1:7" ht="12.4" customHeight="1">
      <c r="A2846" s="246"/>
      <c r="B2846" s="243"/>
      <c r="C2846" s="137" t="str">
        <v>Alphabet N</v>
      </c>
      <c r="D2846" s="138">
        <v>10</v>
      </c>
      <c r="E2846" s="139" t="str">
        <v/>
      </c>
      <c r="F2846" s="140" t="str">
        <f t="shared" si="167"/>
        <v/>
      </c>
    </row>
    <row r="2847" spans="1:7" ht="12.4" customHeight="1">
      <c r="A2847" s="246"/>
      <c r="B2847" s="243"/>
      <c r="C2847" s="137" t="str">
        <v>Alphabet S</v>
      </c>
      <c r="D2847" s="138">
        <v>10</v>
      </c>
      <c r="E2847" s="139" t="str">
        <v/>
      </c>
      <c r="F2847" s="140" t="str">
        <f t="shared" si="167"/>
        <v/>
      </c>
    </row>
    <row r="2848" spans="1:7" ht="12.4" customHeight="1">
      <c r="A2848" s="246"/>
      <c r="B2848" s="243"/>
      <c r="C2848" s="137" t="str">
        <v>Vocabulary</v>
      </c>
      <c r="D2848" s="138">
        <v>10</v>
      </c>
      <c r="E2848" s="139" t="str">
        <v/>
      </c>
      <c r="F2848" s="140" t="str">
        <f t="shared" si="167"/>
        <v/>
      </c>
    </row>
    <row r="2849" spans="1:7" ht="12.4" customHeight="1">
      <c r="A2849" s="247" t="s">
        <v>131</v>
      </c>
      <c r="B2849" s="243"/>
      <c r="C2849" s="137" t="str">
        <v>Sprouts</v>
      </c>
      <c r="D2849" s="138">
        <v>10</v>
      </c>
      <c r="E2849" s="139" t="str">
        <v/>
      </c>
      <c r="F2849" s="140" t="str">
        <f t="shared" si="167"/>
        <v/>
      </c>
    </row>
    <row r="2850" spans="1:7" ht="12.4" customHeight="1">
      <c r="A2850" s="247"/>
      <c r="B2850" s="243"/>
      <c r="C2850" s="137" t="str">
        <v>Phonics</v>
      </c>
      <c r="D2850" s="138">
        <v>10</v>
      </c>
      <c r="E2850" s="139" t="str">
        <v/>
      </c>
      <c r="F2850" s="140" t="str">
        <f t="shared" si="167"/>
        <v/>
      </c>
    </row>
    <row r="2851" spans="1:7" ht="12.4" customHeight="1">
      <c r="A2851" s="247"/>
      <c r="B2851" s="243"/>
      <c r="C2851" s="137" t="str">
        <v>Math</v>
      </c>
      <c r="D2851" s="138">
        <v>10</v>
      </c>
      <c r="E2851" s="139" t="str">
        <v/>
      </c>
      <c r="F2851" s="140" t="str">
        <f t="shared" si="167"/>
        <v/>
      </c>
    </row>
    <row r="2852" spans="1:7" ht="12.4" customHeight="1">
      <c r="A2852" s="247"/>
      <c r="B2852" s="243"/>
      <c r="C2852" s="137" t="str">
        <v>Shape</v>
      </c>
      <c r="D2852" s="138">
        <v>10</v>
      </c>
      <c r="E2852" s="139" t="str">
        <v/>
      </c>
      <c r="F2852" s="140" t="str">
        <f t="shared" si="167"/>
        <v/>
      </c>
    </row>
    <row r="2853" spans="1:7" ht="12.4" customHeight="1">
      <c r="A2853" s="247"/>
      <c r="B2853" s="243"/>
      <c r="C2853" s="137" t="str">
        <v>Science</v>
      </c>
      <c r="D2853" s="138">
        <v>10</v>
      </c>
      <c r="E2853" s="139" t="str">
        <v/>
      </c>
      <c r="F2853" s="140" t="str">
        <f t="shared" si="167"/>
        <v/>
      </c>
    </row>
    <row r="2854" spans="1:7" ht="12.4" customHeight="1">
      <c r="A2854" s="247"/>
      <c r="B2854" s="244"/>
      <c r="C2854" s="141" t="str">
        <v>Tracing</v>
      </c>
      <c r="D2854" s="142">
        <v>10</v>
      </c>
      <c r="E2854" s="143" t="str">
        <v/>
      </c>
      <c r="F2854" s="144" t="str">
        <f t="shared" si="167"/>
        <v/>
      </c>
    </row>
    <row r="2855" spans="1:7" ht="12.4" customHeight="1">
      <c r="A2855" s="248"/>
      <c r="B2855" s="240" t="s">
        <v>133</v>
      </c>
      <c r="C2855" s="241"/>
      <c r="D2855" s="103">
        <f>D2844*20%+SUM(D2845:D2854)*80%</f>
        <v>100</v>
      </c>
      <c r="E2855" s="110" t="str">
        <v/>
      </c>
      <c r="F2855" s="104" t="str">
        <f t="shared" si="167"/>
        <v/>
      </c>
    </row>
    <row r="2857" spans="1:7" ht="12.4" customHeight="1">
      <c r="A2857" s="230" t="s">
        <v>121</v>
      </c>
      <c r="B2857" s="231"/>
      <c r="C2857" s="231"/>
      <c r="D2857" s="107" t="s">
        <v>123</v>
      </c>
      <c r="E2857" s="232" t="str">
        <f>I205</f>
        <v/>
      </c>
      <c r="F2857" s="233"/>
      <c r="G2857" s="101">
        <v>205</v>
      </c>
    </row>
    <row r="2858" spans="1:7" ht="12.4" customHeight="1">
      <c r="A2858" s="105" t="s">
        <v>122</v>
      </c>
      <c r="B2858" s="234" t="str">
        <f>$K$182</f>
        <v>FEBRUARY - JULY 2026</v>
      </c>
      <c r="C2858" s="234"/>
      <c r="D2858" s="106" t="s">
        <v>124</v>
      </c>
      <c r="E2858" s="235" t="str">
        <f>$I$182</f>
        <v/>
      </c>
      <c r="F2858" s="236"/>
    </row>
    <row r="2859" spans="1:7" ht="12.4" customHeight="1">
      <c r="A2859" s="237" t="s">
        <v>130</v>
      </c>
      <c r="B2859" s="238"/>
      <c r="C2859" s="238"/>
      <c r="D2859" s="238"/>
      <c r="E2859" s="238"/>
      <c r="F2859" s="239"/>
    </row>
    <row r="2860" spans="1:7" ht="12.4" customHeight="1">
      <c r="A2860" s="245" t="s">
        <v>14</v>
      </c>
      <c r="B2860" s="240" t="s">
        <v>125</v>
      </c>
      <c r="C2860" s="241"/>
      <c r="D2860" s="102" t="s">
        <v>126</v>
      </c>
      <c r="E2860" s="109" t="s">
        <v>127</v>
      </c>
      <c r="F2860" s="102" t="s">
        <v>128</v>
      </c>
    </row>
    <row r="2861" spans="1:7" ht="12.4" customHeight="1">
      <c r="A2861" s="246"/>
      <c r="B2861" s="240" t="s">
        <v>129</v>
      </c>
      <c r="C2861" s="241"/>
      <c r="D2861" s="102">
        <v>100</v>
      </c>
      <c r="E2861" s="110" t="str" cm="1">
        <f t="array" ref="E2861:E2872">TRANSPOSE(K205:V205)</f>
        <v/>
      </c>
      <c r="F2861" s="104" t="str">
        <f>IF(E2861="","",IF(E2861&lt;D2861*60%,"Try harder",""))</f>
        <v/>
      </c>
    </row>
    <row r="2862" spans="1:7" ht="12.4" customHeight="1">
      <c r="A2862" s="246"/>
      <c r="B2862" s="242" t="s">
        <v>132</v>
      </c>
      <c r="C2862" s="133" t="str" cm="1">
        <f t="array" ref="C2862:C2871">TRANSPOSE($L$185:$U$185)</f>
        <v>Up-Low C</v>
      </c>
      <c r="D2862" s="134">
        <v>10</v>
      </c>
      <c r="E2862" s="135" t="str">
        <v/>
      </c>
      <c r="F2862" s="136" t="str">
        <f t="shared" ref="F2862:F2872" si="168">IF(E2862="","",IF(E2862&lt;D2862*60%,"Try harder",""))</f>
        <v/>
      </c>
    </row>
    <row r="2863" spans="1:7" ht="12.4" customHeight="1">
      <c r="A2863" s="246"/>
      <c r="B2863" s="243"/>
      <c r="C2863" s="137" t="str">
        <v>Alphabet N</v>
      </c>
      <c r="D2863" s="138">
        <v>10</v>
      </c>
      <c r="E2863" s="139" t="str">
        <v/>
      </c>
      <c r="F2863" s="140" t="str">
        <f t="shared" si="168"/>
        <v/>
      </c>
    </row>
    <row r="2864" spans="1:7" ht="12.4" customHeight="1">
      <c r="A2864" s="246"/>
      <c r="B2864" s="243"/>
      <c r="C2864" s="137" t="str">
        <v>Alphabet S</v>
      </c>
      <c r="D2864" s="138">
        <v>10</v>
      </c>
      <c r="E2864" s="139" t="str">
        <v/>
      </c>
      <c r="F2864" s="140" t="str">
        <f t="shared" si="168"/>
        <v/>
      </c>
    </row>
    <row r="2865" spans="1:7" ht="12.4" customHeight="1">
      <c r="A2865" s="246"/>
      <c r="B2865" s="243"/>
      <c r="C2865" s="137" t="str">
        <v>Vocabulary</v>
      </c>
      <c r="D2865" s="138">
        <v>10</v>
      </c>
      <c r="E2865" s="139" t="str">
        <v/>
      </c>
      <c r="F2865" s="140" t="str">
        <f t="shared" si="168"/>
        <v/>
      </c>
    </row>
    <row r="2866" spans="1:7" ht="12.4" customHeight="1">
      <c r="A2866" s="247" t="s">
        <v>131</v>
      </c>
      <c r="B2866" s="243"/>
      <c r="C2866" s="137" t="str">
        <v>Sprouts</v>
      </c>
      <c r="D2866" s="138">
        <v>10</v>
      </c>
      <c r="E2866" s="139" t="str">
        <v/>
      </c>
      <c r="F2866" s="140" t="str">
        <f t="shared" si="168"/>
        <v/>
      </c>
    </row>
    <row r="2867" spans="1:7" ht="12.4" customHeight="1">
      <c r="A2867" s="247"/>
      <c r="B2867" s="243"/>
      <c r="C2867" s="137" t="str">
        <v>Phonics</v>
      </c>
      <c r="D2867" s="138">
        <v>10</v>
      </c>
      <c r="E2867" s="139" t="str">
        <v/>
      </c>
      <c r="F2867" s="140" t="str">
        <f t="shared" si="168"/>
        <v/>
      </c>
    </row>
    <row r="2868" spans="1:7" ht="12.4" customHeight="1">
      <c r="A2868" s="247"/>
      <c r="B2868" s="243"/>
      <c r="C2868" s="137" t="str">
        <v>Math</v>
      </c>
      <c r="D2868" s="138">
        <v>10</v>
      </c>
      <c r="E2868" s="139" t="str">
        <v/>
      </c>
      <c r="F2868" s="140" t="str">
        <f t="shared" si="168"/>
        <v/>
      </c>
    </row>
    <row r="2869" spans="1:7" ht="12.4" customHeight="1">
      <c r="A2869" s="247"/>
      <c r="B2869" s="243"/>
      <c r="C2869" s="137" t="str">
        <v>Shape</v>
      </c>
      <c r="D2869" s="138">
        <v>10</v>
      </c>
      <c r="E2869" s="139" t="str">
        <v/>
      </c>
      <c r="F2869" s="140" t="str">
        <f t="shared" si="168"/>
        <v/>
      </c>
    </row>
    <row r="2870" spans="1:7" ht="12.4" customHeight="1">
      <c r="A2870" s="247"/>
      <c r="B2870" s="243"/>
      <c r="C2870" s="137" t="str">
        <v>Science</v>
      </c>
      <c r="D2870" s="138">
        <v>10</v>
      </c>
      <c r="E2870" s="139" t="str">
        <v/>
      </c>
      <c r="F2870" s="140" t="str">
        <f t="shared" si="168"/>
        <v/>
      </c>
    </row>
    <row r="2871" spans="1:7" ht="12.4" customHeight="1">
      <c r="A2871" s="247"/>
      <c r="B2871" s="244"/>
      <c r="C2871" s="141" t="str">
        <v>Tracing</v>
      </c>
      <c r="D2871" s="142">
        <v>10</v>
      </c>
      <c r="E2871" s="143" t="str">
        <v/>
      </c>
      <c r="F2871" s="144" t="str">
        <f t="shared" si="168"/>
        <v/>
      </c>
    </row>
    <row r="2872" spans="1:7" ht="12.4" customHeight="1">
      <c r="A2872" s="248"/>
      <c r="B2872" s="240" t="s">
        <v>133</v>
      </c>
      <c r="C2872" s="241"/>
      <c r="D2872" s="103">
        <f>D2861*20%+SUM(D2862:D2871)*80%</f>
        <v>100</v>
      </c>
      <c r="E2872" s="110" t="str">
        <v/>
      </c>
      <c r="F2872" s="104" t="str">
        <f t="shared" si="168"/>
        <v/>
      </c>
    </row>
    <row r="2874" spans="1:7" ht="12.4" customHeight="1">
      <c r="A2874" s="230" t="s">
        <v>121</v>
      </c>
      <c r="B2874" s="231"/>
      <c r="C2874" s="231"/>
      <c r="D2874" s="107" t="s">
        <v>123</v>
      </c>
      <c r="E2874" s="232" t="str">
        <f>I206</f>
        <v/>
      </c>
      <c r="F2874" s="233"/>
      <c r="G2874" s="101">
        <v>206</v>
      </c>
    </row>
    <row r="2875" spans="1:7" ht="12.4" customHeight="1">
      <c r="A2875" s="105" t="s">
        <v>122</v>
      </c>
      <c r="B2875" s="234" t="str">
        <f>$K$182</f>
        <v>FEBRUARY - JULY 2026</v>
      </c>
      <c r="C2875" s="234"/>
      <c r="D2875" s="106" t="s">
        <v>124</v>
      </c>
      <c r="E2875" s="235" t="str">
        <f>$I$182</f>
        <v/>
      </c>
      <c r="F2875" s="236"/>
    </row>
    <row r="2876" spans="1:7" ht="12.4" customHeight="1">
      <c r="A2876" s="237" t="s">
        <v>130</v>
      </c>
      <c r="B2876" s="238"/>
      <c r="C2876" s="238"/>
      <c r="D2876" s="238"/>
      <c r="E2876" s="238"/>
      <c r="F2876" s="239"/>
    </row>
    <row r="2877" spans="1:7" ht="12.4" customHeight="1">
      <c r="A2877" s="245" t="s">
        <v>14</v>
      </c>
      <c r="B2877" s="240" t="s">
        <v>125</v>
      </c>
      <c r="C2877" s="241"/>
      <c r="D2877" s="102" t="s">
        <v>126</v>
      </c>
      <c r="E2877" s="109" t="s">
        <v>127</v>
      </c>
      <c r="F2877" s="102" t="s">
        <v>128</v>
      </c>
    </row>
    <row r="2878" spans="1:7" ht="12.4" customHeight="1">
      <c r="A2878" s="246"/>
      <c r="B2878" s="240" t="s">
        <v>129</v>
      </c>
      <c r="C2878" s="241"/>
      <c r="D2878" s="102">
        <v>100</v>
      </c>
      <c r="E2878" s="110" t="str" cm="1">
        <f t="array" ref="E2878:E2889">TRANSPOSE(K206:V206)</f>
        <v/>
      </c>
      <c r="F2878" s="104" t="str">
        <f>IF(E2878="","",IF(E2878&lt;D2878*60%,"Try harder",""))</f>
        <v/>
      </c>
    </row>
    <row r="2879" spans="1:7" ht="12.4" customHeight="1">
      <c r="A2879" s="246"/>
      <c r="B2879" s="242" t="s">
        <v>132</v>
      </c>
      <c r="C2879" s="133" t="str" cm="1">
        <f t="array" ref="C2879:C2888">TRANSPOSE($L$185:$U$185)</f>
        <v>Up-Low C</v>
      </c>
      <c r="D2879" s="134">
        <v>10</v>
      </c>
      <c r="E2879" s="135" t="str">
        <v/>
      </c>
      <c r="F2879" s="136" t="str">
        <f t="shared" ref="F2879:F2889" si="169">IF(E2879="","",IF(E2879&lt;D2879*60%,"Try harder",""))</f>
        <v/>
      </c>
    </row>
    <row r="2880" spans="1:7" ht="12.4" customHeight="1">
      <c r="A2880" s="246"/>
      <c r="B2880" s="243"/>
      <c r="C2880" s="137" t="str">
        <v>Alphabet N</v>
      </c>
      <c r="D2880" s="138">
        <v>10</v>
      </c>
      <c r="E2880" s="139" t="str">
        <v/>
      </c>
      <c r="F2880" s="140" t="str">
        <f t="shared" si="169"/>
        <v/>
      </c>
    </row>
    <row r="2881" spans="1:7" ht="12.4" customHeight="1">
      <c r="A2881" s="246"/>
      <c r="B2881" s="243"/>
      <c r="C2881" s="137" t="str">
        <v>Alphabet S</v>
      </c>
      <c r="D2881" s="138">
        <v>10</v>
      </c>
      <c r="E2881" s="139" t="str">
        <v/>
      </c>
      <c r="F2881" s="140" t="str">
        <f t="shared" si="169"/>
        <v/>
      </c>
    </row>
    <row r="2882" spans="1:7" ht="12.4" customHeight="1">
      <c r="A2882" s="246"/>
      <c r="B2882" s="243"/>
      <c r="C2882" s="137" t="str">
        <v>Vocabulary</v>
      </c>
      <c r="D2882" s="138">
        <v>10</v>
      </c>
      <c r="E2882" s="139" t="str">
        <v/>
      </c>
      <c r="F2882" s="140" t="str">
        <f t="shared" si="169"/>
        <v/>
      </c>
    </row>
    <row r="2883" spans="1:7" ht="12.4" customHeight="1">
      <c r="A2883" s="247" t="s">
        <v>131</v>
      </c>
      <c r="B2883" s="243"/>
      <c r="C2883" s="137" t="str">
        <v>Sprouts</v>
      </c>
      <c r="D2883" s="138">
        <v>10</v>
      </c>
      <c r="E2883" s="139" t="str">
        <v/>
      </c>
      <c r="F2883" s="140" t="str">
        <f t="shared" si="169"/>
        <v/>
      </c>
    </row>
    <row r="2884" spans="1:7" ht="12.4" customHeight="1">
      <c r="A2884" s="247"/>
      <c r="B2884" s="243"/>
      <c r="C2884" s="137" t="str">
        <v>Phonics</v>
      </c>
      <c r="D2884" s="138">
        <v>10</v>
      </c>
      <c r="E2884" s="139" t="str">
        <v/>
      </c>
      <c r="F2884" s="140" t="str">
        <f t="shared" si="169"/>
        <v/>
      </c>
    </row>
    <row r="2885" spans="1:7" ht="12.4" customHeight="1">
      <c r="A2885" s="247"/>
      <c r="B2885" s="243"/>
      <c r="C2885" s="137" t="str">
        <v>Math</v>
      </c>
      <c r="D2885" s="138">
        <v>10</v>
      </c>
      <c r="E2885" s="139" t="str">
        <v/>
      </c>
      <c r="F2885" s="140" t="str">
        <f t="shared" si="169"/>
        <v/>
      </c>
    </row>
    <row r="2886" spans="1:7" ht="12.4" customHeight="1">
      <c r="A2886" s="247"/>
      <c r="B2886" s="243"/>
      <c r="C2886" s="137" t="str">
        <v>Shape</v>
      </c>
      <c r="D2886" s="138">
        <v>10</v>
      </c>
      <c r="E2886" s="139" t="str">
        <v/>
      </c>
      <c r="F2886" s="140" t="str">
        <f t="shared" si="169"/>
        <v/>
      </c>
    </row>
    <row r="2887" spans="1:7" ht="12.4" customHeight="1">
      <c r="A2887" s="247"/>
      <c r="B2887" s="243"/>
      <c r="C2887" s="137" t="str">
        <v>Science</v>
      </c>
      <c r="D2887" s="138">
        <v>10</v>
      </c>
      <c r="E2887" s="139" t="str">
        <v/>
      </c>
      <c r="F2887" s="140" t="str">
        <f t="shared" si="169"/>
        <v/>
      </c>
    </row>
    <row r="2888" spans="1:7" ht="12.4" customHeight="1">
      <c r="A2888" s="247"/>
      <c r="B2888" s="244"/>
      <c r="C2888" s="141" t="str">
        <v>Tracing</v>
      </c>
      <c r="D2888" s="142">
        <v>10</v>
      </c>
      <c r="E2888" s="143" t="str">
        <v/>
      </c>
      <c r="F2888" s="144" t="str">
        <f t="shared" si="169"/>
        <v/>
      </c>
    </row>
    <row r="2889" spans="1:7" ht="12.4" customHeight="1">
      <c r="A2889" s="248"/>
      <c r="B2889" s="240" t="s">
        <v>133</v>
      </c>
      <c r="C2889" s="241"/>
      <c r="D2889" s="103">
        <f>D2878*20%+SUM(D2879:D2888)*80%</f>
        <v>100</v>
      </c>
      <c r="E2889" s="110" t="str">
        <v/>
      </c>
      <c r="F2889" s="104" t="str">
        <f t="shared" si="169"/>
        <v/>
      </c>
    </row>
    <row r="2891" spans="1:7" ht="12.4" customHeight="1">
      <c r="A2891" s="230" t="s">
        <v>121</v>
      </c>
      <c r="B2891" s="231"/>
      <c r="C2891" s="231"/>
      <c r="D2891" s="107" t="s">
        <v>123</v>
      </c>
      <c r="E2891" s="232" t="str">
        <f>I207</f>
        <v/>
      </c>
      <c r="F2891" s="233"/>
      <c r="G2891" s="101">
        <v>207</v>
      </c>
    </row>
    <row r="2892" spans="1:7" ht="12.4" customHeight="1">
      <c r="A2892" s="105" t="s">
        <v>122</v>
      </c>
      <c r="B2892" s="234" t="str">
        <f>$K$182</f>
        <v>FEBRUARY - JULY 2026</v>
      </c>
      <c r="C2892" s="234"/>
      <c r="D2892" s="106" t="s">
        <v>124</v>
      </c>
      <c r="E2892" s="235" t="str">
        <f>$I$182</f>
        <v/>
      </c>
      <c r="F2892" s="236"/>
    </row>
    <row r="2893" spans="1:7" ht="12.4" customHeight="1">
      <c r="A2893" s="237" t="s">
        <v>130</v>
      </c>
      <c r="B2893" s="238"/>
      <c r="C2893" s="238"/>
      <c r="D2893" s="238"/>
      <c r="E2893" s="238"/>
      <c r="F2893" s="239"/>
    </row>
    <row r="2894" spans="1:7" ht="12.4" customHeight="1">
      <c r="A2894" s="245" t="s">
        <v>14</v>
      </c>
      <c r="B2894" s="240" t="s">
        <v>125</v>
      </c>
      <c r="C2894" s="241"/>
      <c r="D2894" s="102" t="s">
        <v>126</v>
      </c>
      <c r="E2894" s="109" t="s">
        <v>127</v>
      </c>
      <c r="F2894" s="102" t="s">
        <v>128</v>
      </c>
    </row>
    <row r="2895" spans="1:7" ht="12.4" customHeight="1">
      <c r="A2895" s="246"/>
      <c r="B2895" s="240" t="s">
        <v>129</v>
      </c>
      <c r="C2895" s="241"/>
      <c r="D2895" s="102">
        <v>100</v>
      </c>
      <c r="E2895" s="110" t="str" cm="1">
        <f t="array" ref="E2895:E2906">TRANSPOSE(K207:V207)</f>
        <v/>
      </c>
      <c r="F2895" s="104" t="str">
        <f>IF(E2895="","",IF(E2895&lt;D2895*60%,"Try harder",""))</f>
        <v/>
      </c>
    </row>
    <row r="2896" spans="1:7" ht="12.4" customHeight="1">
      <c r="A2896" s="246"/>
      <c r="B2896" s="242" t="s">
        <v>132</v>
      </c>
      <c r="C2896" s="133" t="str" cm="1">
        <f t="array" ref="C2896:C2905">TRANSPOSE($L$185:$U$185)</f>
        <v>Up-Low C</v>
      </c>
      <c r="D2896" s="134">
        <v>10</v>
      </c>
      <c r="E2896" s="135" t="str">
        <v/>
      </c>
      <c r="F2896" s="136" t="str">
        <f t="shared" ref="F2896:F2906" si="170">IF(E2896="","",IF(E2896&lt;D2896*60%,"Try harder",""))</f>
        <v/>
      </c>
    </row>
    <row r="2897" spans="1:7" ht="12.4" customHeight="1">
      <c r="A2897" s="246"/>
      <c r="B2897" s="243"/>
      <c r="C2897" s="137" t="str">
        <v>Alphabet N</v>
      </c>
      <c r="D2897" s="138">
        <v>10</v>
      </c>
      <c r="E2897" s="139" t="str">
        <v/>
      </c>
      <c r="F2897" s="140" t="str">
        <f t="shared" si="170"/>
        <v/>
      </c>
    </row>
    <row r="2898" spans="1:7" ht="12.4" customHeight="1">
      <c r="A2898" s="246"/>
      <c r="B2898" s="243"/>
      <c r="C2898" s="137" t="str">
        <v>Alphabet S</v>
      </c>
      <c r="D2898" s="138">
        <v>10</v>
      </c>
      <c r="E2898" s="139" t="str">
        <v/>
      </c>
      <c r="F2898" s="140" t="str">
        <f t="shared" si="170"/>
        <v/>
      </c>
    </row>
    <row r="2899" spans="1:7" ht="12.4" customHeight="1">
      <c r="A2899" s="246"/>
      <c r="B2899" s="243"/>
      <c r="C2899" s="137" t="str">
        <v>Vocabulary</v>
      </c>
      <c r="D2899" s="138">
        <v>10</v>
      </c>
      <c r="E2899" s="139" t="str">
        <v/>
      </c>
      <c r="F2899" s="140" t="str">
        <f t="shared" si="170"/>
        <v/>
      </c>
    </row>
    <row r="2900" spans="1:7" ht="12.4" customHeight="1">
      <c r="A2900" s="247" t="s">
        <v>131</v>
      </c>
      <c r="B2900" s="243"/>
      <c r="C2900" s="137" t="str">
        <v>Sprouts</v>
      </c>
      <c r="D2900" s="138">
        <v>10</v>
      </c>
      <c r="E2900" s="139" t="str">
        <v/>
      </c>
      <c r="F2900" s="140" t="str">
        <f t="shared" si="170"/>
        <v/>
      </c>
    </row>
    <row r="2901" spans="1:7" ht="12.4" customHeight="1">
      <c r="A2901" s="247"/>
      <c r="B2901" s="243"/>
      <c r="C2901" s="137" t="str">
        <v>Phonics</v>
      </c>
      <c r="D2901" s="138">
        <v>10</v>
      </c>
      <c r="E2901" s="139" t="str">
        <v/>
      </c>
      <c r="F2901" s="140" t="str">
        <f t="shared" si="170"/>
        <v/>
      </c>
    </row>
    <row r="2902" spans="1:7" ht="12.4" customHeight="1">
      <c r="A2902" s="247"/>
      <c r="B2902" s="243"/>
      <c r="C2902" s="137" t="str">
        <v>Math</v>
      </c>
      <c r="D2902" s="138">
        <v>10</v>
      </c>
      <c r="E2902" s="139" t="str">
        <v/>
      </c>
      <c r="F2902" s="140" t="str">
        <f t="shared" si="170"/>
        <v/>
      </c>
    </row>
    <row r="2903" spans="1:7" ht="12.4" customHeight="1">
      <c r="A2903" s="247"/>
      <c r="B2903" s="243"/>
      <c r="C2903" s="137" t="str">
        <v>Shape</v>
      </c>
      <c r="D2903" s="138">
        <v>10</v>
      </c>
      <c r="E2903" s="139" t="str">
        <v/>
      </c>
      <c r="F2903" s="140" t="str">
        <f t="shared" si="170"/>
        <v/>
      </c>
    </row>
    <row r="2904" spans="1:7" ht="12.4" customHeight="1">
      <c r="A2904" s="247"/>
      <c r="B2904" s="243"/>
      <c r="C2904" s="137" t="str">
        <v>Science</v>
      </c>
      <c r="D2904" s="138">
        <v>10</v>
      </c>
      <c r="E2904" s="139" t="str">
        <v/>
      </c>
      <c r="F2904" s="140" t="str">
        <f t="shared" si="170"/>
        <v/>
      </c>
    </row>
    <row r="2905" spans="1:7" ht="12.4" customHeight="1">
      <c r="A2905" s="247"/>
      <c r="B2905" s="244"/>
      <c r="C2905" s="141" t="str">
        <v>Tracing</v>
      </c>
      <c r="D2905" s="142">
        <v>10</v>
      </c>
      <c r="E2905" s="143" t="str">
        <v/>
      </c>
      <c r="F2905" s="144" t="str">
        <f t="shared" si="170"/>
        <v/>
      </c>
    </row>
    <row r="2906" spans="1:7" ht="12.4" customHeight="1">
      <c r="A2906" s="248"/>
      <c r="B2906" s="240" t="s">
        <v>133</v>
      </c>
      <c r="C2906" s="241"/>
      <c r="D2906" s="103">
        <f>D2895*20%+SUM(D2896:D2905)*80%</f>
        <v>100</v>
      </c>
      <c r="E2906" s="110" t="str">
        <v/>
      </c>
      <c r="F2906" s="104" t="str">
        <f t="shared" si="170"/>
        <v/>
      </c>
    </row>
    <row r="2908" spans="1:7" ht="12.4" customHeight="1">
      <c r="A2908" s="230" t="s">
        <v>121</v>
      </c>
      <c r="B2908" s="231"/>
      <c r="C2908" s="231"/>
      <c r="D2908" s="107" t="s">
        <v>123</v>
      </c>
      <c r="E2908" s="232" t="str">
        <f>I208</f>
        <v/>
      </c>
      <c r="F2908" s="233"/>
      <c r="G2908" s="101">
        <v>208</v>
      </c>
    </row>
    <row r="2909" spans="1:7" ht="12.4" customHeight="1">
      <c r="A2909" s="105" t="s">
        <v>122</v>
      </c>
      <c r="B2909" s="234" t="str">
        <f>$K$182</f>
        <v>FEBRUARY - JULY 2026</v>
      </c>
      <c r="C2909" s="234"/>
      <c r="D2909" s="106" t="s">
        <v>124</v>
      </c>
      <c r="E2909" s="235" t="str">
        <f>$I$182</f>
        <v/>
      </c>
      <c r="F2909" s="236"/>
    </row>
    <row r="2910" spans="1:7" ht="12.4" customHeight="1">
      <c r="A2910" s="237" t="s">
        <v>130</v>
      </c>
      <c r="B2910" s="238"/>
      <c r="C2910" s="238"/>
      <c r="D2910" s="238"/>
      <c r="E2910" s="238"/>
      <c r="F2910" s="239"/>
    </row>
    <row r="2911" spans="1:7" ht="12.4" customHeight="1">
      <c r="A2911" s="245" t="s">
        <v>14</v>
      </c>
      <c r="B2911" s="240" t="s">
        <v>125</v>
      </c>
      <c r="C2911" s="241"/>
      <c r="D2911" s="102" t="s">
        <v>126</v>
      </c>
      <c r="E2911" s="109" t="s">
        <v>127</v>
      </c>
      <c r="F2911" s="102" t="s">
        <v>128</v>
      </c>
    </row>
    <row r="2912" spans="1:7" ht="12.4" customHeight="1">
      <c r="A2912" s="246"/>
      <c r="B2912" s="240" t="s">
        <v>129</v>
      </c>
      <c r="C2912" s="241"/>
      <c r="D2912" s="102">
        <v>100</v>
      </c>
      <c r="E2912" s="110" t="str" cm="1">
        <f t="array" ref="E2912:E2923">TRANSPOSE(K208:V208)</f>
        <v/>
      </c>
      <c r="F2912" s="104" t="str">
        <f>IF(E2912="","",IF(E2912&lt;D2912*60%,"Try harder",""))</f>
        <v/>
      </c>
    </row>
    <row r="2913" spans="1:7" ht="12.4" customHeight="1">
      <c r="A2913" s="246"/>
      <c r="B2913" s="242" t="s">
        <v>132</v>
      </c>
      <c r="C2913" s="133" t="str" cm="1">
        <f t="array" ref="C2913:C2922">TRANSPOSE($L$185:$U$185)</f>
        <v>Up-Low C</v>
      </c>
      <c r="D2913" s="134">
        <v>10</v>
      </c>
      <c r="E2913" s="135" t="str">
        <v/>
      </c>
      <c r="F2913" s="136" t="str">
        <f t="shared" ref="F2913:F2923" si="171">IF(E2913="","",IF(E2913&lt;D2913*60%,"Try harder",""))</f>
        <v/>
      </c>
    </row>
    <row r="2914" spans="1:7" ht="12.4" customHeight="1">
      <c r="A2914" s="246"/>
      <c r="B2914" s="243"/>
      <c r="C2914" s="137" t="str">
        <v>Alphabet N</v>
      </c>
      <c r="D2914" s="138">
        <v>10</v>
      </c>
      <c r="E2914" s="139" t="str">
        <v/>
      </c>
      <c r="F2914" s="140" t="str">
        <f t="shared" si="171"/>
        <v/>
      </c>
    </row>
    <row r="2915" spans="1:7" ht="12.4" customHeight="1">
      <c r="A2915" s="246"/>
      <c r="B2915" s="243"/>
      <c r="C2915" s="137" t="str">
        <v>Alphabet S</v>
      </c>
      <c r="D2915" s="138">
        <v>10</v>
      </c>
      <c r="E2915" s="139" t="str">
        <v/>
      </c>
      <c r="F2915" s="140" t="str">
        <f t="shared" si="171"/>
        <v/>
      </c>
    </row>
    <row r="2916" spans="1:7" ht="12.4" customHeight="1">
      <c r="A2916" s="246"/>
      <c r="B2916" s="243"/>
      <c r="C2916" s="137" t="str">
        <v>Vocabulary</v>
      </c>
      <c r="D2916" s="138">
        <v>10</v>
      </c>
      <c r="E2916" s="139" t="str">
        <v/>
      </c>
      <c r="F2916" s="140" t="str">
        <f t="shared" si="171"/>
        <v/>
      </c>
    </row>
    <row r="2917" spans="1:7" ht="12.4" customHeight="1">
      <c r="A2917" s="247" t="s">
        <v>131</v>
      </c>
      <c r="B2917" s="243"/>
      <c r="C2917" s="137" t="str">
        <v>Sprouts</v>
      </c>
      <c r="D2917" s="138">
        <v>10</v>
      </c>
      <c r="E2917" s="139" t="str">
        <v/>
      </c>
      <c r="F2917" s="140" t="str">
        <f t="shared" si="171"/>
        <v/>
      </c>
    </row>
    <row r="2918" spans="1:7" ht="12.4" customHeight="1">
      <c r="A2918" s="247"/>
      <c r="B2918" s="243"/>
      <c r="C2918" s="137" t="str">
        <v>Phonics</v>
      </c>
      <c r="D2918" s="138">
        <v>10</v>
      </c>
      <c r="E2918" s="139" t="str">
        <v/>
      </c>
      <c r="F2918" s="140" t="str">
        <f t="shared" si="171"/>
        <v/>
      </c>
    </row>
    <row r="2919" spans="1:7" ht="12.4" customHeight="1">
      <c r="A2919" s="247"/>
      <c r="B2919" s="243"/>
      <c r="C2919" s="137" t="str">
        <v>Math</v>
      </c>
      <c r="D2919" s="138">
        <v>10</v>
      </c>
      <c r="E2919" s="139" t="str">
        <v/>
      </c>
      <c r="F2919" s="140" t="str">
        <f t="shared" si="171"/>
        <v/>
      </c>
    </row>
    <row r="2920" spans="1:7" ht="12.4" customHeight="1">
      <c r="A2920" s="247"/>
      <c r="B2920" s="243"/>
      <c r="C2920" s="137" t="str">
        <v>Shape</v>
      </c>
      <c r="D2920" s="138">
        <v>10</v>
      </c>
      <c r="E2920" s="139" t="str">
        <v/>
      </c>
      <c r="F2920" s="140" t="str">
        <f t="shared" si="171"/>
        <v/>
      </c>
    </row>
    <row r="2921" spans="1:7" ht="12.4" customHeight="1">
      <c r="A2921" s="247"/>
      <c r="B2921" s="243"/>
      <c r="C2921" s="137" t="str">
        <v>Science</v>
      </c>
      <c r="D2921" s="138">
        <v>10</v>
      </c>
      <c r="E2921" s="139" t="str">
        <v/>
      </c>
      <c r="F2921" s="140" t="str">
        <f t="shared" si="171"/>
        <v/>
      </c>
    </row>
    <row r="2922" spans="1:7" ht="12.4" customHeight="1">
      <c r="A2922" s="247"/>
      <c r="B2922" s="244"/>
      <c r="C2922" s="141" t="str">
        <v>Tracing</v>
      </c>
      <c r="D2922" s="142">
        <v>10</v>
      </c>
      <c r="E2922" s="143" t="str">
        <v/>
      </c>
      <c r="F2922" s="144" t="str">
        <f t="shared" si="171"/>
        <v/>
      </c>
    </row>
    <row r="2923" spans="1:7" ht="12.4" customHeight="1">
      <c r="A2923" s="248"/>
      <c r="B2923" s="240" t="s">
        <v>133</v>
      </c>
      <c r="C2923" s="241"/>
      <c r="D2923" s="103">
        <f>D2912*20%+SUM(D2913:D2922)*80%</f>
        <v>100</v>
      </c>
      <c r="E2923" s="110" t="str">
        <v/>
      </c>
      <c r="F2923" s="104" t="str">
        <f t="shared" si="171"/>
        <v/>
      </c>
    </row>
    <row r="2925" spans="1:7" ht="12.4" customHeight="1">
      <c r="A2925" s="230" t="s">
        <v>121</v>
      </c>
      <c r="B2925" s="231"/>
      <c r="C2925" s="231"/>
      <c r="D2925" s="107" t="s">
        <v>123</v>
      </c>
      <c r="E2925" s="232" t="str">
        <f>I209</f>
        <v/>
      </c>
      <c r="F2925" s="233"/>
      <c r="G2925" s="101">
        <v>209</v>
      </c>
    </row>
    <row r="2926" spans="1:7" ht="12.4" customHeight="1">
      <c r="A2926" s="105" t="s">
        <v>122</v>
      </c>
      <c r="B2926" s="235" t="str">
        <f>$K$182</f>
        <v>FEBRUARY - JULY 2026</v>
      </c>
      <c r="C2926" s="235"/>
      <c r="D2926" s="106" t="s">
        <v>124</v>
      </c>
      <c r="E2926" s="235" t="str">
        <f>$I$182</f>
        <v/>
      </c>
      <c r="F2926" s="236"/>
    </row>
    <row r="2927" spans="1:7" ht="12.4" customHeight="1">
      <c r="A2927" s="237" t="s">
        <v>130</v>
      </c>
      <c r="B2927" s="238"/>
      <c r="C2927" s="238"/>
      <c r="D2927" s="238"/>
      <c r="E2927" s="238"/>
      <c r="F2927" s="239"/>
    </row>
    <row r="2928" spans="1:7" ht="12.4" customHeight="1">
      <c r="A2928" s="245" t="s">
        <v>14</v>
      </c>
      <c r="B2928" s="240" t="s">
        <v>125</v>
      </c>
      <c r="C2928" s="241"/>
      <c r="D2928" s="102" t="s">
        <v>126</v>
      </c>
      <c r="E2928" s="109" t="s">
        <v>127</v>
      </c>
      <c r="F2928" s="102" t="s">
        <v>128</v>
      </c>
    </row>
    <row r="2929" spans="1:7" ht="12.4" customHeight="1">
      <c r="A2929" s="246"/>
      <c r="B2929" s="240" t="s">
        <v>129</v>
      </c>
      <c r="C2929" s="241"/>
      <c r="D2929" s="102">
        <v>100</v>
      </c>
      <c r="E2929" s="110" t="str" cm="1">
        <f t="array" ref="E2929:E2940">TRANSPOSE(K209:V209)</f>
        <v/>
      </c>
      <c r="F2929" s="104" t="str">
        <f>IF(E2929="","",IF(E2929&lt;D2929*60%,"Try harder",""))</f>
        <v/>
      </c>
    </row>
    <row r="2930" spans="1:7" ht="12.4" customHeight="1">
      <c r="A2930" s="246"/>
      <c r="B2930" s="242" t="s">
        <v>132</v>
      </c>
      <c r="C2930" s="133" t="str" cm="1">
        <f t="array" ref="C2930:C2939">TRANSPOSE($L$185:$U$185)</f>
        <v>Up-Low C</v>
      </c>
      <c r="D2930" s="134">
        <v>10</v>
      </c>
      <c r="E2930" s="135" t="str">
        <v/>
      </c>
      <c r="F2930" s="136" t="str">
        <f t="shared" ref="F2930:F2940" si="172">IF(E2930="","",IF(E2930&lt;D2930*60%,"Try harder",""))</f>
        <v/>
      </c>
    </row>
    <row r="2931" spans="1:7" ht="12.4" customHeight="1">
      <c r="A2931" s="246"/>
      <c r="B2931" s="243"/>
      <c r="C2931" s="137" t="str">
        <v>Alphabet N</v>
      </c>
      <c r="D2931" s="138">
        <v>10</v>
      </c>
      <c r="E2931" s="139" t="str">
        <v/>
      </c>
      <c r="F2931" s="140" t="str">
        <f t="shared" si="172"/>
        <v/>
      </c>
    </row>
    <row r="2932" spans="1:7" ht="12.4" customHeight="1">
      <c r="A2932" s="246"/>
      <c r="B2932" s="243"/>
      <c r="C2932" s="137" t="str">
        <v>Alphabet S</v>
      </c>
      <c r="D2932" s="138">
        <v>10</v>
      </c>
      <c r="E2932" s="139" t="str">
        <v/>
      </c>
      <c r="F2932" s="140" t="str">
        <f t="shared" si="172"/>
        <v/>
      </c>
    </row>
    <row r="2933" spans="1:7" ht="12.4" customHeight="1">
      <c r="A2933" s="246"/>
      <c r="B2933" s="243"/>
      <c r="C2933" s="137" t="str">
        <v>Vocabulary</v>
      </c>
      <c r="D2933" s="138">
        <v>10</v>
      </c>
      <c r="E2933" s="139" t="str">
        <v/>
      </c>
      <c r="F2933" s="140" t="str">
        <f t="shared" si="172"/>
        <v/>
      </c>
    </row>
    <row r="2934" spans="1:7" ht="12.4" customHeight="1">
      <c r="A2934" s="247" t="s">
        <v>131</v>
      </c>
      <c r="B2934" s="243"/>
      <c r="C2934" s="137" t="str">
        <v>Sprouts</v>
      </c>
      <c r="D2934" s="138">
        <v>10</v>
      </c>
      <c r="E2934" s="139" t="str">
        <v/>
      </c>
      <c r="F2934" s="140" t="str">
        <f t="shared" si="172"/>
        <v/>
      </c>
    </row>
    <row r="2935" spans="1:7" ht="12.4" customHeight="1">
      <c r="A2935" s="247"/>
      <c r="B2935" s="243"/>
      <c r="C2935" s="137" t="str">
        <v>Phonics</v>
      </c>
      <c r="D2935" s="138">
        <v>10</v>
      </c>
      <c r="E2935" s="139" t="str">
        <v/>
      </c>
      <c r="F2935" s="140" t="str">
        <f t="shared" si="172"/>
        <v/>
      </c>
    </row>
    <row r="2936" spans="1:7" ht="12.4" customHeight="1">
      <c r="A2936" s="247"/>
      <c r="B2936" s="243"/>
      <c r="C2936" s="137" t="str">
        <v>Math</v>
      </c>
      <c r="D2936" s="138">
        <v>10</v>
      </c>
      <c r="E2936" s="139" t="str">
        <v/>
      </c>
      <c r="F2936" s="140" t="str">
        <f t="shared" si="172"/>
        <v/>
      </c>
    </row>
    <row r="2937" spans="1:7" ht="12.4" customHeight="1">
      <c r="A2937" s="247"/>
      <c r="B2937" s="243"/>
      <c r="C2937" s="137" t="str">
        <v>Shape</v>
      </c>
      <c r="D2937" s="138">
        <v>10</v>
      </c>
      <c r="E2937" s="139" t="str">
        <v/>
      </c>
      <c r="F2937" s="140" t="str">
        <f t="shared" si="172"/>
        <v/>
      </c>
    </row>
    <row r="2938" spans="1:7" ht="12.4" customHeight="1">
      <c r="A2938" s="247"/>
      <c r="B2938" s="243"/>
      <c r="C2938" s="137" t="str">
        <v>Science</v>
      </c>
      <c r="D2938" s="138">
        <v>10</v>
      </c>
      <c r="E2938" s="139" t="str">
        <v/>
      </c>
      <c r="F2938" s="140" t="str">
        <f t="shared" si="172"/>
        <v/>
      </c>
    </row>
    <row r="2939" spans="1:7" ht="12.4" customHeight="1">
      <c r="A2939" s="247"/>
      <c r="B2939" s="244"/>
      <c r="C2939" s="141" t="str">
        <v>Tracing</v>
      </c>
      <c r="D2939" s="142">
        <v>10</v>
      </c>
      <c r="E2939" s="143" t="str">
        <v/>
      </c>
      <c r="F2939" s="144" t="str">
        <f t="shared" si="172"/>
        <v/>
      </c>
    </row>
    <row r="2940" spans="1:7" ht="12.4" customHeight="1">
      <c r="A2940" s="248"/>
      <c r="B2940" s="240" t="s">
        <v>133</v>
      </c>
      <c r="C2940" s="241"/>
      <c r="D2940" s="103">
        <f>D2929*20%+SUM(D2930:D2939)*80%</f>
        <v>100</v>
      </c>
      <c r="E2940" s="110" t="str">
        <v/>
      </c>
      <c r="F2940" s="104" t="str">
        <f t="shared" si="172"/>
        <v/>
      </c>
    </row>
    <row r="2942" spans="1:7" ht="12.4" customHeight="1">
      <c r="A2942" s="230" t="s">
        <v>121</v>
      </c>
      <c r="B2942" s="231"/>
      <c r="C2942" s="231"/>
      <c r="D2942" s="107" t="s">
        <v>123</v>
      </c>
      <c r="E2942" s="232" t="str">
        <f>I210</f>
        <v/>
      </c>
      <c r="F2942" s="233"/>
      <c r="G2942" s="101">
        <v>210</v>
      </c>
    </row>
    <row r="2943" spans="1:7" ht="12.4" customHeight="1">
      <c r="A2943" s="105" t="s">
        <v>122</v>
      </c>
      <c r="B2943" s="234" t="str">
        <f>$K$182</f>
        <v>FEBRUARY - JULY 2026</v>
      </c>
      <c r="C2943" s="234"/>
      <c r="D2943" s="106" t="s">
        <v>124</v>
      </c>
      <c r="E2943" s="235" t="str">
        <f>$I$182</f>
        <v/>
      </c>
      <c r="F2943" s="236"/>
    </row>
    <row r="2944" spans="1:7" ht="12.4" customHeight="1">
      <c r="A2944" s="237" t="s">
        <v>130</v>
      </c>
      <c r="B2944" s="238"/>
      <c r="C2944" s="238"/>
      <c r="D2944" s="238"/>
      <c r="E2944" s="238"/>
      <c r="F2944" s="239"/>
    </row>
    <row r="2945" spans="1:7" ht="12.4" customHeight="1">
      <c r="A2945" s="245" t="s">
        <v>14</v>
      </c>
      <c r="B2945" s="240" t="s">
        <v>125</v>
      </c>
      <c r="C2945" s="241"/>
      <c r="D2945" s="102" t="s">
        <v>126</v>
      </c>
      <c r="E2945" s="109" t="s">
        <v>127</v>
      </c>
      <c r="F2945" s="102" t="s">
        <v>128</v>
      </c>
    </row>
    <row r="2946" spans="1:7" ht="12.4" customHeight="1">
      <c r="A2946" s="246"/>
      <c r="B2946" s="240" t="s">
        <v>129</v>
      </c>
      <c r="C2946" s="241"/>
      <c r="D2946" s="102">
        <v>100</v>
      </c>
      <c r="E2946" s="110" t="str" cm="1">
        <f t="array" ref="E2946:E2957">TRANSPOSE(K210:V210)</f>
        <v/>
      </c>
      <c r="F2946" s="104" t="str">
        <f>IF(E2946="","",IF(E2946&lt;D2946*60%,"Try harder",""))</f>
        <v/>
      </c>
    </row>
    <row r="2947" spans="1:7" ht="12.4" customHeight="1">
      <c r="A2947" s="246"/>
      <c r="B2947" s="242" t="s">
        <v>132</v>
      </c>
      <c r="C2947" s="133" t="str" cm="1">
        <f t="array" ref="C2947:C2956">TRANSPOSE($L$185:$U$185)</f>
        <v>Up-Low C</v>
      </c>
      <c r="D2947" s="134">
        <v>10</v>
      </c>
      <c r="E2947" s="135" t="str">
        <v/>
      </c>
      <c r="F2947" s="136" t="str">
        <f t="shared" ref="F2947:F2957" si="173">IF(E2947="","",IF(E2947&lt;D2947*60%,"Try harder",""))</f>
        <v/>
      </c>
    </row>
    <row r="2948" spans="1:7" ht="12.4" customHeight="1">
      <c r="A2948" s="246"/>
      <c r="B2948" s="243"/>
      <c r="C2948" s="137" t="str">
        <v>Alphabet N</v>
      </c>
      <c r="D2948" s="138">
        <v>10</v>
      </c>
      <c r="E2948" s="139" t="str">
        <v/>
      </c>
      <c r="F2948" s="140" t="str">
        <f t="shared" si="173"/>
        <v/>
      </c>
    </row>
    <row r="2949" spans="1:7" ht="12.4" customHeight="1">
      <c r="A2949" s="246"/>
      <c r="B2949" s="243"/>
      <c r="C2949" s="137" t="str">
        <v>Alphabet S</v>
      </c>
      <c r="D2949" s="138">
        <v>10</v>
      </c>
      <c r="E2949" s="139" t="str">
        <v/>
      </c>
      <c r="F2949" s="140" t="str">
        <f t="shared" si="173"/>
        <v/>
      </c>
    </row>
    <row r="2950" spans="1:7" ht="12.4" customHeight="1">
      <c r="A2950" s="246"/>
      <c r="B2950" s="243"/>
      <c r="C2950" s="137" t="str">
        <v>Vocabulary</v>
      </c>
      <c r="D2950" s="138">
        <v>10</v>
      </c>
      <c r="E2950" s="139" t="str">
        <v/>
      </c>
      <c r="F2950" s="140" t="str">
        <f t="shared" si="173"/>
        <v/>
      </c>
    </row>
    <row r="2951" spans="1:7" ht="12.4" customHeight="1">
      <c r="A2951" s="247" t="s">
        <v>131</v>
      </c>
      <c r="B2951" s="243"/>
      <c r="C2951" s="137" t="str">
        <v>Sprouts</v>
      </c>
      <c r="D2951" s="138">
        <v>10</v>
      </c>
      <c r="E2951" s="139" t="str">
        <v/>
      </c>
      <c r="F2951" s="140" t="str">
        <f t="shared" si="173"/>
        <v/>
      </c>
    </row>
    <row r="2952" spans="1:7" ht="12.4" customHeight="1">
      <c r="A2952" s="247"/>
      <c r="B2952" s="243"/>
      <c r="C2952" s="137" t="str">
        <v>Phonics</v>
      </c>
      <c r="D2952" s="138">
        <v>10</v>
      </c>
      <c r="E2952" s="139" t="str">
        <v/>
      </c>
      <c r="F2952" s="140" t="str">
        <f t="shared" si="173"/>
        <v/>
      </c>
    </row>
    <row r="2953" spans="1:7" ht="12.4" customHeight="1">
      <c r="A2953" s="247"/>
      <c r="B2953" s="243"/>
      <c r="C2953" s="137" t="str">
        <v>Math</v>
      </c>
      <c r="D2953" s="138">
        <v>10</v>
      </c>
      <c r="E2953" s="139" t="str">
        <v/>
      </c>
      <c r="F2953" s="140" t="str">
        <f t="shared" si="173"/>
        <v/>
      </c>
    </row>
    <row r="2954" spans="1:7" ht="12.4" customHeight="1">
      <c r="A2954" s="247"/>
      <c r="B2954" s="243"/>
      <c r="C2954" s="137" t="str">
        <v>Shape</v>
      </c>
      <c r="D2954" s="138">
        <v>10</v>
      </c>
      <c r="E2954" s="139" t="str">
        <v/>
      </c>
      <c r="F2954" s="140" t="str">
        <f t="shared" si="173"/>
        <v/>
      </c>
    </row>
    <row r="2955" spans="1:7" ht="12.4" customHeight="1">
      <c r="A2955" s="247"/>
      <c r="B2955" s="243"/>
      <c r="C2955" s="137" t="str">
        <v>Science</v>
      </c>
      <c r="D2955" s="138">
        <v>10</v>
      </c>
      <c r="E2955" s="139" t="str">
        <v/>
      </c>
      <c r="F2955" s="140" t="str">
        <f t="shared" si="173"/>
        <v/>
      </c>
    </row>
    <row r="2956" spans="1:7" ht="12.4" customHeight="1">
      <c r="A2956" s="247"/>
      <c r="B2956" s="244"/>
      <c r="C2956" s="141" t="str">
        <v>Tracing</v>
      </c>
      <c r="D2956" s="142">
        <v>10</v>
      </c>
      <c r="E2956" s="143" t="str">
        <v/>
      </c>
      <c r="F2956" s="144" t="str">
        <f t="shared" si="173"/>
        <v/>
      </c>
    </row>
    <row r="2957" spans="1:7" ht="12.4" customHeight="1">
      <c r="A2957" s="248"/>
      <c r="B2957" s="240" t="s">
        <v>133</v>
      </c>
      <c r="C2957" s="241"/>
      <c r="D2957" s="103">
        <f>D2946*20%+SUM(D2947:D2956)*80%</f>
        <v>100</v>
      </c>
      <c r="E2957" s="110" t="str">
        <v/>
      </c>
      <c r="F2957" s="104" t="str">
        <f t="shared" si="173"/>
        <v/>
      </c>
    </row>
    <row r="2959" spans="1:7" ht="12.4" customHeight="1">
      <c r="A2959" s="230" t="s">
        <v>121</v>
      </c>
      <c r="B2959" s="231"/>
      <c r="C2959" s="231"/>
      <c r="D2959" s="107" t="s">
        <v>123</v>
      </c>
      <c r="E2959" s="232" t="str">
        <f>I211</f>
        <v/>
      </c>
      <c r="F2959" s="233"/>
      <c r="G2959" s="101">
        <v>211</v>
      </c>
    </row>
    <row r="2960" spans="1:7" ht="12.4" customHeight="1">
      <c r="A2960" s="105" t="s">
        <v>122</v>
      </c>
      <c r="B2960" s="234" t="str">
        <f>$K$182</f>
        <v>FEBRUARY - JULY 2026</v>
      </c>
      <c r="C2960" s="234"/>
      <c r="D2960" s="106" t="s">
        <v>124</v>
      </c>
      <c r="E2960" s="235" t="str">
        <f>$I$182</f>
        <v/>
      </c>
      <c r="F2960" s="236"/>
    </row>
    <row r="2961" spans="1:7" ht="12.4" customHeight="1">
      <c r="A2961" s="237" t="s">
        <v>130</v>
      </c>
      <c r="B2961" s="238"/>
      <c r="C2961" s="238"/>
      <c r="D2961" s="238"/>
      <c r="E2961" s="238"/>
      <c r="F2961" s="239"/>
    </row>
    <row r="2962" spans="1:7" ht="12.4" customHeight="1">
      <c r="A2962" s="245" t="s">
        <v>14</v>
      </c>
      <c r="B2962" s="240" t="s">
        <v>125</v>
      </c>
      <c r="C2962" s="241"/>
      <c r="D2962" s="102" t="s">
        <v>126</v>
      </c>
      <c r="E2962" s="109" t="s">
        <v>127</v>
      </c>
      <c r="F2962" s="102" t="s">
        <v>128</v>
      </c>
    </row>
    <row r="2963" spans="1:7" ht="12.4" customHeight="1">
      <c r="A2963" s="246"/>
      <c r="B2963" s="240" t="s">
        <v>129</v>
      </c>
      <c r="C2963" s="241"/>
      <c r="D2963" s="102">
        <v>100</v>
      </c>
      <c r="E2963" s="110" t="str" cm="1">
        <f t="array" ref="E2963:E2974">TRANSPOSE(K211:V211)</f>
        <v/>
      </c>
      <c r="F2963" s="104" t="str">
        <f>IF(E2963="","",IF(E2963&lt;D2963*60%,"Try harder",""))</f>
        <v/>
      </c>
    </row>
    <row r="2964" spans="1:7" ht="12.4" customHeight="1">
      <c r="A2964" s="246"/>
      <c r="B2964" s="242" t="s">
        <v>132</v>
      </c>
      <c r="C2964" s="133" t="str" cm="1">
        <f t="array" ref="C2964:C2973">TRANSPOSE($L$185:$U$185)</f>
        <v>Up-Low C</v>
      </c>
      <c r="D2964" s="134">
        <v>10</v>
      </c>
      <c r="E2964" s="135" t="str">
        <v/>
      </c>
      <c r="F2964" s="136" t="str">
        <f t="shared" ref="F2964:F2974" si="174">IF(E2964="","",IF(E2964&lt;D2964*60%,"Try harder",""))</f>
        <v/>
      </c>
    </row>
    <row r="2965" spans="1:7" ht="12.4" customHeight="1">
      <c r="A2965" s="246"/>
      <c r="B2965" s="243"/>
      <c r="C2965" s="137" t="str">
        <v>Alphabet N</v>
      </c>
      <c r="D2965" s="138">
        <v>10</v>
      </c>
      <c r="E2965" s="139" t="str">
        <v/>
      </c>
      <c r="F2965" s="140" t="str">
        <f t="shared" si="174"/>
        <v/>
      </c>
    </row>
    <row r="2966" spans="1:7" ht="12.4" customHeight="1">
      <c r="A2966" s="246"/>
      <c r="B2966" s="243"/>
      <c r="C2966" s="137" t="str">
        <v>Alphabet S</v>
      </c>
      <c r="D2966" s="138">
        <v>10</v>
      </c>
      <c r="E2966" s="139" t="str">
        <v/>
      </c>
      <c r="F2966" s="140" t="str">
        <f t="shared" si="174"/>
        <v/>
      </c>
    </row>
    <row r="2967" spans="1:7" ht="12.4" customHeight="1">
      <c r="A2967" s="246"/>
      <c r="B2967" s="243"/>
      <c r="C2967" s="137" t="str">
        <v>Vocabulary</v>
      </c>
      <c r="D2967" s="138">
        <v>10</v>
      </c>
      <c r="E2967" s="139" t="str">
        <v/>
      </c>
      <c r="F2967" s="140" t="str">
        <f t="shared" si="174"/>
        <v/>
      </c>
    </row>
    <row r="2968" spans="1:7" ht="12.4" customHeight="1">
      <c r="A2968" s="247" t="s">
        <v>131</v>
      </c>
      <c r="B2968" s="243"/>
      <c r="C2968" s="137" t="str">
        <v>Sprouts</v>
      </c>
      <c r="D2968" s="138">
        <v>10</v>
      </c>
      <c r="E2968" s="139" t="str">
        <v/>
      </c>
      <c r="F2968" s="140" t="str">
        <f t="shared" si="174"/>
        <v/>
      </c>
    </row>
    <row r="2969" spans="1:7" ht="12.4" customHeight="1">
      <c r="A2969" s="247"/>
      <c r="B2969" s="243"/>
      <c r="C2969" s="137" t="str">
        <v>Phonics</v>
      </c>
      <c r="D2969" s="138">
        <v>10</v>
      </c>
      <c r="E2969" s="139" t="str">
        <v/>
      </c>
      <c r="F2969" s="140" t="str">
        <f t="shared" si="174"/>
        <v/>
      </c>
    </row>
    <row r="2970" spans="1:7" ht="12.4" customHeight="1">
      <c r="A2970" s="247"/>
      <c r="B2970" s="243"/>
      <c r="C2970" s="137" t="str">
        <v>Math</v>
      </c>
      <c r="D2970" s="138">
        <v>10</v>
      </c>
      <c r="E2970" s="139" t="str">
        <v/>
      </c>
      <c r="F2970" s="140" t="str">
        <f t="shared" si="174"/>
        <v/>
      </c>
    </row>
    <row r="2971" spans="1:7" ht="12.4" customHeight="1">
      <c r="A2971" s="247"/>
      <c r="B2971" s="243"/>
      <c r="C2971" s="137" t="str">
        <v>Shape</v>
      </c>
      <c r="D2971" s="138">
        <v>10</v>
      </c>
      <c r="E2971" s="139" t="str">
        <v/>
      </c>
      <c r="F2971" s="140" t="str">
        <f t="shared" si="174"/>
        <v/>
      </c>
    </row>
    <row r="2972" spans="1:7" ht="12.4" customHeight="1">
      <c r="A2972" s="247"/>
      <c r="B2972" s="243"/>
      <c r="C2972" s="137" t="str">
        <v>Science</v>
      </c>
      <c r="D2972" s="138">
        <v>10</v>
      </c>
      <c r="E2972" s="139" t="str">
        <v/>
      </c>
      <c r="F2972" s="140" t="str">
        <f t="shared" si="174"/>
        <v/>
      </c>
    </row>
    <row r="2973" spans="1:7" ht="12.4" customHeight="1">
      <c r="A2973" s="247"/>
      <c r="B2973" s="244"/>
      <c r="C2973" s="141" t="str">
        <v>Tracing</v>
      </c>
      <c r="D2973" s="142">
        <v>10</v>
      </c>
      <c r="E2973" s="143" t="str">
        <v/>
      </c>
      <c r="F2973" s="144" t="str">
        <f t="shared" si="174"/>
        <v/>
      </c>
    </row>
    <row r="2974" spans="1:7" ht="12.4" customHeight="1">
      <c r="A2974" s="248"/>
      <c r="B2974" s="240" t="s">
        <v>133</v>
      </c>
      <c r="C2974" s="241"/>
      <c r="D2974" s="103">
        <f>D2963*20%+SUM(D2964:D2973)*80%</f>
        <v>100</v>
      </c>
      <c r="E2974" s="110" t="str">
        <v/>
      </c>
      <c r="F2974" s="104" t="str">
        <f t="shared" si="174"/>
        <v/>
      </c>
    </row>
    <row r="2976" spans="1:7" ht="12.4" customHeight="1">
      <c r="A2976" s="230" t="s">
        <v>121</v>
      </c>
      <c r="B2976" s="231"/>
      <c r="C2976" s="231"/>
      <c r="D2976" s="107" t="s">
        <v>123</v>
      </c>
      <c r="E2976" s="232" t="str">
        <f>I212</f>
        <v/>
      </c>
      <c r="F2976" s="233"/>
      <c r="G2976" s="101">
        <v>212</v>
      </c>
    </row>
    <row r="2977" spans="1:6" ht="12.4" customHeight="1">
      <c r="A2977" s="105" t="s">
        <v>122</v>
      </c>
      <c r="B2977" s="234" t="str">
        <f>$K$182</f>
        <v>FEBRUARY - JULY 2026</v>
      </c>
      <c r="C2977" s="234"/>
      <c r="D2977" s="106" t="s">
        <v>124</v>
      </c>
      <c r="E2977" s="235" t="str">
        <f>$I$182</f>
        <v/>
      </c>
      <c r="F2977" s="236"/>
    </row>
    <row r="2978" spans="1:6" ht="12.4" customHeight="1">
      <c r="A2978" s="237" t="s">
        <v>130</v>
      </c>
      <c r="B2978" s="238"/>
      <c r="C2978" s="238"/>
      <c r="D2978" s="238"/>
      <c r="E2978" s="238"/>
      <c r="F2978" s="239"/>
    </row>
    <row r="2979" spans="1:6" ht="12.4" customHeight="1">
      <c r="A2979" s="245" t="s">
        <v>14</v>
      </c>
      <c r="B2979" s="240" t="s">
        <v>125</v>
      </c>
      <c r="C2979" s="241"/>
      <c r="D2979" s="102" t="s">
        <v>126</v>
      </c>
      <c r="E2979" s="109" t="s">
        <v>127</v>
      </c>
      <c r="F2979" s="102" t="s">
        <v>128</v>
      </c>
    </row>
    <row r="2980" spans="1:6" ht="12.4" customHeight="1">
      <c r="A2980" s="246"/>
      <c r="B2980" s="240" t="s">
        <v>129</v>
      </c>
      <c r="C2980" s="241"/>
      <c r="D2980" s="102">
        <v>100</v>
      </c>
      <c r="E2980" s="110" t="str" cm="1">
        <f t="array" ref="E2980:E2991">TRANSPOSE(K212:V212)</f>
        <v/>
      </c>
      <c r="F2980" s="104" t="str">
        <f>IF(E2980="","",IF(E2980&lt;D2980*60%,"Try harder",""))</f>
        <v/>
      </c>
    </row>
    <row r="2981" spans="1:6" ht="12.4" customHeight="1">
      <c r="A2981" s="246"/>
      <c r="B2981" s="242" t="s">
        <v>132</v>
      </c>
      <c r="C2981" s="133" t="str" cm="1">
        <f t="array" ref="C2981:C2990">TRANSPOSE($L$185:$U$185)</f>
        <v>Up-Low C</v>
      </c>
      <c r="D2981" s="134">
        <v>10</v>
      </c>
      <c r="E2981" s="135" t="str">
        <v/>
      </c>
      <c r="F2981" s="136" t="str">
        <f t="shared" ref="F2981:F2991" si="175">IF(E2981="","",IF(E2981&lt;D2981*60%,"Try harder",""))</f>
        <v/>
      </c>
    </row>
    <row r="2982" spans="1:6" ht="12.4" customHeight="1">
      <c r="A2982" s="246"/>
      <c r="B2982" s="243"/>
      <c r="C2982" s="137" t="str">
        <v>Alphabet N</v>
      </c>
      <c r="D2982" s="138">
        <v>10</v>
      </c>
      <c r="E2982" s="139" t="str">
        <v/>
      </c>
      <c r="F2982" s="140" t="str">
        <f t="shared" si="175"/>
        <v/>
      </c>
    </row>
    <row r="2983" spans="1:6" ht="12.4" customHeight="1">
      <c r="A2983" s="246"/>
      <c r="B2983" s="243"/>
      <c r="C2983" s="137" t="str">
        <v>Alphabet S</v>
      </c>
      <c r="D2983" s="138">
        <v>10</v>
      </c>
      <c r="E2983" s="139" t="str">
        <v/>
      </c>
      <c r="F2983" s="140" t="str">
        <f t="shared" si="175"/>
        <v/>
      </c>
    </row>
    <row r="2984" spans="1:6" ht="12.4" customHeight="1">
      <c r="A2984" s="246"/>
      <c r="B2984" s="243"/>
      <c r="C2984" s="137" t="str">
        <v>Vocabulary</v>
      </c>
      <c r="D2984" s="138">
        <v>10</v>
      </c>
      <c r="E2984" s="139" t="str">
        <v/>
      </c>
      <c r="F2984" s="140" t="str">
        <f t="shared" si="175"/>
        <v/>
      </c>
    </row>
    <row r="2985" spans="1:6" ht="12.4" customHeight="1">
      <c r="A2985" s="247" t="s">
        <v>131</v>
      </c>
      <c r="B2985" s="243"/>
      <c r="C2985" s="137" t="str">
        <v>Sprouts</v>
      </c>
      <c r="D2985" s="138">
        <v>10</v>
      </c>
      <c r="E2985" s="139" t="str">
        <v/>
      </c>
      <c r="F2985" s="140" t="str">
        <f t="shared" si="175"/>
        <v/>
      </c>
    </row>
    <row r="2986" spans="1:6" ht="12.4" customHeight="1">
      <c r="A2986" s="247"/>
      <c r="B2986" s="243"/>
      <c r="C2986" s="137" t="str">
        <v>Phonics</v>
      </c>
      <c r="D2986" s="138">
        <v>10</v>
      </c>
      <c r="E2986" s="139" t="str">
        <v/>
      </c>
      <c r="F2986" s="140" t="str">
        <f t="shared" si="175"/>
        <v/>
      </c>
    </row>
    <row r="2987" spans="1:6" ht="12.4" customHeight="1">
      <c r="A2987" s="247"/>
      <c r="B2987" s="243"/>
      <c r="C2987" s="137" t="str">
        <v>Math</v>
      </c>
      <c r="D2987" s="138">
        <v>10</v>
      </c>
      <c r="E2987" s="139" t="str">
        <v/>
      </c>
      <c r="F2987" s="140" t="str">
        <f t="shared" si="175"/>
        <v/>
      </c>
    </row>
    <row r="2988" spans="1:6" ht="12.4" customHeight="1">
      <c r="A2988" s="247"/>
      <c r="B2988" s="243"/>
      <c r="C2988" s="137" t="str">
        <v>Shape</v>
      </c>
      <c r="D2988" s="138">
        <v>10</v>
      </c>
      <c r="E2988" s="139" t="str">
        <v/>
      </c>
      <c r="F2988" s="140" t="str">
        <f t="shared" si="175"/>
        <v/>
      </c>
    </row>
    <row r="2989" spans="1:6" ht="12.4" customHeight="1">
      <c r="A2989" s="247"/>
      <c r="B2989" s="243"/>
      <c r="C2989" s="137" t="str">
        <v>Science</v>
      </c>
      <c r="D2989" s="138">
        <v>10</v>
      </c>
      <c r="E2989" s="139" t="str">
        <v/>
      </c>
      <c r="F2989" s="140" t="str">
        <f t="shared" si="175"/>
        <v/>
      </c>
    </row>
    <row r="2990" spans="1:6" ht="12.4" customHeight="1">
      <c r="A2990" s="247"/>
      <c r="B2990" s="244"/>
      <c r="C2990" s="141" t="str">
        <v>Tracing</v>
      </c>
      <c r="D2990" s="142">
        <v>10</v>
      </c>
      <c r="E2990" s="143" t="str">
        <v/>
      </c>
      <c r="F2990" s="144" t="str">
        <f t="shared" si="175"/>
        <v/>
      </c>
    </row>
    <row r="2991" spans="1:6" ht="12.4" customHeight="1">
      <c r="A2991" s="248"/>
      <c r="B2991" s="240" t="s">
        <v>133</v>
      </c>
      <c r="C2991" s="241"/>
      <c r="D2991" s="103">
        <f>D2980*20%+SUM(D2981:D2990)*80%</f>
        <v>100</v>
      </c>
      <c r="E2991" s="110" t="str">
        <v/>
      </c>
      <c r="F2991" s="104" t="str">
        <f t="shared" si="175"/>
        <v/>
      </c>
    </row>
    <row r="2993" spans="1:7" ht="12.4" customHeight="1">
      <c r="A2993" s="230" t="s">
        <v>121</v>
      </c>
      <c r="B2993" s="231"/>
      <c r="C2993" s="231"/>
      <c r="D2993" s="107" t="s">
        <v>123</v>
      </c>
      <c r="E2993" s="232" t="str">
        <f>I213</f>
        <v/>
      </c>
      <c r="F2993" s="233"/>
      <c r="G2993" s="101">
        <v>213</v>
      </c>
    </row>
    <row r="2994" spans="1:7" ht="12.4" customHeight="1">
      <c r="A2994" s="105" t="s">
        <v>122</v>
      </c>
      <c r="B2994" s="234" t="str">
        <f>$K$182</f>
        <v>FEBRUARY - JULY 2026</v>
      </c>
      <c r="C2994" s="234"/>
      <c r="D2994" s="106" t="s">
        <v>124</v>
      </c>
      <c r="E2994" s="235" t="str">
        <f>$I$182</f>
        <v/>
      </c>
      <c r="F2994" s="236"/>
    </row>
    <row r="2995" spans="1:7" ht="12.4" customHeight="1">
      <c r="A2995" s="237" t="s">
        <v>130</v>
      </c>
      <c r="B2995" s="238"/>
      <c r="C2995" s="238"/>
      <c r="D2995" s="238"/>
      <c r="E2995" s="238"/>
      <c r="F2995" s="239"/>
    </row>
    <row r="2996" spans="1:7" ht="12.4" customHeight="1">
      <c r="A2996" s="245" t="s">
        <v>14</v>
      </c>
      <c r="B2996" s="240" t="s">
        <v>125</v>
      </c>
      <c r="C2996" s="241"/>
      <c r="D2996" s="102" t="s">
        <v>126</v>
      </c>
      <c r="E2996" s="109" t="s">
        <v>127</v>
      </c>
      <c r="F2996" s="102" t="s">
        <v>128</v>
      </c>
    </row>
    <row r="2997" spans="1:7" ht="12.4" customHeight="1">
      <c r="A2997" s="246"/>
      <c r="B2997" s="240" t="s">
        <v>129</v>
      </c>
      <c r="C2997" s="241"/>
      <c r="D2997" s="102">
        <v>100</v>
      </c>
      <c r="E2997" s="110" t="str" cm="1">
        <f t="array" ref="E2997:E3008">TRANSPOSE(K213:V213)</f>
        <v/>
      </c>
      <c r="F2997" s="104" t="str">
        <f>IF(E2997="","",IF(E2997&lt;D2997*60%,"Try harder",""))</f>
        <v/>
      </c>
    </row>
    <row r="2998" spans="1:7" ht="12.4" customHeight="1">
      <c r="A2998" s="246"/>
      <c r="B2998" s="242" t="s">
        <v>132</v>
      </c>
      <c r="C2998" s="133" t="str" cm="1">
        <f t="array" ref="C2998:C3007">TRANSPOSE($L$185:$U$185)</f>
        <v>Up-Low C</v>
      </c>
      <c r="D2998" s="134">
        <v>10</v>
      </c>
      <c r="E2998" s="135" t="str">
        <v/>
      </c>
      <c r="F2998" s="136" t="str">
        <f t="shared" ref="F2998:F3008" si="176">IF(E2998="","",IF(E2998&lt;D2998*60%,"Try harder",""))</f>
        <v/>
      </c>
    </row>
    <row r="2999" spans="1:7" ht="12.4" customHeight="1">
      <c r="A2999" s="246"/>
      <c r="B2999" s="243"/>
      <c r="C2999" s="137" t="str">
        <v>Alphabet N</v>
      </c>
      <c r="D2999" s="138">
        <v>10</v>
      </c>
      <c r="E2999" s="139" t="str">
        <v/>
      </c>
      <c r="F2999" s="140" t="str">
        <f t="shared" si="176"/>
        <v/>
      </c>
    </row>
    <row r="3000" spans="1:7" ht="12.4" customHeight="1">
      <c r="A3000" s="246"/>
      <c r="B3000" s="243"/>
      <c r="C3000" s="137" t="str">
        <v>Alphabet S</v>
      </c>
      <c r="D3000" s="138">
        <v>10</v>
      </c>
      <c r="E3000" s="139" t="str">
        <v/>
      </c>
      <c r="F3000" s="140" t="str">
        <f t="shared" si="176"/>
        <v/>
      </c>
    </row>
    <row r="3001" spans="1:7" ht="12.4" customHeight="1">
      <c r="A3001" s="246"/>
      <c r="B3001" s="243"/>
      <c r="C3001" s="137" t="str">
        <v>Vocabulary</v>
      </c>
      <c r="D3001" s="138">
        <v>10</v>
      </c>
      <c r="E3001" s="139" t="str">
        <v/>
      </c>
      <c r="F3001" s="140" t="str">
        <f t="shared" si="176"/>
        <v/>
      </c>
    </row>
    <row r="3002" spans="1:7" ht="12.4" customHeight="1">
      <c r="A3002" s="247" t="s">
        <v>131</v>
      </c>
      <c r="B3002" s="243"/>
      <c r="C3002" s="137" t="str">
        <v>Sprouts</v>
      </c>
      <c r="D3002" s="138">
        <v>10</v>
      </c>
      <c r="E3002" s="139" t="str">
        <v/>
      </c>
      <c r="F3002" s="140" t="str">
        <f t="shared" si="176"/>
        <v/>
      </c>
    </row>
    <row r="3003" spans="1:7" ht="12.4" customHeight="1">
      <c r="A3003" s="247"/>
      <c r="B3003" s="243"/>
      <c r="C3003" s="137" t="str">
        <v>Phonics</v>
      </c>
      <c r="D3003" s="138">
        <v>10</v>
      </c>
      <c r="E3003" s="139" t="str">
        <v/>
      </c>
      <c r="F3003" s="140" t="str">
        <f t="shared" si="176"/>
        <v/>
      </c>
    </row>
    <row r="3004" spans="1:7" ht="12.4" customHeight="1">
      <c r="A3004" s="247"/>
      <c r="B3004" s="243"/>
      <c r="C3004" s="137" t="str">
        <v>Math</v>
      </c>
      <c r="D3004" s="138">
        <v>10</v>
      </c>
      <c r="E3004" s="139" t="str">
        <v/>
      </c>
      <c r="F3004" s="140" t="str">
        <f t="shared" si="176"/>
        <v/>
      </c>
    </row>
    <row r="3005" spans="1:7" ht="12.4" customHeight="1">
      <c r="A3005" s="247"/>
      <c r="B3005" s="243"/>
      <c r="C3005" s="137" t="str">
        <v>Shape</v>
      </c>
      <c r="D3005" s="138">
        <v>10</v>
      </c>
      <c r="E3005" s="139" t="str">
        <v/>
      </c>
      <c r="F3005" s="140" t="str">
        <f t="shared" si="176"/>
        <v/>
      </c>
    </row>
    <row r="3006" spans="1:7" ht="12.4" customHeight="1">
      <c r="A3006" s="247"/>
      <c r="B3006" s="243"/>
      <c r="C3006" s="137" t="str">
        <v>Science</v>
      </c>
      <c r="D3006" s="138">
        <v>10</v>
      </c>
      <c r="E3006" s="139" t="str">
        <v/>
      </c>
      <c r="F3006" s="140" t="str">
        <f t="shared" si="176"/>
        <v/>
      </c>
    </row>
    <row r="3007" spans="1:7" ht="12.4" customHeight="1">
      <c r="A3007" s="247"/>
      <c r="B3007" s="244"/>
      <c r="C3007" s="141" t="str">
        <v>Tracing</v>
      </c>
      <c r="D3007" s="142">
        <v>10</v>
      </c>
      <c r="E3007" s="143" t="str">
        <v/>
      </c>
      <c r="F3007" s="144" t="str">
        <f t="shared" si="176"/>
        <v/>
      </c>
    </row>
    <row r="3008" spans="1:7" ht="12.4" customHeight="1">
      <c r="A3008" s="248"/>
      <c r="B3008" s="240" t="s">
        <v>133</v>
      </c>
      <c r="C3008" s="241"/>
      <c r="D3008" s="103">
        <f>D2997*20%+SUM(D2998:D3007)*80%</f>
        <v>100</v>
      </c>
      <c r="E3008" s="110" t="str">
        <v/>
      </c>
      <c r="F3008" s="104" t="str">
        <f t="shared" si="176"/>
        <v/>
      </c>
    </row>
    <row r="3010" spans="1:7" ht="12.4" customHeight="1">
      <c r="A3010" s="230" t="s">
        <v>121</v>
      </c>
      <c r="B3010" s="231"/>
      <c r="C3010" s="231"/>
      <c r="D3010" s="107" t="s">
        <v>123</v>
      </c>
      <c r="E3010" s="232" t="str">
        <f>I214</f>
        <v/>
      </c>
      <c r="F3010" s="233"/>
      <c r="G3010" s="101">
        <v>214</v>
      </c>
    </row>
    <row r="3011" spans="1:7" ht="12.4" customHeight="1">
      <c r="A3011" s="105" t="s">
        <v>122</v>
      </c>
      <c r="B3011" s="234" t="str">
        <f>$K$182</f>
        <v>FEBRUARY - JULY 2026</v>
      </c>
      <c r="C3011" s="234"/>
      <c r="D3011" s="106" t="s">
        <v>124</v>
      </c>
      <c r="E3011" s="235" t="str">
        <f>$I$182</f>
        <v/>
      </c>
      <c r="F3011" s="236"/>
    </row>
    <row r="3012" spans="1:7" ht="12.4" customHeight="1">
      <c r="A3012" s="237" t="s">
        <v>130</v>
      </c>
      <c r="B3012" s="238"/>
      <c r="C3012" s="238"/>
      <c r="D3012" s="238"/>
      <c r="E3012" s="238"/>
      <c r="F3012" s="239"/>
    </row>
    <row r="3013" spans="1:7" ht="12.4" customHeight="1">
      <c r="A3013" s="245" t="s">
        <v>14</v>
      </c>
      <c r="B3013" s="240" t="s">
        <v>125</v>
      </c>
      <c r="C3013" s="241"/>
      <c r="D3013" s="102" t="s">
        <v>126</v>
      </c>
      <c r="E3013" s="109" t="s">
        <v>127</v>
      </c>
      <c r="F3013" s="102" t="s">
        <v>128</v>
      </c>
    </row>
    <row r="3014" spans="1:7" ht="12.4" customHeight="1">
      <c r="A3014" s="246"/>
      <c r="B3014" s="240" t="s">
        <v>129</v>
      </c>
      <c r="C3014" s="241"/>
      <c r="D3014" s="102">
        <v>100</v>
      </c>
      <c r="E3014" s="110" t="str" cm="1">
        <f t="array" ref="E3014:E3025">TRANSPOSE(K214:V214)</f>
        <v/>
      </c>
      <c r="F3014" s="104" t="str">
        <f>IF(E3014="","",IF(E3014&lt;D3014*60%,"Try harder",""))</f>
        <v/>
      </c>
    </row>
    <row r="3015" spans="1:7" ht="12.4" customHeight="1">
      <c r="A3015" s="246"/>
      <c r="B3015" s="242" t="s">
        <v>132</v>
      </c>
      <c r="C3015" s="133" t="str" cm="1">
        <f t="array" ref="C3015:C3024">TRANSPOSE($L$185:$U$185)</f>
        <v>Up-Low C</v>
      </c>
      <c r="D3015" s="134">
        <v>10</v>
      </c>
      <c r="E3015" s="135" t="str">
        <v/>
      </c>
      <c r="F3015" s="136" t="str">
        <f t="shared" ref="F3015:F3025" si="177">IF(E3015="","",IF(E3015&lt;D3015*60%,"Try harder",""))</f>
        <v/>
      </c>
    </row>
    <row r="3016" spans="1:7" ht="12.4" customHeight="1">
      <c r="A3016" s="246"/>
      <c r="B3016" s="243"/>
      <c r="C3016" s="137" t="str">
        <v>Alphabet N</v>
      </c>
      <c r="D3016" s="138">
        <v>10</v>
      </c>
      <c r="E3016" s="139" t="str">
        <v/>
      </c>
      <c r="F3016" s="140" t="str">
        <f t="shared" si="177"/>
        <v/>
      </c>
    </row>
    <row r="3017" spans="1:7" ht="12.4" customHeight="1">
      <c r="A3017" s="246"/>
      <c r="B3017" s="243"/>
      <c r="C3017" s="137" t="str">
        <v>Alphabet S</v>
      </c>
      <c r="D3017" s="138">
        <v>10</v>
      </c>
      <c r="E3017" s="139" t="str">
        <v/>
      </c>
      <c r="F3017" s="140" t="str">
        <f t="shared" si="177"/>
        <v/>
      </c>
    </row>
    <row r="3018" spans="1:7" ht="12.4" customHeight="1">
      <c r="A3018" s="246"/>
      <c r="B3018" s="243"/>
      <c r="C3018" s="137" t="str">
        <v>Vocabulary</v>
      </c>
      <c r="D3018" s="138">
        <v>10</v>
      </c>
      <c r="E3018" s="139" t="str">
        <v/>
      </c>
      <c r="F3018" s="140" t="str">
        <f t="shared" si="177"/>
        <v/>
      </c>
    </row>
    <row r="3019" spans="1:7" ht="12.4" customHeight="1">
      <c r="A3019" s="247" t="s">
        <v>131</v>
      </c>
      <c r="B3019" s="243"/>
      <c r="C3019" s="137" t="str">
        <v>Sprouts</v>
      </c>
      <c r="D3019" s="138">
        <v>10</v>
      </c>
      <c r="E3019" s="139" t="str">
        <v/>
      </c>
      <c r="F3019" s="140" t="str">
        <f t="shared" si="177"/>
        <v/>
      </c>
    </row>
    <row r="3020" spans="1:7" ht="12.4" customHeight="1">
      <c r="A3020" s="247"/>
      <c r="B3020" s="243"/>
      <c r="C3020" s="137" t="str">
        <v>Phonics</v>
      </c>
      <c r="D3020" s="138">
        <v>10</v>
      </c>
      <c r="E3020" s="139" t="str">
        <v/>
      </c>
      <c r="F3020" s="140" t="str">
        <f t="shared" si="177"/>
        <v/>
      </c>
    </row>
    <row r="3021" spans="1:7" ht="12.4" customHeight="1">
      <c r="A3021" s="247"/>
      <c r="B3021" s="243"/>
      <c r="C3021" s="137" t="str">
        <v>Math</v>
      </c>
      <c r="D3021" s="138">
        <v>10</v>
      </c>
      <c r="E3021" s="139" t="str">
        <v/>
      </c>
      <c r="F3021" s="140" t="str">
        <f t="shared" si="177"/>
        <v/>
      </c>
    </row>
    <row r="3022" spans="1:7" ht="12.4" customHeight="1">
      <c r="A3022" s="247"/>
      <c r="B3022" s="243"/>
      <c r="C3022" s="137" t="str">
        <v>Shape</v>
      </c>
      <c r="D3022" s="138">
        <v>10</v>
      </c>
      <c r="E3022" s="139" t="str">
        <v/>
      </c>
      <c r="F3022" s="140" t="str">
        <f t="shared" si="177"/>
        <v/>
      </c>
    </row>
    <row r="3023" spans="1:7" ht="12.4" customHeight="1">
      <c r="A3023" s="247"/>
      <c r="B3023" s="243"/>
      <c r="C3023" s="137" t="str">
        <v>Science</v>
      </c>
      <c r="D3023" s="138">
        <v>10</v>
      </c>
      <c r="E3023" s="139" t="str">
        <v/>
      </c>
      <c r="F3023" s="140" t="str">
        <f t="shared" si="177"/>
        <v/>
      </c>
    </row>
    <row r="3024" spans="1:7" ht="12.4" customHeight="1">
      <c r="A3024" s="247"/>
      <c r="B3024" s="244"/>
      <c r="C3024" s="141" t="str">
        <v>Tracing</v>
      </c>
      <c r="D3024" s="142">
        <v>10</v>
      </c>
      <c r="E3024" s="143" t="str">
        <v/>
      </c>
      <c r="F3024" s="144" t="str">
        <f t="shared" si="177"/>
        <v/>
      </c>
    </row>
    <row r="3025" spans="1:7" ht="12.4" customHeight="1">
      <c r="A3025" s="248"/>
      <c r="B3025" s="240" t="s">
        <v>133</v>
      </c>
      <c r="C3025" s="241"/>
      <c r="D3025" s="103">
        <f>D3014*20%+SUM(D3015:D3024)*80%</f>
        <v>100</v>
      </c>
      <c r="E3025" s="110" t="str">
        <v/>
      </c>
      <c r="F3025" s="104" t="str">
        <f t="shared" si="177"/>
        <v/>
      </c>
    </row>
    <row r="3027" spans="1:7" ht="12.4" customHeight="1">
      <c r="A3027" s="230" t="s">
        <v>121</v>
      </c>
      <c r="B3027" s="231"/>
      <c r="C3027" s="231"/>
      <c r="D3027" s="107" t="s">
        <v>123</v>
      </c>
      <c r="E3027" s="232" t="str">
        <f>I215</f>
        <v/>
      </c>
      <c r="F3027" s="233"/>
      <c r="G3027" s="101">
        <v>215</v>
      </c>
    </row>
    <row r="3028" spans="1:7" ht="12.4" customHeight="1">
      <c r="A3028" s="105" t="s">
        <v>122</v>
      </c>
      <c r="B3028" s="234" t="str">
        <f>$K$182</f>
        <v>FEBRUARY - JULY 2026</v>
      </c>
      <c r="C3028" s="234"/>
      <c r="D3028" s="106" t="s">
        <v>124</v>
      </c>
      <c r="E3028" s="235" t="str">
        <f>$I$182</f>
        <v/>
      </c>
      <c r="F3028" s="236"/>
    </row>
    <row r="3029" spans="1:7" ht="12.4" customHeight="1">
      <c r="A3029" s="237" t="s">
        <v>130</v>
      </c>
      <c r="B3029" s="238"/>
      <c r="C3029" s="238"/>
      <c r="D3029" s="238"/>
      <c r="E3029" s="238"/>
      <c r="F3029" s="239"/>
    </row>
    <row r="3030" spans="1:7" ht="12.4" customHeight="1">
      <c r="A3030" s="245" t="s">
        <v>14</v>
      </c>
      <c r="B3030" s="240" t="s">
        <v>125</v>
      </c>
      <c r="C3030" s="241"/>
      <c r="D3030" s="102" t="s">
        <v>126</v>
      </c>
      <c r="E3030" s="109" t="s">
        <v>127</v>
      </c>
      <c r="F3030" s="102" t="s">
        <v>128</v>
      </c>
    </row>
    <row r="3031" spans="1:7" ht="12.4" customHeight="1">
      <c r="A3031" s="246"/>
      <c r="B3031" s="240" t="s">
        <v>129</v>
      </c>
      <c r="C3031" s="241"/>
      <c r="D3031" s="102">
        <v>100</v>
      </c>
      <c r="E3031" s="110" t="str" cm="1">
        <f t="array" ref="E3031:E3042">TRANSPOSE(K215:V215)</f>
        <v/>
      </c>
      <c r="F3031" s="104" t="str">
        <f>IF(E3031="","",IF(E3031&lt;D3031*60%,"Try harder",""))</f>
        <v/>
      </c>
    </row>
    <row r="3032" spans="1:7" ht="12.4" customHeight="1">
      <c r="A3032" s="246"/>
      <c r="B3032" s="242" t="s">
        <v>132</v>
      </c>
      <c r="C3032" s="133" t="str" cm="1">
        <f t="array" ref="C3032:C3041">TRANSPOSE($L$185:$U$185)</f>
        <v>Up-Low C</v>
      </c>
      <c r="D3032" s="134">
        <v>10</v>
      </c>
      <c r="E3032" s="135" t="str">
        <v/>
      </c>
      <c r="F3032" s="136" t="str">
        <f t="shared" ref="F3032:F3042" si="178">IF(E3032="","",IF(E3032&lt;D3032*60%,"Try harder",""))</f>
        <v/>
      </c>
    </row>
    <row r="3033" spans="1:7" ht="12.4" customHeight="1">
      <c r="A3033" s="246"/>
      <c r="B3033" s="243"/>
      <c r="C3033" s="137" t="str">
        <v>Alphabet N</v>
      </c>
      <c r="D3033" s="138">
        <v>10</v>
      </c>
      <c r="E3033" s="139" t="str">
        <v/>
      </c>
      <c r="F3033" s="140" t="str">
        <f t="shared" si="178"/>
        <v/>
      </c>
    </row>
    <row r="3034" spans="1:7" ht="12.4" customHeight="1">
      <c r="A3034" s="246"/>
      <c r="B3034" s="243"/>
      <c r="C3034" s="137" t="str">
        <v>Alphabet S</v>
      </c>
      <c r="D3034" s="138">
        <v>10</v>
      </c>
      <c r="E3034" s="139" t="str">
        <v/>
      </c>
      <c r="F3034" s="140" t="str">
        <f t="shared" si="178"/>
        <v/>
      </c>
    </row>
    <row r="3035" spans="1:7" ht="12.4" customHeight="1">
      <c r="A3035" s="246"/>
      <c r="B3035" s="243"/>
      <c r="C3035" s="137" t="str">
        <v>Vocabulary</v>
      </c>
      <c r="D3035" s="138">
        <v>10</v>
      </c>
      <c r="E3035" s="139" t="str">
        <v/>
      </c>
      <c r="F3035" s="140" t="str">
        <f t="shared" si="178"/>
        <v/>
      </c>
    </row>
    <row r="3036" spans="1:7" ht="12.4" customHeight="1">
      <c r="A3036" s="247" t="s">
        <v>131</v>
      </c>
      <c r="B3036" s="243"/>
      <c r="C3036" s="137" t="str">
        <v>Sprouts</v>
      </c>
      <c r="D3036" s="138">
        <v>10</v>
      </c>
      <c r="E3036" s="139" t="str">
        <v/>
      </c>
      <c r="F3036" s="140" t="str">
        <f t="shared" si="178"/>
        <v/>
      </c>
    </row>
    <row r="3037" spans="1:7" ht="12.4" customHeight="1">
      <c r="A3037" s="247"/>
      <c r="B3037" s="243"/>
      <c r="C3037" s="137" t="str">
        <v>Phonics</v>
      </c>
      <c r="D3037" s="138">
        <v>10</v>
      </c>
      <c r="E3037" s="139" t="str">
        <v/>
      </c>
      <c r="F3037" s="140" t="str">
        <f t="shared" si="178"/>
        <v/>
      </c>
    </row>
    <row r="3038" spans="1:7" ht="12.4" customHeight="1">
      <c r="A3038" s="247"/>
      <c r="B3038" s="243"/>
      <c r="C3038" s="137" t="str">
        <v>Math</v>
      </c>
      <c r="D3038" s="138">
        <v>10</v>
      </c>
      <c r="E3038" s="139" t="str">
        <v/>
      </c>
      <c r="F3038" s="140" t="str">
        <f t="shared" si="178"/>
        <v/>
      </c>
    </row>
    <row r="3039" spans="1:7" ht="12.4" customHeight="1">
      <c r="A3039" s="247"/>
      <c r="B3039" s="243"/>
      <c r="C3039" s="137" t="str">
        <v>Shape</v>
      </c>
      <c r="D3039" s="138">
        <v>10</v>
      </c>
      <c r="E3039" s="139" t="str">
        <v/>
      </c>
      <c r="F3039" s="140" t="str">
        <f t="shared" si="178"/>
        <v/>
      </c>
    </row>
    <row r="3040" spans="1:7" ht="12.4" customHeight="1">
      <c r="A3040" s="247"/>
      <c r="B3040" s="243"/>
      <c r="C3040" s="137" t="str">
        <v>Science</v>
      </c>
      <c r="D3040" s="138">
        <v>10</v>
      </c>
      <c r="E3040" s="139" t="str">
        <v/>
      </c>
      <c r="F3040" s="140" t="str">
        <f t="shared" si="178"/>
        <v/>
      </c>
    </row>
    <row r="3041" spans="1:7" ht="12.4" customHeight="1">
      <c r="A3041" s="247"/>
      <c r="B3041" s="244"/>
      <c r="C3041" s="141" t="str">
        <v>Tracing</v>
      </c>
      <c r="D3041" s="142">
        <v>10</v>
      </c>
      <c r="E3041" s="143" t="str">
        <v/>
      </c>
      <c r="F3041" s="144" t="str">
        <f t="shared" si="178"/>
        <v/>
      </c>
    </row>
    <row r="3042" spans="1:7" ht="12.4" customHeight="1">
      <c r="A3042" s="248"/>
      <c r="B3042" s="240" t="s">
        <v>133</v>
      </c>
      <c r="C3042" s="241"/>
      <c r="D3042" s="103">
        <f>D3031*20%+SUM(D3032:D3041)*80%</f>
        <v>100</v>
      </c>
      <c r="E3042" s="110" t="str">
        <v/>
      </c>
      <c r="F3042" s="104" t="str">
        <f t="shared" si="178"/>
        <v/>
      </c>
    </row>
    <row r="3044" spans="1:7" ht="12.4" customHeight="1">
      <c r="A3044" s="230" t="s">
        <v>121</v>
      </c>
      <c r="B3044" s="231"/>
      <c r="C3044" s="231"/>
      <c r="D3044" s="107" t="s">
        <v>123</v>
      </c>
      <c r="E3044" s="232" t="str">
        <f>I216</f>
        <v/>
      </c>
      <c r="F3044" s="233"/>
      <c r="G3044" s="101">
        <v>216</v>
      </c>
    </row>
    <row r="3045" spans="1:7" ht="12.4" customHeight="1">
      <c r="A3045" s="105" t="s">
        <v>122</v>
      </c>
      <c r="B3045" s="234" t="str">
        <f>$K$182</f>
        <v>FEBRUARY - JULY 2026</v>
      </c>
      <c r="C3045" s="234"/>
      <c r="D3045" s="106" t="s">
        <v>124</v>
      </c>
      <c r="E3045" s="235" t="str">
        <f>$I$182</f>
        <v/>
      </c>
      <c r="F3045" s="236"/>
    </row>
    <row r="3046" spans="1:7" ht="12.4" customHeight="1">
      <c r="A3046" s="237" t="s">
        <v>130</v>
      </c>
      <c r="B3046" s="238"/>
      <c r="C3046" s="238"/>
      <c r="D3046" s="238"/>
      <c r="E3046" s="238"/>
      <c r="F3046" s="239"/>
    </row>
    <row r="3047" spans="1:7" ht="12.4" customHeight="1">
      <c r="A3047" s="245" t="s">
        <v>14</v>
      </c>
      <c r="B3047" s="240" t="s">
        <v>125</v>
      </c>
      <c r="C3047" s="241"/>
      <c r="D3047" s="102" t="s">
        <v>126</v>
      </c>
      <c r="E3047" s="109" t="s">
        <v>127</v>
      </c>
      <c r="F3047" s="102" t="s">
        <v>128</v>
      </c>
    </row>
    <row r="3048" spans="1:7" ht="12.4" customHeight="1">
      <c r="A3048" s="246"/>
      <c r="B3048" s="240" t="s">
        <v>129</v>
      </c>
      <c r="C3048" s="241"/>
      <c r="D3048" s="102">
        <v>100</v>
      </c>
      <c r="E3048" s="110" t="str" cm="1">
        <f t="array" ref="E3048:E3059">TRANSPOSE(K216:V216)</f>
        <v/>
      </c>
      <c r="F3048" s="104" t="str">
        <f>IF(E3048="","",IF(E3048&lt;D3048*60%,"Try harder",""))</f>
        <v/>
      </c>
    </row>
    <row r="3049" spans="1:7" ht="12.4" customHeight="1">
      <c r="A3049" s="246"/>
      <c r="B3049" s="242" t="s">
        <v>132</v>
      </c>
      <c r="C3049" s="133" t="str" cm="1">
        <f t="array" ref="C3049:C3058">TRANSPOSE($L$185:$U$185)</f>
        <v>Up-Low C</v>
      </c>
      <c r="D3049" s="134">
        <v>10</v>
      </c>
      <c r="E3049" s="135" t="str">
        <v/>
      </c>
      <c r="F3049" s="136" t="str">
        <f t="shared" ref="F3049:F3059" si="179">IF(E3049="","",IF(E3049&lt;D3049*60%,"Try harder",""))</f>
        <v/>
      </c>
    </row>
    <row r="3050" spans="1:7" ht="12.4" customHeight="1">
      <c r="A3050" s="246"/>
      <c r="B3050" s="243"/>
      <c r="C3050" s="137" t="str">
        <v>Alphabet N</v>
      </c>
      <c r="D3050" s="138">
        <v>10</v>
      </c>
      <c r="E3050" s="139" t="str">
        <v/>
      </c>
      <c r="F3050" s="140" t="str">
        <f t="shared" si="179"/>
        <v/>
      </c>
    </row>
    <row r="3051" spans="1:7" ht="12.4" customHeight="1">
      <c r="A3051" s="246"/>
      <c r="B3051" s="243"/>
      <c r="C3051" s="137" t="str">
        <v>Alphabet S</v>
      </c>
      <c r="D3051" s="138">
        <v>10</v>
      </c>
      <c r="E3051" s="139" t="str">
        <v/>
      </c>
      <c r="F3051" s="140" t="str">
        <f t="shared" si="179"/>
        <v/>
      </c>
    </row>
    <row r="3052" spans="1:7" ht="12.4" customHeight="1">
      <c r="A3052" s="246"/>
      <c r="B3052" s="243"/>
      <c r="C3052" s="137" t="str">
        <v>Vocabulary</v>
      </c>
      <c r="D3052" s="138">
        <v>10</v>
      </c>
      <c r="E3052" s="139" t="str">
        <v/>
      </c>
      <c r="F3052" s="140" t="str">
        <f t="shared" si="179"/>
        <v/>
      </c>
    </row>
    <row r="3053" spans="1:7" ht="12.4" customHeight="1">
      <c r="A3053" s="247" t="s">
        <v>131</v>
      </c>
      <c r="B3053" s="243"/>
      <c r="C3053" s="137" t="str">
        <v>Sprouts</v>
      </c>
      <c r="D3053" s="138">
        <v>10</v>
      </c>
      <c r="E3053" s="139" t="str">
        <v/>
      </c>
      <c r="F3053" s="140" t="str">
        <f t="shared" si="179"/>
        <v/>
      </c>
    </row>
    <row r="3054" spans="1:7" ht="12.4" customHeight="1">
      <c r="A3054" s="247"/>
      <c r="B3054" s="243"/>
      <c r="C3054" s="137" t="str">
        <v>Phonics</v>
      </c>
      <c r="D3054" s="138">
        <v>10</v>
      </c>
      <c r="E3054" s="139" t="str">
        <v/>
      </c>
      <c r="F3054" s="140" t="str">
        <f t="shared" si="179"/>
        <v/>
      </c>
    </row>
    <row r="3055" spans="1:7" ht="12.4" customHeight="1">
      <c r="A3055" s="247"/>
      <c r="B3055" s="243"/>
      <c r="C3055" s="137" t="str">
        <v>Math</v>
      </c>
      <c r="D3055" s="138">
        <v>10</v>
      </c>
      <c r="E3055" s="139" t="str">
        <v/>
      </c>
      <c r="F3055" s="140" t="str">
        <f t="shared" si="179"/>
        <v/>
      </c>
    </row>
    <row r="3056" spans="1:7" ht="12.4" customHeight="1">
      <c r="A3056" s="247"/>
      <c r="B3056" s="243"/>
      <c r="C3056" s="137" t="str">
        <v>Shape</v>
      </c>
      <c r="D3056" s="138">
        <v>10</v>
      </c>
      <c r="E3056" s="139" t="str">
        <v/>
      </c>
      <c r="F3056" s="140" t="str">
        <f t="shared" si="179"/>
        <v/>
      </c>
    </row>
    <row r="3057" spans="1:6" ht="12.4" customHeight="1">
      <c r="A3057" s="247"/>
      <c r="B3057" s="243"/>
      <c r="C3057" s="137" t="str">
        <v>Science</v>
      </c>
      <c r="D3057" s="138">
        <v>10</v>
      </c>
      <c r="E3057" s="139" t="str">
        <v/>
      </c>
      <c r="F3057" s="140" t="str">
        <f t="shared" si="179"/>
        <v/>
      </c>
    </row>
    <row r="3058" spans="1:6" ht="12.4" customHeight="1">
      <c r="A3058" s="247"/>
      <c r="B3058" s="244"/>
      <c r="C3058" s="141" t="str">
        <v>Tracing</v>
      </c>
      <c r="D3058" s="142">
        <v>10</v>
      </c>
      <c r="E3058" s="143" t="str">
        <v/>
      </c>
      <c r="F3058" s="144" t="str">
        <f t="shared" si="179"/>
        <v/>
      </c>
    </row>
    <row r="3059" spans="1:6" ht="12.4" customHeight="1">
      <c r="A3059" s="248"/>
      <c r="B3059" s="240" t="s">
        <v>133</v>
      </c>
      <c r="C3059" s="241"/>
      <c r="D3059" s="103">
        <f>D3048*20%+SUM(D3049:D3058)*80%</f>
        <v>100</v>
      </c>
      <c r="E3059" s="110" t="str">
        <v/>
      </c>
      <c r="F3059" s="104" t="str">
        <f t="shared" si="179"/>
        <v/>
      </c>
    </row>
  </sheetData>
  <mergeCells count="1980">
    <mergeCell ref="A851:C851"/>
    <mergeCell ref="E851:F851"/>
    <mergeCell ref="A548:A553"/>
    <mergeCell ref="A554:A560"/>
    <mergeCell ref="A565:A570"/>
    <mergeCell ref="A511:C511"/>
    <mergeCell ref="A477:C477"/>
    <mergeCell ref="A443:C443"/>
    <mergeCell ref="B441:C441"/>
    <mergeCell ref="B941:B950"/>
    <mergeCell ref="A4:A9"/>
    <mergeCell ref="A10:A16"/>
    <mergeCell ref="A21:A26"/>
    <mergeCell ref="A27:A33"/>
    <mergeCell ref="A38:A43"/>
    <mergeCell ref="A44:A50"/>
    <mergeCell ref="A55:A60"/>
    <mergeCell ref="A61:A67"/>
    <mergeCell ref="A72:A77"/>
    <mergeCell ref="A78:A84"/>
    <mergeCell ref="A89:A94"/>
    <mergeCell ref="A95:A101"/>
    <mergeCell ref="A106:A111"/>
    <mergeCell ref="A112:A118"/>
    <mergeCell ref="A123:A128"/>
    <mergeCell ref="A129:A135"/>
    <mergeCell ref="A140:A145"/>
    <mergeCell ref="A429:A434"/>
    <mergeCell ref="A435:A441"/>
    <mergeCell ref="A446:A451"/>
    <mergeCell ref="A452:A458"/>
    <mergeCell ref="A463:A468"/>
    <mergeCell ref="B940:C940"/>
    <mergeCell ref="B869:C869"/>
    <mergeCell ref="E869:F869"/>
    <mergeCell ref="A870:F870"/>
    <mergeCell ref="B871:C871"/>
    <mergeCell ref="B872:C872"/>
    <mergeCell ref="B873:B882"/>
    <mergeCell ref="B951:C951"/>
    <mergeCell ref="A922:A927"/>
    <mergeCell ref="A928:A934"/>
    <mergeCell ref="A939:A944"/>
    <mergeCell ref="A945:A951"/>
    <mergeCell ref="A885:C885"/>
    <mergeCell ref="E885:F885"/>
    <mergeCell ref="B886:C886"/>
    <mergeCell ref="E886:F886"/>
    <mergeCell ref="A887:F887"/>
    <mergeCell ref="B888:C888"/>
    <mergeCell ref="B889:C889"/>
    <mergeCell ref="B890:B899"/>
    <mergeCell ref="B900:C900"/>
    <mergeCell ref="A902:C902"/>
    <mergeCell ref="E902:F902"/>
    <mergeCell ref="B903:C903"/>
    <mergeCell ref="E903:F903"/>
    <mergeCell ref="A904:F904"/>
    <mergeCell ref="A911:A917"/>
    <mergeCell ref="A919:C919"/>
    <mergeCell ref="E919:F919"/>
    <mergeCell ref="B920:C920"/>
    <mergeCell ref="E920:F920"/>
    <mergeCell ref="A921:F921"/>
    <mergeCell ref="B787:C787"/>
    <mergeCell ref="B788:B797"/>
    <mergeCell ref="B798:C798"/>
    <mergeCell ref="A800:C800"/>
    <mergeCell ref="E800:F800"/>
    <mergeCell ref="B801:C801"/>
    <mergeCell ref="E801:F801"/>
    <mergeCell ref="A802:F802"/>
    <mergeCell ref="B803:C803"/>
    <mergeCell ref="B804:C804"/>
    <mergeCell ref="B805:B814"/>
    <mergeCell ref="A936:C936"/>
    <mergeCell ref="E936:F936"/>
    <mergeCell ref="B937:C937"/>
    <mergeCell ref="E937:F937"/>
    <mergeCell ref="A938:F938"/>
    <mergeCell ref="B939:C939"/>
    <mergeCell ref="B922:C922"/>
    <mergeCell ref="B923:C923"/>
    <mergeCell ref="B924:B933"/>
    <mergeCell ref="B934:C934"/>
    <mergeCell ref="B905:C905"/>
    <mergeCell ref="B906:C906"/>
    <mergeCell ref="B907:B916"/>
    <mergeCell ref="B917:C917"/>
    <mergeCell ref="A888:A893"/>
    <mergeCell ref="A894:A900"/>
    <mergeCell ref="A905:A910"/>
    <mergeCell ref="B839:B848"/>
    <mergeCell ref="B849:C849"/>
    <mergeCell ref="A820:A825"/>
    <mergeCell ref="A826:A832"/>
    <mergeCell ref="B883:C883"/>
    <mergeCell ref="A854:A859"/>
    <mergeCell ref="A860:A866"/>
    <mergeCell ref="A871:A876"/>
    <mergeCell ref="A877:A883"/>
    <mergeCell ref="A817:C817"/>
    <mergeCell ref="E817:F817"/>
    <mergeCell ref="B818:C818"/>
    <mergeCell ref="E818:F818"/>
    <mergeCell ref="A819:F819"/>
    <mergeCell ref="B820:C820"/>
    <mergeCell ref="B821:C821"/>
    <mergeCell ref="B822:B831"/>
    <mergeCell ref="B832:C832"/>
    <mergeCell ref="A834:C834"/>
    <mergeCell ref="E834:F834"/>
    <mergeCell ref="B835:C835"/>
    <mergeCell ref="E835:F835"/>
    <mergeCell ref="A836:F836"/>
    <mergeCell ref="B837:C837"/>
    <mergeCell ref="B838:C838"/>
    <mergeCell ref="B852:C852"/>
    <mergeCell ref="E852:F852"/>
    <mergeCell ref="A853:F853"/>
    <mergeCell ref="B854:C854"/>
    <mergeCell ref="B855:C855"/>
    <mergeCell ref="B856:B865"/>
    <mergeCell ref="B866:C866"/>
    <mergeCell ref="A868:C868"/>
    <mergeCell ref="E868:F868"/>
    <mergeCell ref="A837:A842"/>
    <mergeCell ref="A843:A849"/>
    <mergeCell ref="B767:C767"/>
    <mergeCell ref="E767:F767"/>
    <mergeCell ref="A768:F768"/>
    <mergeCell ref="B769:C769"/>
    <mergeCell ref="B770:C770"/>
    <mergeCell ref="B771:B780"/>
    <mergeCell ref="B781:C781"/>
    <mergeCell ref="A752:A757"/>
    <mergeCell ref="A758:A764"/>
    <mergeCell ref="A769:A774"/>
    <mergeCell ref="A775:A781"/>
    <mergeCell ref="A783:C783"/>
    <mergeCell ref="E783:F783"/>
    <mergeCell ref="B784:C784"/>
    <mergeCell ref="E784:F784"/>
    <mergeCell ref="A785:F785"/>
    <mergeCell ref="B786:C786"/>
    <mergeCell ref="E715:F715"/>
    <mergeCell ref="B716:C716"/>
    <mergeCell ref="E716:F716"/>
    <mergeCell ref="A717:F717"/>
    <mergeCell ref="B718:C718"/>
    <mergeCell ref="B719:C719"/>
    <mergeCell ref="B720:B729"/>
    <mergeCell ref="B730:C730"/>
    <mergeCell ref="A732:C732"/>
    <mergeCell ref="E732:F732"/>
    <mergeCell ref="B733:C733"/>
    <mergeCell ref="E733:F733"/>
    <mergeCell ref="A734:F734"/>
    <mergeCell ref="B735:C735"/>
    <mergeCell ref="B736:C736"/>
    <mergeCell ref="B737:B746"/>
    <mergeCell ref="B815:C815"/>
    <mergeCell ref="A786:A791"/>
    <mergeCell ref="A792:A798"/>
    <mergeCell ref="A803:A808"/>
    <mergeCell ref="A809:A815"/>
    <mergeCell ref="A749:C749"/>
    <mergeCell ref="E749:F749"/>
    <mergeCell ref="B750:C750"/>
    <mergeCell ref="E750:F750"/>
    <mergeCell ref="A751:F751"/>
    <mergeCell ref="B752:C752"/>
    <mergeCell ref="B753:C753"/>
    <mergeCell ref="B754:B763"/>
    <mergeCell ref="B764:C764"/>
    <mergeCell ref="A766:C766"/>
    <mergeCell ref="E766:F766"/>
    <mergeCell ref="A666:F666"/>
    <mergeCell ref="B667:C667"/>
    <mergeCell ref="B668:C668"/>
    <mergeCell ref="B669:B678"/>
    <mergeCell ref="B747:C747"/>
    <mergeCell ref="A718:A723"/>
    <mergeCell ref="A724:A730"/>
    <mergeCell ref="A735:A740"/>
    <mergeCell ref="A741:A747"/>
    <mergeCell ref="A681:C681"/>
    <mergeCell ref="E681:F681"/>
    <mergeCell ref="B682:C682"/>
    <mergeCell ref="E682:F682"/>
    <mergeCell ref="A683:F683"/>
    <mergeCell ref="B684:C684"/>
    <mergeCell ref="B685:C685"/>
    <mergeCell ref="B686:B695"/>
    <mergeCell ref="B696:C696"/>
    <mergeCell ref="A698:C698"/>
    <mergeCell ref="E698:F698"/>
    <mergeCell ref="B699:C699"/>
    <mergeCell ref="E699:F699"/>
    <mergeCell ref="A700:F700"/>
    <mergeCell ref="B701:C701"/>
    <mergeCell ref="B702:C702"/>
    <mergeCell ref="B703:B712"/>
    <mergeCell ref="B713:C713"/>
    <mergeCell ref="A684:A689"/>
    <mergeCell ref="A690:A696"/>
    <mergeCell ref="A701:A706"/>
    <mergeCell ref="A707:A713"/>
    <mergeCell ref="A715:C715"/>
    <mergeCell ref="A616:A621"/>
    <mergeCell ref="A622:A628"/>
    <mergeCell ref="A633:A638"/>
    <mergeCell ref="A639:A645"/>
    <mergeCell ref="A647:C647"/>
    <mergeCell ref="E647:F647"/>
    <mergeCell ref="B648:C648"/>
    <mergeCell ref="E648:F648"/>
    <mergeCell ref="A649:F649"/>
    <mergeCell ref="B650:C650"/>
    <mergeCell ref="B651:C651"/>
    <mergeCell ref="B652:B661"/>
    <mergeCell ref="B662:C662"/>
    <mergeCell ref="A664:C664"/>
    <mergeCell ref="E664:F664"/>
    <mergeCell ref="B665:C665"/>
    <mergeCell ref="E665:F665"/>
    <mergeCell ref="B594:C594"/>
    <mergeCell ref="A596:C596"/>
    <mergeCell ref="E596:F596"/>
    <mergeCell ref="B597:C597"/>
    <mergeCell ref="E597:F597"/>
    <mergeCell ref="A598:F598"/>
    <mergeCell ref="B599:C599"/>
    <mergeCell ref="B600:C600"/>
    <mergeCell ref="B601:B610"/>
    <mergeCell ref="B679:C679"/>
    <mergeCell ref="A650:A655"/>
    <mergeCell ref="A656:A662"/>
    <mergeCell ref="A667:A672"/>
    <mergeCell ref="A673:A679"/>
    <mergeCell ref="A613:C613"/>
    <mergeCell ref="E613:F613"/>
    <mergeCell ref="B614:C614"/>
    <mergeCell ref="E614:F614"/>
    <mergeCell ref="A615:F615"/>
    <mergeCell ref="B616:C616"/>
    <mergeCell ref="B617:C617"/>
    <mergeCell ref="B618:B627"/>
    <mergeCell ref="B628:C628"/>
    <mergeCell ref="A630:C630"/>
    <mergeCell ref="E630:F630"/>
    <mergeCell ref="B631:C631"/>
    <mergeCell ref="E631:F631"/>
    <mergeCell ref="A632:F632"/>
    <mergeCell ref="B633:C633"/>
    <mergeCell ref="B634:C634"/>
    <mergeCell ref="B635:B644"/>
    <mergeCell ref="B645:C645"/>
    <mergeCell ref="B611:C611"/>
    <mergeCell ref="A582:A587"/>
    <mergeCell ref="A588:A594"/>
    <mergeCell ref="A599:A604"/>
    <mergeCell ref="A605:A611"/>
    <mergeCell ref="A545:C545"/>
    <mergeCell ref="E545:F545"/>
    <mergeCell ref="B546:C546"/>
    <mergeCell ref="E546:F546"/>
    <mergeCell ref="A547:F547"/>
    <mergeCell ref="B548:C548"/>
    <mergeCell ref="B549:C549"/>
    <mergeCell ref="B550:B559"/>
    <mergeCell ref="B560:C560"/>
    <mergeCell ref="A562:C562"/>
    <mergeCell ref="E562:F562"/>
    <mergeCell ref="B563:C563"/>
    <mergeCell ref="E563:F563"/>
    <mergeCell ref="A564:F564"/>
    <mergeCell ref="B565:C565"/>
    <mergeCell ref="B566:C566"/>
    <mergeCell ref="B567:B576"/>
    <mergeCell ref="B577:C577"/>
    <mergeCell ref="A571:A577"/>
    <mergeCell ref="A579:C579"/>
    <mergeCell ref="E579:F579"/>
    <mergeCell ref="B580:C580"/>
    <mergeCell ref="E580:F580"/>
    <mergeCell ref="A581:F581"/>
    <mergeCell ref="B582:C582"/>
    <mergeCell ref="B583:C583"/>
    <mergeCell ref="B584:B593"/>
    <mergeCell ref="E511:F511"/>
    <mergeCell ref="B512:C512"/>
    <mergeCell ref="E512:F512"/>
    <mergeCell ref="A513:F513"/>
    <mergeCell ref="B514:C514"/>
    <mergeCell ref="B515:C515"/>
    <mergeCell ref="B516:B525"/>
    <mergeCell ref="B526:C526"/>
    <mergeCell ref="A528:C528"/>
    <mergeCell ref="E528:F528"/>
    <mergeCell ref="B529:C529"/>
    <mergeCell ref="E529:F529"/>
    <mergeCell ref="A530:F530"/>
    <mergeCell ref="B531:C531"/>
    <mergeCell ref="B532:C532"/>
    <mergeCell ref="B533:B542"/>
    <mergeCell ref="B543:C543"/>
    <mergeCell ref="A514:A519"/>
    <mergeCell ref="A520:A526"/>
    <mergeCell ref="A531:A536"/>
    <mergeCell ref="A537:A543"/>
    <mergeCell ref="E477:F477"/>
    <mergeCell ref="B478:C478"/>
    <mergeCell ref="E478:F478"/>
    <mergeCell ref="A479:F479"/>
    <mergeCell ref="B480:C480"/>
    <mergeCell ref="B481:C481"/>
    <mergeCell ref="B482:B491"/>
    <mergeCell ref="B492:C492"/>
    <mergeCell ref="A494:C494"/>
    <mergeCell ref="E494:F494"/>
    <mergeCell ref="B495:C495"/>
    <mergeCell ref="E495:F495"/>
    <mergeCell ref="A496:F496"/>
    <mergeCell ref="B497:C497"/>
    <mergeCell ref="B498:C498"/>
    <mergeCell ref="B499:B508"/>
    <mergeCell ref="B509:C509"/>
    <mergeCell ref="A486:A492"/>
    <mergeCell ref="A497:A502"/>
    <mergeCell ref="A503:A509"/>
    <mergeCell ref="A480:A485"/>
    <mergeCell ref="E443:F443"/>
    <mergeCell ref="B444:C444"/>
    <mergeCell ref="E444:F444"/>
    <mergeCell ref="A445:F445"/>
    <mergeCell ref="B446:C446"/>
    <mergeCell ref="B447:C447"/>
    <mergeCell ref="B448:B457"/>
    <mergeCell ref="B458:C458"/>
    <mergeCell ref="A460:C460"/>
    <mergeCell ref="E460:F460"/>
    <mergeCell ref="B461:C461"/>
    <mergeCell ref="E461:F461"/>
    <mergeCell ref="A462:F462"/>
    <mergeCell ref="B463:C463"/>
    <mergeCell ref="B464:C464"/>
    <mergeCell ref="B465:B474"/>
    <mergeCell ref="B475:C475"/>
    <mergeCell ref="A469:A475"/>
    <mergeCell ref="A1:C1"/>
    <mergeCell ref="B2:C2"/>
    <mergeCell ref="E1:F1"/>
    <mergeCell ref="E2:F2"/>
    <mergeCell ref="B16:C16"/>
    <mergeCell ref="A3:F3"/>
    <mergeCell ref="B6:B15"/>
    <mergeCell ref="B4:C4"/>
    <mergeCell ref="B5:C5"/>
    <mergeCell ref="A426:C426"/>
    <mergeCell ref="E426:F426"/>
    <mergeCell ref="B427:C427"/>
    <mergeCell ref="E427:F427"/>
    <mergeCell ref="A428:F428"/>
    <mergeCell ref="B429:C429"/>
    <mergeCell ref="B430:C430"/>
    <mergeCell ref="B431:B440"/>
    <mergeCell ref="B38:C38"/>
    <mergeCell ref="B39:C39"/>
    <mergeCell ref="B40:B49"/>
    <mergeCell ref="B50:C50"/>
    <mergeCell ref="A35:C35"/>
    <mergeCell ref="E35:F35"/>
    <mergeCell ref="B36:C36"/>
    <mergeCell ref="E36:F36"/>
    <mergeCell ref="A37:F37"/>
    <mergeCell ref="B21:C21"/>
    <mergeCell ref="B22:C22"/>
    <mergeCell ref="B23:B32"/>
    <mergeCell ref="B33:C33"/>
    <mergeCell ref="A18:C18"/>
    <mergeCell ref="E18:F18"/>
    <mergeCell ref="B19:C19"/>
    <mergeCell ref="E19:F19"/>
    <mergeCell ref="A20:F20"/>
    <mergeCell ref="B72:C72"/>
    <mergeCell ref="B73:C73"/>
    <mergeCell ref="B74:B83"/>
    <mergeCell ref="B84:C84"/>
    <mergeCell ref="A69:C69"/>
    <mergeCell ref="E69:F69"/>
    <mergeCell ref="B70:C70"/>
    <mergeCell ref="E70:F70"/>
    <mergeCell ref="A71:F71"/>
    <mergeCell ref="B55:C55"/>
    <mergeCell ref="B56:C56"/>
    <mergeCell ref="B57:B66"/>
    <mergeCell ref="B67:C67"/>
    <mergeCell ref="A52:C52"/>
    <mergeCell ref="E52:F52"/>
    <mergeCell ref="B53:C53"/>
    <mergeCell ref="E53:F53"/>
    <mergeCell ref="A54:F54"/>
    <mergeCell ref="B106:C106"/>
    <mergeCell ref="B107:C107"/>
    <mergeCell ref="B108:B117"/>
    <mergeCell ref="B118:C118"/>
    <mergeCell ref="A103:C103"/>
    <mergeCell ref="E103:F103"/>
    <mergeCell ref="B104:C104"/>
    <mergeCell ref="E104:F104"/>
    <mergeCell ref="A105:F105"/>
    <mergeCell ref="B89:C89"/>
    <mergeCell ref="B90:C90"/>
    <mergeCell ref="B91:B100"/>
    <mergeCell ref="B101:C101"/>
    <mergeCell ref="A86:C86"/>
    <mergeCell ref="E86:F86"/>
    <mergeCell ref="B87:C87"/>
    <mergeCell ref="E87:F87"/>
    <mergeCell ref="A88:F88"/>
    <mergeCell ref="B140:C140"/>
    <mergeCell ref="B141:C141"/>
    <mergeCell ref="B142:B151"/>
    <mergeCell ref="B152:C152"/>
    <mergeCell ref="A137:C137"/>
    <mergeCell ref="E137:F137"/>
    <mergeCell ref="B138:C138"/>
    <mergeCell ref="E138:F138"/>
    <mergeCell ref="A139:F139"/>
    <mergeCell ref="B123:C123"/>
    <mergeCell ref="B124:C124"/>
    <mergeCell ref="B125:B134"/>
    <mergeCell ref="B135:C135"/>
    <mergeCell ref="A120:C120"/>
    <mergeCell ref="E120:F120"/>
    <mergeCell ref="B121:C121"/>
    <mergeCell ref="E121:F121"/>
    <mergeCell ref="A122:F122"/>
    <mergeCell ref="A146:A152"/>
    <mergeCell ref="B174:C174"/>
    <mergeCell ref="B175:C175"/>
    <mergeCell ref="B176:B185"/>
    <mergeCell ref="B186:C186"/>
    <mergeCell ref="A171:C171"/>
    <mergeCell ref="E171:F171"/>
    <mergeCell ref="B172:C172"/>
    <mergeCell ref="E172:F172"/>
    <mergeCell ref="A173:F173"/>
    <mergeCell ref="B157:C157"/>
    <mergeCell ref="B158:C158"/>
    <mergeCell ref="B159:B168"/>
    <mergeCell ref="B169:C169"/>
    <mergeCell ref="A154:C154"/>
    <mergeCell ref="E154:F154"/>
    <mergeCell ref="B155:C155"/>
    <mergeCell ref="E155:F155"/>
    <mergeCell ref="A156:F156"/>
    <mergeCell ref="A157:A162"/>
    <mergeCell ref="A163:A169"/>
    <mergeCell ref="A174:A179"/>
    <mergeCell ref="A180:A186"/>
    <mergeCell ref="B208:C208"/>
    <mergeCell ref="B209:C209"/>
    <mergeCell ref="B210:B219"/>
    <mergeCell ref="B220:C220"/>
    <mergeCell ref="A205:C205"/>
    <mergeCell ref="E205:F205"/>
    <mergeCell ref="B206:C206"/>
    <mergeCell ref="E206:F206"/>
    <mergeCell ref="A207:F207"/>
    <mergeCell ref="B191:C191"/>
    <mergeCell ref="B192:C192"/>
    <mergeCell ref="B193:B202"/>
    <mergeCell ref="B203:C203"/>
    <mergeCell ref="A188:C188"/>
    <mergeCell ref="E188:F188"/>
    <mergeCell ref="B189:C189"/>
    <mergeCell ref="E189:F189"/>
    <mergeCell ref="A190:F190"/>
    <mergeCell ref="A191:A196"/>
    <mergeCell ref="A197:A203"/>
    <mergeCell ref="A208:A213"/>
    <mergeCell ref="A214:A220"/>
    <mergeCell ref="B242:C242"/>
    <mergeCell ref="B243:C243"/>
    <mergeCell ref="B244:B253"/>
    <mergeCell ref="B254:C254"/>
    <mergeCell ref="A239:C239"/>
    <mergeCell ref="E239:F239"/>
    <mergeCell ref="B240:C240"/>
    <mergeCell ref="E240:F240"/>
    <mergeCell ref="A241:F241"/>
    <mergeCell ref="B225:C225"/>
    <mergeCell ref="B226:C226"/>
    <mergeCell ref="B227:B236"/>
    <mergeCell ref="B237:C237"/>
    <mergeCell ref="A222:C222"/>
    <mergeCell ref="E222:F222"/>
    <mergeCell ref="B223:C223"/>
    <mergeCell ref="E223:F223"/>
    <mergeCell ref="A224:F224"/>
    <mergeCell ref="A225:A230"/>
    <mergeCell ref="A231:A237"/>
    <mergeCell ref="A242:A247"/>
    <mergeCell ref="A248:A254"/>
    <mergeCell ref="B276:C276"/>
    <mergeCell ref="B277:C277"/>
    <mergeCell ref="B278:B287"/>
    <mergeCell ref="B288:C288"/>
    <mergeCell ref="A273:C273"/>
    <mergeCell ref="E273:F273"/>
    <mergeCell ref="B274:C274"/>
    <mergeCell ref="E274:F274"/>
    <mergeCell ref="A275:F275"/>
    <mergeCell ref="B259:C259"/>
    <mergeCell ref="B260:C260"/>
    <mergeCell ref="B261:B270"/>
    <mergeCell ref="B271:C271"/>
    <mergeCell ref="A256:C256"/>
    <mergeCell ref="E256:F256"/>
    <mergeCell ref="B257:C257"/>
    <mergeCell ref="E257:F257"/>
    <mergeCell ref="A258:F258"/>
    <mergeCell ref="A259:A264"/>
    <mergeCell ref="A265:A271"/>
    <mergeCell ref="A276:A281"/>
    <mergeCell ref="A282:A288"/>
    <mergeCell ref="B310:C310"/>
    <mergeCell ref="B311:C311"/>
    <mergeCell ref="B312:B321"/>
    <mergeCell ref="B322:C322"/>
    <mergeCell ref="A307:C307"/>
    <mergeCell ref="E307:F307"/>
    <mergeCell ref="B308:C308"/>
    <mergeCell ref="E308:F308"/>
    <mergeCell ref="A309:F309"/>
    <mergeCell ref="B293:C293"/>
    <mergeCell ref="B294:C294"/>
    <mergeCell ref="B295:B304"/>
    <mergeCell ref="B305:C305"/>
    <mergeCell ref="A290:C290"/>
    <mergeCell ref="E290:F290"/>
    <mergeCell ref="B291:C291"/>
    <mergeCell ref="E291:F291"/>
    <mergeCell ref="A292:F292"/>
    <mergeCell ref="A293:A298"/>
    <mergeCell ref="A299:A305"/>
    <mergeCell ref="A310:A315"/>
    <mergeCell ref="A316:A322"/>
    <mergeCell ref="B344:C344"/>
    <mergeCell ref="B345:C345"/>
    <mergeCell ref="B346:B355"/>
    <mergeCell ref="B356:C356"/>
    <mergeCell ref="A341:C341"/>
    <mergeCell ref="E341:F341"/>
    <mergeCell ref="B342:C342"/>
    <mergeCell ref="E342:F342"/>
    <mergeCell ref="A343:F343"/>
    <mergeCell ref="B327:C327"/>
    <mergeCell ref="B328:C328"/>
    <mergeCell ref="B329:B338"/>
    <mergeCell ref="B339:C339"/>
    <mergeCell ref="A324:C324"/>
    <mergeCell ref="E324:F324"/>
    <mergeCell ref="B325:C325"/>
    <mergeCell ref="E325:F325"/>
    <mergeCell ref="A326:F326"/>
    <mergeCell ref="A327:A332"/>
    <mergeCell ref="A333:A339"/>
    <mergeCell ref="A344:A349"/>
    <mergeCell ref="A350:A356"/>
    <mergeCell ref="B378:C378"/>
    <mergeCell ref="B379:C379"/>
    <mergeCell ref="B380:B389"/>
    <mergeCell ref="B390:C390"/>
    <mergeCell ref="A375:C375"/>
    <mergeCell ref="E375:F375"/>
    <mergeCell ref="B376:C376"/>
    <mergeCell ref="E376:F376"/>
    <mergeCell ref="A377:F377"/>
    <mergeCell ref="B361:C361"/>
    <mergeCell ref="B362:C362"/>
    <mergeCell ref="B363:B372"/>
    <mergeCell ref="B373:C373"/>
    <mergeCell ref="A358:C358"/>
    <mergeCell ref="E358:F358"/>
    <mergeCell ref="B359:C359"/>
    <mergeCell ref="E359:F359"/>
    <mergeCell ref="A360:F360"/>
    <mergeCell ref="A361:A366"/>
    <mergeCell ref="A367:A373"/>
    <mergeCell ref="A378:A383"/>
    <mergeCell ref="A384:A390"/>
    <mergeCell ref="B412:C412"/>
    <mergeCell ref="B413:C413"/>
    <mergeCell ref="B414:B423"/>
    <mergeCell ref="B424:C424"/>
    <mergeCell ref="A409:C409"/>
    <mergeCell ref="E409:F409"/>
    <mergeCell ref="B410:C410"/>
    <mergeCell ref="E410:F410"/>
    <mergeCell ref="A411:F411"/>
    <mergeCell ref="B395:C395"/>
    <mergeCell ref="B396:C396"/>
    <mergeCell ref="B397:B406"/>
    <mergeCell ref="B407:C407"/>
    <mergeCell ref="A392:C392"/>
    <mergeCell ref="E392:F392"/>
    <mergeCell ref="B393:C393"/>
    <mergeCell ref="E393:F393"/>
    <mergeCell ref="A394:F394"/>
    <mergeCell ref="A395:A400"/>
    <mergeCell ref="A401:A407"/>
    <mergeCell ref="A412:A417"/>
    <mergeCell ref="A418:A424"/>
    <mergeCell ref="A970:C970"/>
    <mergeCell ref="E970:F970"/>
    <mergeCell ref="B971:C971"/>
    <mergeCell ref="E971:F971"/>
    <mergeCell ref="A972:F972"/>
    <mergeCell ref="B973:C973"/>
    <mergeCell ref="B974:C974"/>
    <mergeCell ref="B975:B984"/>
    <mergeCell ref="B985:C985"/>
    <mergeCell ref="A953:C953"/>
    <mergeCell ref="E953:F953"/>
    <mergeCell ref="B954:C954"/>
    <mergeCell ref="E954:F954"/>
    <mergeCell ref="A955:F955"/>
    <mergeCell ref="B956:C956"/>
    <mergeCell ref="B957:C957"/>
    <mergeCell ref="B958:B967"/>
    <mergeCell ref="B968:C968"/>
    <mergeCell ref="A956:A961"/>
    <mergeCell ref="A962:A968"/>
    <mergeCell ref="A973:A978"/>
    <mergeCell ref="A979:A985"/>
    <mergeCell ref="A1004:C1004"/>
    <mergeCell ref="E1004:F1004"/>
    <mergeCell ref="B1005:C1005"/>
    <mergeCell ref="E1005:F1005"/>
    <mergeCell ref="A1006:F1006"/>
    <mergeCell ref="B1007:C1007"/>
    <mergeCell ref="B1008:C1008"/>
    <mergeCell ref="B1009:B1018"/>
    <mergeCell ref="B1019:C1019"/>
    <mergeCell ref="A987:C987"/>
    <mergeCell ref="E987:F987"/>
    <mergeCell ref="B988:C988"/>
    <mergeCell ref="E988:F988"/>
    <mergeCell ref="A989:F989"/>
    <mergeCell ref="B990:C990"/>
    <mergeCell ref="B991:C991"/>
    <mergeCell ref="B992:B1001"/>
    <mergeCell ref="B1002:C1002"/>
    <mergeCell ref="A990:A995"/>
    <mergeCell ref="A996:A1002"/>
    <mergeCell ref="A1007:A1012"/>
    <mergeCell ref="A1013:A1019"/>
    <mergeCell ref="A1038:C1038"/>
    <mergeCell ref="E1038:F1038"/>
    <mergeCell ref="B1039:C1039"/>
    <mergeCell ref="E1039:F1039"/>
    <mergeCell ref="A1040:F1040"/>
    <mergeCell ref="B1041:C1041"/>
    <mergeCell ref="B1042:C1042"/>
    <mergeCell ref="B1043:B1052"/>
    <mergeCell ref="B1053:C1053"/>
    <mergeCell ref="A1021:C1021"/>
    <mergeCell ref="E1021:F1021"/>
    <mergeCell ref="B1022:C1022"/>
    <mergeCell ref="E1022:F1022"/>
    <mergeCell ref="A1023:F1023"/>
    <mergeCell ref="B1024:C1024"/>
    <mergeCell ref="B1025:C1025"/>
    <mergeCell ref="B1026:B1035"/>
    <mergeCell ref="B1036:C1036"/>
    <mergeCell ref="A1024:A1029"/>
    <mergeCell ref="A1030:A1036"/>
    <mergeCell ref="A1041:A1046"/>
    <mergeCell ref="A1047:A1053"/>
    <mergeCell ref="A1072:C1072"/>
    <mergeCell ref="E1072:F1072"/>
    <mergeCell ref="B1073:C1073"/>
    <mergeCell ref="E1073:F1073"/>
    <mergeCell ref="A1074:F1074"/>
    <mergeCell ref="B1075:C1075"/>
    <mergeCell ref="B1076:C1076"/>
    <mergeCell ref="B1077:B1086"/>
    <mergeCell ref="B1087:C1087"/>
    <mergeCell ref="A1055:C1055"/>
    <mergeCell ref="E1055:F1055"/>
    <mergeCell ref="B1056:C1056"/>
    <mergeCell ref="E1056:F1056"/>
    <mergeCell ref="A1057:F1057"/>
    <mergeCell ref="B1058:C1058"/>
    <mergeCell ref="B1059:C1059"/>
    <mergeCell ref="B1060:B1069"/>
    <mergeCell ref="B1070:C1070"/>
    <mergeCell ref="A1058:A1063"/>
    <mergeCell ref="A1064:A1070"/>
    <mergeCell ref="A1075:A1080"/>
    <mergeCell ref="A1081:A1087"/>
    <mergeCell ref="A1106:C1106"/>
    <mergeCell ref="E1106:F1106"/>
    <mergeCell ref="B1107:C1107"/>
    <mergeCell ref="E1107:F1107"/>
    <mergeCell ref="A1108:F1108"/>
    <mergeCell ref="B1109:C1109"/>
    <mergeCell ref="B1110:C1110"/>
    <mergeCell ref="B1111:B1120"/>
    <mergeCell ref="B1121:C1121"/>
    <mergeCell ref="A1089:C1089"/>
    <mergeCell ref="E1089:F1089"/>
    <mergeCell ref="B1090:C1090"/>
    <mergeCell ref="E1090:F1090"/>
    <mergeCell ref="A1091:F1091"/>
    <mergeCell ref="B1092:C1092"/>
    <mergeCell ref="B1093:C1093"/>
    <mergeCell ref="B1094:B1103"/>
    <mergeCell ref="B1104:C1104"/>
    <mergeCell ref="A1092:A1097"/>
    <mergeCell ref="A1098:A1104"/>
    <mergeCell ref="A1109:A1114"/>
    <mergeCell ref="A1115:A1121"/>
    <mergeCell ref="A1140:C1140"/>
    <mergeCell ref="E1140:F1140"/>
    <mergeCell ref="B1141:C1141"/>
    <mergeCell ref="E1141:F1141"/>
    <mergeCell ref="A1142:F1142"/>
    <mergeCell ref="B1143:C1143"/>
    <mergeCell ref="B1144:C1144"/>
    <mergeCell ref="B1145:B1154"/>
    <mergeCell ref="B1155:C1155"/>
    <mergeCell ref="A1123:C1123"/>
    <mergeCell ref="E1123:F1123"/>
    <mergeCell ref="B1124:C1124"/>
    <mergeCell ref="E1124:F1124"/>
    <mergeCell ref="A1125:F1125"/>
    <mergeCell ref="B1126:C1126"/>
    <mergeCell ref="B1127:C1127"/>
    <mergeCell ref="B1128:B1137"/>
    <mergeCell ref="B1138:C1138"/>
    <mergeCell ref="A1126:A1131"/>
    <mergeCell ref="A1132:A1138"/>
    <mergeCell ref="A1143:A1148"/>
    <mergeCell ref="A1149:A1155"/>
    <mergeCell ref="A1174:C1174"/>
    <mergeCell ref="E1174:F1174"/>
    <mergeCell ref="B1175:C1175"/>
    <mergeCell ref="E1175:F1175"/>
    <mergeCell ref="A1176:F1176"/>
    <mergeCell ref="B1177:C1177"/>
    <mergeCell ref="B1178:C1178"/>
    <mergeCell ref="B1179:B1188"/>
    <mergeCell ref="B1189:C1189"/>
    <mergeCell ref="A1157:C1157"/>
    <mergeCell ref="E1157:F1157"/>
    <mergeCell ref="B1158:C1158"/>
    <mergeCell ref="E1158:F1158"/>
    <mergeCell ref="A1159:F1159"/>
    <mergeCell ref="B1160:C1160"/>
    <mergeCell ref="B1161:C1161"/>
    <mergeCell ref="B1162:B1171"/>
    <mergeCell ref="B1172:C1172"/>
    <mergeCell ref="A1160:A1165"/>
    <mergeCell ref="A1166:A1172"/>
    <mergeCell ref="A1177:A1182"/>
    <mergeCell ref="A1183:A1189"/>
    <mergeCell ref="A1208:C1208"/>
    <mergeCell ref="E1208:F1208"/>
    <mergeCell ref="B1209:C1209"/>
    <mergeCell ref="E1209:F1209"/>
    <mergeCell ref="A1210:F1210"/>
    <mergeCell ref="B1211:C1211"/>
    <mergeCell ref="B1212:C1212"/>
    <mergeCell ref="B1213:B1222"/>
    <mergeCell ref="B1223:C1223"/>
    <mergeCell ref="A1191:C1191"/>
    <mergeCell ref="E1191:F1191"/>
    <mergeCell ref="B1192:C1192"/>
    <mergeCell ref="E1192:F1192"/>
    <mergeCell ref="A1193:F1193"/>
    <mergeCell ref="B1194:C1194"/>
    <mergeCell ref="B1195:C1195"/>
    <mergeCell ref="B1196:B1205"/>
    <mergeCell ref="B1206:C1206"/>
    <mergeCell ref="A1194:A1199"/>
    <mergeCell ref="A1200:A1206"/>
    <mergeCell ref="A1211:A1216"/>
    <mergeCell ref="A1217:A1223"/>
    <mergeCell ref="A1242:C1242"/>
    <mergeCell ref="E1242:F1242"/>
    <mergeCell ref="B1243:C1243"/>
    <mergeCell ref="E1243:F1243"/>
    <mergeCell ref="A1244:F1244"/>
    <mergeCell ref="B1245:C1245"/>
    <mergeCell ref="B1246:C1246"/>
    <mergeCell ref="B1247:B1256"/>
    <mergeCell ref="B1257:C1257"/>
    <mergeCell ref="A1225:C1225"/>
    <mergeCell ref="E1225:F1225"/>
    <mergeCell ref="B1226:C1226"/>
    <mergeCell ref="E1226:F1226"/>
    <mergeCell ref="A1227:F1227"/>
    <mergeCell ref="B1228:C1228"/>
    <mergeCell ref="B1229:C1229"/>
    <mergeCell ref="B1230:B1239"/>
    <mergeCell ref="B1240:C1240"/>
    <mergeCell ref="A1228:A1233"/>
    <mergeCell ref="A1234:A1240"/>
    <mergeCell ref="A1245:A1250"/>
    <mergeCell ref="A1251:A1257"/>
    <mergeCell ref="A1276:C1276"/>
    <mergeCell ref="E1276:F1276"/>
    <mergeCell ref="B1277:C1277"/>
    <mergeCell ref="E1277:F1277"/>
    <mergeCell ref="A1278:F1278"/>
    <mergeCell ref="B1279:C1279"/>
    <mergeCell ref="B1280:C1280"/>
    <mergeCell ref="B1281:B1290"/>
    <mergeCell ref="B1291:C1291"/>
    <mergeCell ref="A1259:C1259"/>
    <mergeCell ref="E1259:F1259"/>
    <mergeCell ref="B1260:C1260"/>
    <mergeCell ref="E1260:F1260"/>
    <mergeCell ref="A1261:F1261"/>
    <mergeCell ref="B1262:C1262"/>
    <mergeCell ref="B1263:C1263"/>
    <mergeCell ref="B1264:B1273"/>
    <mergeCell ref="B1274:C1274"/>
    <mergeCell ref="A1262:A1267"/>
    <mergeCell ref="A1268:A1274"/>
    <mergeCell ref="A1279:A1284"/>
    <mergeCell ref="A1285:A1291"/>
    <mergeCell ref="A1310:C1310"/>
    <mergeCell ref="E1310:F1310"/>
    <mergeCell ref="B1311:C1311"/>
    <mergeCell ref="E1311:F1311"/>
    <mergeCell ref="A1312:F1312"/>
    <mergeCell ref="B1313:C1313"/>
    <mergeCell ref="B1314:C1314"/>
    <mergeCell ref="B1315:B1324"/>
    <mergeCell ref="B1325:C1325"/>
    <mergeCell ref="A1293:C1293"/>
    <mergeCell ref="E1293:F1293"/>
    <mergeCell ref="B1294:C1294"/>
    <mergeCell ref="E1294:F1294"/>
    <mergeCell ref="A1295:F1295"/>
    <mergeCell ref="B1296:C1296"/>
    <mergeCell ref="B1297:C1297"/>
    <mergeCell ref="B1298:B1307"/>
    <mergeCell ref="B1308:C1308"/>
    <mergeCell ref="A1296:A1301"/>
    <mergeCell ref="A1302:A1308"/>
    <mergeCell ref="A1313:A1318"/>
    <mergeCell ref="A1319:A1325"/>
    <mergeCell ref="A1344:C1344"/>
    <mergeCell ref="E1344:F1344"/>
    <mergeCell ref="B1345:C1345"/>
    <mergeCell ref="E1345:F1345"/>
    <mergeCell ref="A1346:F1346"/>
    <mergeCell ref="B1347:C1347"/>
    <mergeCell ref="B1348:C1348"/>
    <mergeCell ref="B1349:B1358"/>
    <mergeCell ref="B1359:C1359"/>
    <mergeCell ref="A1327:C1327"/>
    <mergeCell ref="E1327:F1327"/>
    <mergeCell ref="B1328:C1328"/>
    <mergeCell ref="E1328:F1328"/>
    <mergeCell ref="A1329:F1329"/>
    <mergeCell ref="B1330:C1330"/>
    <mergeCell ref="B1331:C1331"/>
    <mergeCell ref="B1332:B1341"/>
    <mergeCell ref="B1342:C1342"/>
    <mergeCell ref="A1330:A1335"/>
    <mergeCell ref="A1336:A1342"/>
    <mergeCell ref="A1347:A1352"/>
    <mergeCell ref="A1353:A1359"/>
    <mergeCell ref="A1378:C1378"/>
    <mergeCell ref="E1378:F1378"/>
    <mergeCell ref="B1379:C1379"/>
    <mergeCell ref="E1379:F1379"/>
    <mergeCell ref="A1380:F1380"/>
    <mergeCell ref="B1381:C1381"/>
    <mergeCell ref="B1382:C1382"/>
    <mergeCell ref="B1383:B1392"/>
    <mergeCell ref="B1393:C1393"/>
    <mergeCell ref="A1361:C1361"/>
    <mergeCell ref="E1361:F1361"/>
    <mergeCell ref="B1362:C1362"/>
    <mergeCell ref="E1362:F1362"/>
    <mergeCell ref="A1363:F1363"/>
    <mergeCell ref="B1364:C1364"/>
    <mergeCell ref="B1365:C1365"/>
    <mergeCell ref="B1366:B1375"/>
    <mergeCell ref="B1376:C1376"/>
    <mergeCell ref="A1364:A1369"/>
    <mergeCell ref="A1370:A1376"/>
    <mergeCell ref="A1381:A1386"/>
    <mergeCell ref="A1387:A1393"/>
    <mergeCell ref="A1412:C1412"/>
    <mergeCell ref="E1412:F1412"/>
    <mergeCell ref="B1413:C1413"/>
    <mergeCell ref="E1413:F1413"/>
    <mergeCell ref="A1414:F1414"/>
    <mergeCell ref="B1415:C1415"/>
    <mergeCell ref="B1416:C1416"/>
    <mergeCell ref="B1417:B1426"/>
    <mergeCell ref="B1427:C1427"/>
    <mergeCell ref="A1395:C1395"/>
    <mergeCell ref="E1395:F1395"/>
    <mergeCell ref="B1396:C1396"/>
    <mergeCell ref="E1396:F1396"/>
    <mergeCell ref="A1397:F1397"/>
    <mergeCell ref="B1398:C1398"/>
    <mergeCell ref="B1399:C1399"/>
    <mergeCell ref="B1400:B1409"/>
    <mergeCell ref="B1410:C1410"/>
    <mergeCell ref="A1398:A1403"/>
    <mergeCell ref="A1404:A1410"/>
    <mergeCell ref="A1415:A1420"/>
    <mergeCell ref="A1421:A1427"/>
    <mergeCell ref="A1446:C1446"/>
    <mergeCell ref="E1446:F1446"/>
    <mergeCell ref="B1447:C1447"/>
    <mergeCell ref="E1447:F1447"/>
    <mergeCell ref="A1448:F1448"/>
    <mergeCell ref="B1449:C1449"/>
    <mergeCell ref="B1450:C1450"/>
    <mergeCell ref="B1451:B1460"/>
    <mergeCell ref="B1461:C1461"/>
    <mergeCell ref="A1429:C1429"/>
    <mergeCell ref="E1429:F1429"/>
    <mergeCell ref="B1430:C1430"/>
    <mergeCell ref="E1430:F1430"/>
    <mergeCell ref="A1431:F1431"/>
    <mergeCell ref="B1432:C1432"/>
    <mergeCell ref="B1433:C1433"/>
    <mergeCell ref="B1434:B1443"/>
    <mergeCell ref="B1444:C1444"/>
    <mergeCell ref="A1432:A1437"/>
    <mergeCell ref="A1438:A1444"/>
    <mergeCell ref="A1449:A1454"/>
    <mergeCell ref="A1455:A1461"/>
    <mergeCell ref="A1480:C1480"/>
    <mergeCell ref="E1480:F1480"/>
    <mergeCell ref="B1481:C1481"/>
    <mergeCell ref="E1481:F1481"/>
    <mergeCell ref="A1482:F1482"/>
    <mergeCell ref="B1483:C1483"/>
    <mergeCell ref="B1484:C1484"/>
    <mergeCell ref="B1485:B1494"/>
    <mergeCell ref="B1495:C1495"/>
    <mergeCell ref="A1463:C1463"/>
    <mergeCell ref="E1463:F1463"/>
    <mergeCell ref="B1464:C1464"/>
    <mergeCell ref="E1464:F1464"/>
    <mergeCell ref="A1465:F1465"/>
    <mergeCell ref="B1466:C1466"/>
    <mergeCell ref="B1467:C1467"/>
    <mergeCell ref="B1468:B1477"/>
    <mergeCell ref="B1478:C1478"/>
    <mergeCell ref="A1466:A1471"/>
    <mergeCell ref="A1472:A1478"/>
    <mergeCell ref="A1483:A1488"/>
    <mergeCell ref="A1489:A1495"/>
    <mergeCell ref="A1514:C1514"/>
    <mergeCell ref="E1514:F1514"/>
    <mergeCell ref="B1515:C1515"/>
    <mergeCell ref="E1515:F1515"/>
    <mergeCell ref="A1516:F1516"/>
    <mergeCell ref="B1517:C1517"/>
    <mergeCell ref="B1518:C1518"/>
    <mergeCell ref="B1519:B1528"/>
    <mergeCell ref="B1529:C1529"/>
    <mergeCell ref="A1497:C1497"/>
    <mergeCell ref="E1497:F1497"/>
    <mergeCell ref="B1498:C1498"/>
    <mergeCell ref="E1498:F1498"/>
    <mergeCell ref="A1499:F1499"/>
    <mergeCell ref="B1500:C1500"/>
    <mergeCell ref="B1501:C1501"/>
    <mergeCell ref="B1502:B1511"/>
    <mergeCell ref="B1512:C1512"/>
    <mergeCell ref="A1500:A1505"/>
    <mergeCell ref="A1506:A1512"/>
    <mergeCell ref="A1517:A1522"/>
    <mergeCell ref="A1523:A1529"/>
    <mergeCell ref="A1548:C1548"/>
    <mergeCell ref="E1548:F1548"/>
    <mergeCell ref="B1549:C1549"/>
    <mergeCell ref="E1549:F1549"/>
    <mergeCell ref="A1550:F1550"/>
    <mergeCell ref="B1551:C1551"/>
    <mergeCell ref="B1552:C1552"/>
    <mergeCell ref="B1553:B1562"/>
    <mergeCell ref="B1563:C1563"/>
    <mergeCell ref="A1531:C1531"/>
    <mergeCell ref="E1531:F1531"/>
    <mergeCell ref="B1532:C1532"/>
    <mergeCell ref="E1532:F1532"/>
    <mergeCell ref="A1533:F1533"/>
    <mergeCell ref="B1534:C1534"/>
    <mergeCell ref="B1535:C1535"/>
    <mergeCell ref="B1536:B1545"/>
    <mergeCell ref="B1546:C1546"/>
    <mergeCell ref="A1534:A1539"/>
    <mergeCell ref="A1540:A1546"/>
    <mergeCell ref="A1551:A1556"/>
    <mergeCell ref="A1557:A1563"/>
    <mergeCell ref="A1582:C1582"/>
    <mergeCell ref="E1582:F1582"/>
    <mergeCell ref="B1583:C1583"/>
    <mergeCell ref="E1583:F1583"/>
    <mergeCell ref="A1584:F1584"/>
    <mergeCell ref="B1585:C1585"/>
    <mergeCell ref="B1586:C1586"/>
    <mergeCell ref="B1587:B1596"/>
    <mergeCell ref="B1597:C1597"/>
    <mergeCell ref="A1565:C1565"/>
    <mergeCell ref="E1565:F1565"/>
    <mergeCell ref="B1566:C1566"/>
    <mergeCell ref="E1566:F1566"/>
    <mergeCell ref="A1567:F1567"/>
    <mergeCell ref="B1568:C1568"/>
    <mergeCell ref="B1569:C1569"/>
    <mergeCell ref="B1570:B1579"/>
    <mergeCell ref="B1580:C1580"/>
    <mergeCell ref="A1568:A1573"/>
    <mergeCell ref="A1574:A1580"/>
    <mergeCell ref="A1585:A1590"/>
    <mergeCell ref="A1591:A1597"/>
    <mergeCell ref="A1616:C1616"/>
    <mergeCell ref="E1616:F1616"/>
    <mergeCell ref="B1617:C1617"/>
    <mergeCell ref="E1617:F1617"/>
    <mergeCell ref="A1618:F1618"/>
    <mergeCell ref="B1619:C1619"/>
    <mergeCell ref="B1620:C1620"/>
    <mergeCell ref="B1621:B1630"/>
    <mergeCell ref="B1631:C1631"/>
    <mergeCell ref="A1599:C1599"/>
    <mergeCell ref="E1599:F1599"/>
    <mergeCell ref="B1600:C1600"/>
    <mergeCell ref="E1600:F1600"/>
    <mergeCell ref="A1601:F1601"/>
    <mergeCell ref="B1602:C1602"/>
    <mergeCell ref="B1603:C1603"/>
    <mergeCell ref="B1604:B1613"/>
    <mergeCell ref="B1614:C1614"/>
    <mergeCell ref="A1602:A1607"/>
    <mergeCell ref="A1608:A1614"/>
    <mergeCell ref="A1619:A1624"/>
    <mergeCell ref="A1625:A1631"/>
    <mergeCell ref="A1650:C1650"/>
    <mergeCell ref="E1650:F1650"/>
    <mergeCell ref="B1651:C1651"/>
    <mergeCell ref="E1651:F1651"/>
    <mergeCell ref="A1652:F1652"/>
    <mergeCell ref="B1653:C1653"/>
    <mergeCell ref="B1654:C1654"/>
    <mergeCell ref="B1655:B1664"/>
    <mergeCell ref="B1665:C1665"/>
    <mergeCell ref="A1633:C1633"/>
    <mergeCell ref="E1633:F1633"/>
    <mergeCell ref="B1634:C1634"/>
    <mergeCell ref="E1634:F1634"/>
    <mergeCell ref="A1635:F1635"/>
    <mergeCell ref="B1636:C1636"/>
    <mergeCell ref="B1637:C1637"/>
    <mergeCell ref="B1638:B1647"/>
    <mergeCell ref="B1648:C1648"/>
    <mergeCell ref="A1636:A1641"/>
    <mergeCell ref="A1642:A1648"/>
    <mergeCell ref="A1653:A1658"/>
    <mergeCell ref="A1659:A1665"/>
    <mergeCell ref="A1684:C1684"/>
    <mergeCell ref="E1684:F1684"/>
    <mergeCell ref="B1685:C1685"/>
    <mergeCell ref="E1685:F1685"/>
    <mergeCell ref="A1686:F1686"/>
    <mergeCell ref="B1687:C1687"/>
    <mergeCell ref="B1688:C1688"/>
    <mergeCell ref="B1689:B1698"/>
    <mergeCell ref="B1699:C1699"/>
    <mergeCell ref="A1667:C1667"/>
    <mergeCell ref="E1667:F1667"/>
    <mergeCell ref="B1668:C1668"/>
    <mergeCell ref="E1668:F1668"/>
    <mergeCell ref="A1669:F1669"/>
    <mergeCell ref="B1670:C1670"/>
    <mergeCell ref="B1671:C1671"/>
    <mergeCell ref="B1672:B1681"/>
    <mergeCell ref="B1682:C1682"/>
    <mergeCell ref="A1670:A1675"/>
    <mergeCell ref="A1676:A1682"/>
    <mergeCell ref="A1687:A1692"/>
    <mergeCell ref="A1693:A1699"/>
    <mergeCell ref="A1718:C1718"/>
    <mergeCell ref="E1718:F1718"/>
    <mergeCell ref="B1719:C1719"/>
    <mergeCell ref="E1719:F1719"/>
    <mergeCell ref="A1720:F1720"/>
    <mergeCell ref="B1721:C1721"/>
    <mergeCell ref="B1722:C1722"/>
    <mergeCell ref="B1723:B1732"/>
    <mergeCell ref="B1733:C1733"/>
    <mergeCell ref="A1701:C1701"/>
    <mergeCell ref="E1701:F1701"/>
    <mergeCell ref="B1702:C1702"/>
    <mergeCell ref="E1702:F1702"/>
    <mergeCell ref="A1703:F1703"/>
    <mergeCell ref="B1704:C1704"/>
    <mergeCell ref="B1705:C1705"/>
    <mergeCell ref="B1706:B1715"/>
    <mergeCell ref="B1716:C1716"/>
    <mergeCell ref="A1704:A1709"/>
    <mergeCell ref="A1710:A1716"/>
    <mergeCell ref="A1721:A1726"/>
    <mergeCell ref="A1727:A1733"/>
    <mergeCell ref="A1752:C1752"/>
    <mergeCell ref="E1752:F1752"/>
    <mergeCell ref="B1753:C1753"/>
    <mergeCell ref="E1753:F1753"/>
    <mergeCell ref="A1754:F1754"/>
    <mergeCell ref="B1755:C1755"/>
    <mergeCell ref="B1756:C1756"/>
    <mergeCell ref="B1757:B1766"/>
    <mergeCell ref="B1767:C1767"/>
    <mergeCell ref="A1735:C1735"/>
    <mergeCell ref="E1735:F1735"/>
    <mergeCell ref="B1736:C1736"/>
    <mergeCell ref="E1736:F1736"/>
    <mergeCell ref="A1737:F1737"/>
    <mergeCell ref="B1738:C1738"/>
    <mergeCell ref="B1739:C1739"/>
    <mergeCell ref="B1740:B1749"/>
    <mergeCell ref="B1750:C1750"/>
    <mergeCell ref="A1738:A1743"/>
    <mergeCell ref="A1744:A1750"/>
    <mergeCell ref="A1755:A1760"/>
    <mergeCell ref="A1761:A1767"/>
    <mergeCell ref="A1786:C1786"/>
    <mergeCell ref="E1786:F1786"/>
    <mergeCell ref="B1787:C1787"/>
    <mergeCell ref="E1787:F1787"/>
    <mergeCell ref="A1788:F1788"/>
    <mergeCell ref="B1789:C1789"/>
    <mergeCell ref="B1790:C1790"/>
    <mergeCell ref="B1791:B1800"/>
    <mergeCell ref="B1801:C1801"/>
    <mergeCell ref="A1769:C1769"/>
    <mergeCell ref="E1769:F1769"/>
    <mergeCell ref="B1770:C1770"/>
    <mergeCell ref="E1770:F1770"/>
    <mergeCell ref="A1771:F1771"/>
    <mergeCell ref="B1772:C1772"/>
    <mergeCell ref="B1773:C1773"/>
    <mergeCell ref="B1774:B1783"/>
    <mergeCell ref="B1784:C1784"/>
    <mergeCell ref="A1772:A1777"/>
    <mergeCell ref="A1778:A1784"/>
    <mergeCell ref="A1789:A1794"/>
    <mergeCell ref="A1795:A1801"/>
    <mergeCell ref="A1820:C1820"/>
    <mergeCell ref="E1820:F1820"/>
    <mergeCell ref="B1821:C1821"/>
    <mergeCell ref="E1821:F1821"/>
    <mergeCell ref="A1822:F1822"/>
    <mergeCell ref="B1823:C1823"/>
    <mergeCell ref="B1824:C1824"/>
    <mergeCell ref="B1825:B1834"/>
    <mergeCell ref="B1835:C1835"/>
    <mergeCell ref="A1803:C1803"/>
    <mergeCell ref="E1803:F1803"/>
    <mergeCell ref="B1804:C1804"/>
    <mergeCell ref="E1804:F1804"/>
    <mergeCell ref="A1805:F1805"/>
    <mergeCell ref="B1806:C1806"/>
    <mergeCell ref="B1807:C1807"/>
    <mergeCell ref="B1808:B1817"/>
    <mergeCell ref="B1818:C1818"/>
    <mergeCell ref="A1806:A1811"/>
    <mergeCell ref="A1812:A1818"/>
    <mergeCell ref="A1823:A1828"/>
    <mergeCell ref="A1829:A1835"/>
    <mergeCell ref="A1854:C1854"/>
    <mergeCell ref="E1854:F1854"/>
    <mergeCell ref="B1855:C1855"/>
    <mergeCell ref="E1855:F1855"/>
    <mergeCell ref="A1856:F1856"/>
    <mergeCell ref="B1857:C1857"/>
    <mergeCell ref="B1858:C1858"/>
    <mergeCell ref="B1859:B1868"/>
    <mergeCell ref="B1869:C1869"/>
    <mergeCell ref="A1837:C1837"/>
    <mergeCell ref="E1837:F1837"/>
    <mergeCell ref="B1838:C1838"/>
    <mergeCell ref="E1838:F1838"/>
    <mergeCell ref="A1839:F1839"/>
    <mergeCell ref="B1840:C1840"/>
    <mergeCell ref="B1841:C1841"/>
    <mergeCell ref="B1842:B1851"/>
    <mergeCell ref="B1852:C1852"/>
    <mergeCell ref="A1840:A1845"/>
    <mergeCell ref="A1846:A1852"/>
    <mergeCell ref="A1857:A1862"/>
    <mergeCell ref="A1863:A1869"/>
    <mergeCell ref="A1888:C1888"/>
    <mergeCell ref="E1888:F1888"/>
    <mergeCell ref="B1889:C1889"/>
    <mergeCell ref="E1889:F1889"/>
    <mergeCell ref="A1890:F1890"/>
    <mergeCell ref="B1891:C1891"/>
    <mergeCell ref="B1892:C1892"/>
    <mergeCell ref="B1893:B1902"/>
    <mergeCell ref="B1903:C1903"/>
    <mergeCell ref="A1871:C1871"/>
    <mergeCell ref="E1871:F1871"/>
    <mergeCell ref="B1872:C1872"/>
    <mergeCell ref="E1872:F1872"/>
    <mergeCell ref="A1873:F1873"/>
    <mergeCell ref="B1874:C1874"/>
    <mergeCell ref="B1875:C1875"/>
    <mergeCell ref="B1876:B1885"/>
    <mergeCell ref="B1886:C1886"/>
    <mergeCell ref="A1874:A1879"/>
    <mergeCell ref="A1880:A1886"/>
    <mergeCell ref="A1891:A1896"/>
    <mergeCell ref="A1897:A1903"/>
    <mergeCell ref="A1922:C1922"/>
    <mergeCell ref="E1922:F1922"/>
    <mergeCell ref="B1923:C1923"/>
    <mergeCell ref="E1923:F1923"/>
    <mergeCell ref="A1924:F1924"/>
    <mergeCell ref="B1925:C1925"/>
    <mergeCell ref="B1926:C1926"/>
    <mergeCell ref="B1927:B1936"/>
    <mergeCell ref="B1937:C1937"/>
    <mergeCell ref="A1905:C1905"/>
    <mergeCell ref="E1905:F1905"/>
    <mergeCell ref="B1906:C1906"/>
    <mergeCell ref="E1906:F1906"/>
    <mergeCell ref="A1907:F1907"/>
    <mergeCell ref="B1908:C1908"/>
    <mergeCell ref="B1909:C1909"/>
    <mergeCell ref="B1910:B1919"/>
    <mergeCell ref="B1920:C1920"/>
    <mergeCell ref="A1908:A1913"/>
    <mergeCell ref="A1914:A1920"/>
    <mergeCell ref="A1925:A1930"/>
    <mergeCell ref="A1931:A1937"/>
    <mergeCell ref="A1956:C1956"/>
    <mergeCell ref="E1956:F1956"/>
    <mergeCell ref="B1957:C1957"/>
    <mergeCell ref="E1957:F1957"/>
    <mergeCell ref="A1958:F1958"/>
    <mergeCell ref="B1959:C1959"/>
    <mergeCell ref="B1960:C1960"/>
    <mergeCell ref="B1961:B1970"/>
    <mergeCell ref="B1971:C1971"/>
    <mergeCell ref="A1939:C1939"/>
    <mergeCell ref="E1939:F1939"/>
    <mergeCell ref="B1940:C1940"/>
    <mergeCell ref="E1940:F1940"/>
    <mergeCell ref="A1941:F1941"/>
    <mergeCell ref="B1942:C1942"/>
    <mergeCell ref="B1943:C1943"/>
    <mergeCell ref="B1944:B1953"/>
    <mergeCell ref="B1954:C1954"/>
    <mergeCell ref="A1942:A1947"/>
    <mergeCell ref="A1948:A1954"/>
    <mergeCell ref="A1959:A1964"/>
    <mergeCell ref="A1965:A1971"/>
    <mergeCell ref="A1990:C1990"/>
    <mergeCell ref="E1990:F1990"/>
    <mergeCell ref="B1991:C1991"/>
    <mergeCell ref="E1991:F1991"/>
    <mergeCell ref="A1992:F1992"/>
    <mergeCell ref="B1993:C1993"/>
    <mergeCell ref="B1994:C1994"/>
    <mergeCell ref="B1995:B2004"/>
    <mergeCell ref="B2005:C2005"/>
    <mergeCell ref="A1973:C1973"/>
    <mergeCell ref="E1973:F1973"/>
    <mergeCell ref="B1974:C1974"/>
    <mergeCell ref="E1974:F1974"/>
    <mergeCell ref="A1975:F1975"/>
    <mergeCell ref="B1976:C1976"/>
    <mergeCell ref="B1977:C1977"/>
    <mergeCell ref="B1978:B1987"/>
    <mergeCell ref="B1988:C1988"/>
    <mergeCell ref="A1976:A1981"/>
    <mergeCell ref="A1982:A1988"/>
    <mergeCell ref="A1993:A1998"/>
    <mergeCell ref="A1999:A2005"/>
    <mergeCell ref="A2024:C2024"/>
    <mergeCell ref="E2024:F2024"/>
    <mergeCell ref="B2025:C2025"/>
    <mergeCell ref="E2025:F2025"/>
    <mergeCell ref="A2026:F2026"/>
    <mergeCell ref="B2027:C2027"/>
    <mergeCell ref="B2028:C2028"/>
    <mergeCell ref="B2029:B2038"/>
    <mergeCell ref="B2039:C2039"/>
    <mergeCell ref="A2007:C2007"/>
    <mergeCell ref="E2007:F2007"/>
    <mergeCell ref="B2008:C2008"/>
    <mergeCell ref="E2008:F2008"/>
    <mergeCell ref="A2009:F2009"/>
    <mergeCell ref="B2010:C2010"/>
    <mergeCell ref="B2011:C2011"/>
    <mergeCell ref="B2012:B2021"/>
    <mergeCell ref="B2022:C2022"/>
    <mergeCell ref="A2010:A2015"/>
    <mergeCell ref="A2016:A2022"/>
    <mergeCell ref="A2027:A2032"/>
    <mergeCell ref="A2033:A2039"/>
    <mergeCell ref="A2058:C2058"/>
    <mergeCell ref="E2058:F2058"/>
    <mergeCell ref="B2059:C2059"/>
    <mergeCell ref="E2059:F2059"/>
    <mergeCell ref="A2060:F2060"/>
    <mergeCell ref="B2061:C2061"/>
    <mergeCell ref="B2062:C2062"/>
    <mergeCell ref="B2063:B2072"/>
    <mergeCell ref="B2073:C2073"/>
    <mergeCell ref="A2041:C2041"/>
    <mergeCell ref="E2041:F2041"/>
    <mergeCell ref="B2042:C2042"/>
    <mergeCell ref="E2042:F2042"/>
    <mergeCell ref="A2043:F2043"/>
    <mergeCell ref="B2044:C2044"/>
    <mergeCell ref="B2045:C2045"/>
    <mergeCell ref="B2046:B2055"/>
    <mergeCell ref="B2056:C2056"/>
    <mergeCell ref="A2044:A2049"/>
    <mergeCell ref="A2050:A2056"/>
    <mergeCell ref="A2061:A2066"/>
    <mergeCell ref="A2067:A2073"/>
    <mergeCell ref="A2092:C2092"/>
    <mergeCell ref="E2092:F2092"/>
    <mergeCell ref="B2093:C2093"/>
    <mergeCell ref="E2093:F2093"/>
    <mergeCell ref="A2094:F2094"/>
    <mergeCell ref="B2095:C2095"/>
    <mergeCell ref="B2096:C2096"/>
    <mergeCell ref="B2097:B2106"/>
    <mergeCell ref="B2107:C2107"/>
    <mergeCell ref="A2075:C2075"/>
    <mergeCell ref="E2075:F2075"/>
    <mergeCell ref="B2076:C2076"/>
    <mergeCell ref="E2076:F2076"/>
    <mergeCell ref="A2077:F2077"/>
    <mergeCell ref="B2078:C2078"/>
    <mergeCell ref="B2079:C2079"/>
    <mergeCell ref="B2080:B2089"/>
    <mergeCell ref="B2090:C2090"/>
    <mergeCell ref="A2078:A2083"/>
    <mergeCell ref="A2084:A2090"/>
    <mergeCell ref="A2095:A2100"/>
    <mergeCell ref="A2101:A2107"/>
    <mergeCell ref="A2126:C2126"/>
    <mergeCell ref="E2126:F2126"/>
    <mergeCell ref="B2127:C2127"/>
    <mergeCell ref="E2127:F2127"/>
    <mergeCell ref="A2128:F2128"/>
    <mergeCell ref="B2129:C2129"/>
    <mergeCell ref="B2130:C2130"/>
    <mergeCell ref="B2131:B2140"/>
    <mergeCell ref="B2141:C2141"/>
    <mergeCell ref="A2109:C2109"/>
    <mergeCell ref="E2109:F2109"/>
    <mergeCell ref="B2110:C2110"/>
    <mergeCell ref="E2110:F2110"/>
    <mergeCell ref="A2111:F2111"/>
    <mergeCell ref="B2112:C2112"/>
    <mergeCell ref="B2113:C2113"/>
    <mergeCell ref="B2114:B2123"/>
    <mergeCell ref="B2124:C2124"/>
    <mergeCell ref="A2112:A2117"/>
    <mergeCell ref="A2118:A2124"/>
    <mergeCell ref="A2129:A2134"/>
    <mergeCell ref="A2135:A2141"/>
    <mergeCell ref="A2160:C2160"/>
    <mergeCell ref="E2160:F2160"/>
    <mergeCell ref="B2161:C2161"/>
    <mergeCell ref="E2161:F2161"/>
    <mergeCell ref="A2162:F2162"/>
    <mergeCell ref="B2163:C2163"/>
    <mergeCell ref="B2164:C2164"/>
    <mergeCell ref="B2165:B2174"/>
    <mergeCell ref="B2175:C2175"/>
    <mergeCell ref="A2143:C2143"/>
    <mergeCell ref="E2143:F2143"/>
    <mergeCell ref="B2144:C2144"/>
    <mergeCell ref="E2144:F2144"/>
    <mergeCell ref="A2145:F2145"/>
    <mergeCell ref="B2146:C2146"/>
    <mergeCell ref="B2147:C2147"/>
    <mergeCell ref="B2148:B2157"/>
    <mergeCell ref="B2158:C2158"/>
    <mergeCell ref="A2146:A2151"/>
    <mergeCell ref="A2152:A2158"/>
    <mergeCell ref="A2163:A2168"/>
    <mergeCell ref="A2169:A2175"/>
    <mergeCell ref="A2194:C2194"/>
    <mergeCell ref="E2194:F2194"/>
    <mergeCell ref="B2195:C2195"/>
    <mergeCell ref="E2195:F2195"/>
    <mergeCell ref="A2196:F2196"/>
    <mergeCell ref="B2197:C2197"/>
    <mergeCell ref="B2198:C2198"/>
    <mergeCell ref="B2199:B2208"/>
    <mergeCell ref="B2209:C2209"/>
    <mergeCell ref="A2177:C2177"/>
    <mergeCell ref="E2177:F2177"/>
    <mergeCell ref="B2178:C2178"/>
    <mergeCell ref="E2178:F2178"/>
    <mergeCell ref="A2179:F2179"/>
    <mergeCell ref="B2180:C2180"/>
    <mergeCell ref="B2181:C2181"/>
    <mergeCell ref="B2182:B2191"/>
    <mergeCell ref="B2192:C2192"/>
    <mergeCell ref="A2180:A2185"/>
    <mergeCell ref="A2186:A2192"/>
    <mergeCell ref="A2197:A2202"/>
    <mergeCell ref="A2203:A2209"/>
    <mergeCell ref="A2228:C2228"/>
    <mergeCell ref="E2228:F2228"/>
    <mergeCell ref="B2229:C2229"/>
    <mergeCell ref="E2229:F2229"/>
    <mergeCell ref="A2230:F2230"/>
    <mergeCell ref="B2231:C2231"/>
    <mergeCell ref="B2232:C2232"/>
    <mergeCell ref="B2233:B2242"/>
    <mergeCell ref="B2243:C2243"/>
    <mergeCell ref="A2211:C2211"/>
    <mergeCell ref="E2211:F2211"/>
    <mergeCell ref="B2212:C2212"/>
    <mergeCell ref="E2212:F2212"/>
    <mergeCell ref="A2213:F2213"/>
    <mergeCell ref="B2214:C2214"/>
    <mergeCell ref="B2215:C2215"/>
    <mergeCell ref="B2216:B2225"/>
    <mergeCell ref="B2226:C2226"/>
    <mergeCell ref="A2214:A2219"/>
    <mergeCell ref="A2220:A2226"/>
    <mergeCell ref="A2231:A2236"/>
    <mergeCell ref="A2237:A2243"/>
    <mergeCell ref="A2262:C2262"/>
    <mergeCell ref="E2262:F2262"/>
    <mergeCell ref="B2263:C2263"/>
    <mergeCell ref="E2263:F2263"/>
    <mergeCell ref="A2264:F2264"/>
    <mergeCell ref="B2265:C2265"/>
    <mergeCell ref="B2266:C2266"/>
    <mergeCell ref="B2267:B2276"/>
    <mergeCell ref="B2277:C2277"/>
    <mergeCell ref="A2245:C2245"/>
    <mergeCell ref="E2245:F2245"/>
    <mergeCell ref="B2246:C2246"/>
    <mergeCell ref="E2246:F2246"/>
    <mergeCell ref="A2247:F2247"/>
    <mergeCell ref="B2248:C2248"/>
    <mergeCell ref="B2249:C2249"/>
    <mergeCell ref="B2250:B2259"/>
    <mergeCell ref="B2260:C2260"/>
    <mergeCell ref="A2248:A2253"/>
    <mergeCell ref="A2254:A2260"/>
    <mergeCell ref="A2265:A2270"/>
    <mergeCell ref="A2271:A2277"/>
    <mergeCell ref="A2296:C2296"/>
    <mergeCell ref="E2296:F2296"/>
    <mergeCell ref="B2297:C2297"/>
    <mergeCell ref="E2297:F2297"/>
    <mergeCell ref="A2298:F2298"/>
    <mergeCell ref="B2299:C2299"/>
    <mergeCell ref="B2300:C2300"/>
    <mergeCell ref="B2301:B2310"/>
    <mergeCell ref="B2311:C2311"/>
    <mergeCell ref="A2279:C2279"/>
    <mergeCell ref="E2279:F2279"/>
    <mergeCell ref="B2280:C2280"/>
    <mergeCell ref="E2280:F2280"/>
    <mergeCell ref="A2281:F2281"/>
    <mergeCell ref="B2282:C2282"/>
    <mergeCell ref="B2283:C2283"/>
    <mergeCell ref="B2284:B2293"/>
    <mergeCell ref="B2294:C2294"/>
    <mergeCell ref="A2282:A2287"/>
    <mergeCell ref="A2288:A2294"/>
    <mergeCell ref="A2299:A2304"/>
    <mergeCell ref="A2305:A2311"/>
    <mergeCell ref="A2330:C2330"/>
    <mergeCell ref="E2330:F2330"/>
    <mergeCell ref="B2331:C2331"/>
    <mergeCell ref="E2331:F2331"/>
    <mergeCell ref="A2332:F2332"/>
    <mergeCell ref="B2333:C2333"/>
    <mergeCell ref="B2334:C2334"/>
    <mergeCell ref="B2335:B2344"/>
    <mergeCell ref="B2345:C2345"/>
    <mergeCell ref="A2313:C2313"/>
    <mergeCell ref="E2313:F2313"/>
    <mergeCell ref="B2314:C2314"/>
    <mergeCell ref="E2314:F2314"/>
    <mergeCell ref="A2315:F2315"/>
    <mergeCell ref="B2316:C2316"/>
    <mergeCell ref="B2317:C2317"/>
    <mergeCell ref="B2318:B2327"/>
    <mergeCell ref="B2328:C2328"/>
    <mergeCell ref="A2316:A2321"/>
    <mergeCell ref="A2322:A2328"/>
    <mergeCell ref="A2333:A2338"/>
    <mergeCell ref="A2339:A2345"/>
    <mergeCell ref="A2364:C2364"/>
    <mergeCell ref="E2364:F2364"/>
    <mergeCell ref="B2365:C2365"/>
    <mergeCell ref="E2365:F2365"/>
    <mergeCell ref="A2366:F2366"/>
    <mergeCell ref="B2367:C2367"/>
    <mergeCell ref="B2368:C2368"/>
    <mergeCell ref="B2369:B2378"/>
    <mergeCell ref="B2379:C2379"/>
    <mergeCell ref="A2347:C2347"/>
    <mergeCell ref="E2347:F2347"/>
    <mergeCell ref="B2348:C2348"/>
    <mergeCell ref="E2348:F2348"/>
    <mergeCell ref="A2349:F2349"/>
    <mergeCell ref="B2350:C2350"/>
    <mergeCell ref="B2351:C2351"/>
    <mergeCell ref="B2352:B2361"/>
    <mergeCell ref="B2362:C2362"/>
    <mergeCell ref="A2350:A2355"/>
    <mergeCell ref="A2356:A2362"/>
    <mergeCell ref="A2367:A2372"/>
    <mergeCell ref="A2373:A2379"/>
    <mergeCell ref="A2398:C2398"/>
    <mergeCell ref="E2398:F2398"/>
    <mergeCell ref="B2399:C2399"/>
    <mergeCell ref="E2399:F2399"/>
    <mergeCell ref="A2400:F2400"/>
    <mergeCell ref="B2401:C2401"/>
    <mergeCell ref="B2402:C2402"/>
    <mergeCell ref="B2403:B2412"/>
    <mergeCell ref="B2413:C2413"/>
    <mergeCell ref="A2381:C2381"/>
    <mergeCell ref="E2381:F2381"/>
    <mergeCell ref="B2382:C2382"/>
    <mergeCell ref="E2382:F2382"/>
    <mergeCell ref="A2383:F2383"/>
    <mergeCell ref="B2384:C2384"/>
    <mergeCell ref="B2385:C2385"/>
    <mergeCell ref="B2386:B2395"/>
    <mergeCell ref="B2396:C2396"/>
    <mergeCell ref="A2384:A2389"/>
    <mergeCell ref="A2390:A2396"/>
    <mergeCell ref="A2401:A2406"/>
    <mergeCell ref="A2407:A2413"/>
    <mergeCell ref="A2432:C2432"/>
    <mergeCell ref="E2432:F2432"/>
    <mergeCell ref="B2433:C2433"/>
    <mergeCell ref="E2433:F2433"/>
    <mergeCell ref="A2434:F2434"/>
    <mergeCell ref="B2435:C2435"/>
    <mergeCell ref="B2436:C2436"/>
    <mergeCell ref="B2437:B2446"/>
    <mergeCell ref="B2447:C2447"/>
    <mergeCell ref="A2415:C2415"/>
    <mergeCell ref="E2415:F2415"/>
    <mergeCell ref="B2416:C2416"/>
    <mergeCell ref="E2416:F2416"/>
    <mergeCell ref="A2417:F2417"/>
    <mergeCell ref="B2418:C2418"/>
    <mergeCell ref="B2419:C2419"/>
    <mergeCell ref="B2420:B2429"/>
    <mergeCell ref="B2430:C2430"/>
    <mergeCell ref="A2418:A2423"/>
    <mergeCell ref="A2424:A2430"/>
    <mergeCell ref="A2435:A2440"/>
    <mergeCell ref="A2441:A2447"/>
    <mergeCell ref="A2466:C2466"/>
    <mergeCell ref="E2466:F2466"/>
    <mergeCell ref="B2467:C2467"/>
    <mergeCell ref="E2467:F2467"/>
    <mergeCell ref="A2468:F2468"/>
    <mergeCell ref="B2469:C2469"/>
    <mergeCell ref="B2470:C2470"/>
    <mergeCell ref="B2471:B2480"/>
    <mergeCell ref="B2481:C2481"/>
    <mergeCell ref="A2449:C2449"/>
    <mergeCell ref="E2449:F2449"/>
    <mergeCell ref="B2450:C2450"/>
    <mergeCell ref="E2450:F2450"/>
    <mergeCell ref="A2451:F2451"/>
    <mergeCell ref="B2452:C2452"/>
    <mergeCell ref="B2453:C2453"/>
    <mergeCell ref="B2454:B2463"/>
    <mergeCell ref="B2464:C2464"/>
    <mergeCell ref="A2452:A2457"/>
    <mergeCell ref="A2458:A2464"/>
    <mergeCell ref="A2469:A2474"/>
    <mergeCell ref="A2475:A2481"/>
    <mergeCell ref="A2500:C2500"/>
    <mergeCell ref="E2500:F2500"/>
    <mergeCell ref="B2501:C2501"/>
    <mergeCell ref="E2501:F2501"/>
    <mergeCell ref="A2502:F2502"/>
    <mergeCell ref="B2503:C2503"/>
    <mergeCell ref="B2504:C2504"/>
    <mergeCell ref="B2505:B2514"/>
    <mergeCell ref="B2515:C2515"/>
    <mergeCell ref="A2483:C2483"/>
    <mergeCell ref="E2483:F2483"/>
    <mergeCell ref="B2484:C2484"/>
    <mergeCell ref="E2484:F2484"/>
    <mergeCell ref="A2485:F2485"/>
    <mergeCell ref="B2486:C2486"/>
    <mergeCell ref="B2487:C2487"/>
    <mergeCell ref="B2488:B2497"/>
    <mergeCell ref="B2498:C2498"/>
    <mergeCell ref="A2486:A2491"/>
    <mergeCell ref="A2492:A2498"/>
    <mergeCell ref="A2503:A2508"/>
    <mergeCell ref="A2509:A2515"/>
    <mergeCell ref="A2534:C2534"/>
    <mergeCell ref="E2534:F2534"/>
    <mergeCell ref="B2535:C2535"/>
    <mergeCell ref="E2535:F2535"/>
    <mergeCell ref="A2536:F2536"/>
    <mergeCell ref="B2537:C2537"/>
    <mergeCell ref="B2538:C2538"/>
    <mergeCell ref="B2539:B2548"/>
    <mergeCell ref="B2549:C2549"/>
    <mergeCell ref="A2517:C2517"/>
    <mergeCell ref="E2517:F2517"/>
    <mergeCell ref="B2518:C2518"/>
    <mergeCell ref="E2518:F2518"/>
    <mergeCell ref="A2519:F2519"/>
    <mergeCell ref="B2520:C2520"/>
    <mergeCell ref="B2521:C2521"/>
    <mergeCell ref="B2522:B2531"/>
    <mergeCell ref="B2532:C2532"/>
    <mergeCell ref="A2520:A2525"/>
    <mergeCell ref="A2526:A2532"/>
    <mergeCell ref="A2537:A2542"/>
    <mergeCell ref="A2543:A2549"/>
    <mergeCell ref="A2568:C2568"/>
    <mergeCell ref="E2568:F2568"/>
    <mergeCell ref="B2569:C2569"/>
    <mergeCell ref="E2569:F2569"/>
    <mergeCell ref="A2570:F2570"/>
    <mergeCell ref="B2571:C2571"/>
    <mergeCell ref="B2572:C2572"/>
    <mergeCell ref="B2573:B2582"/>
    <mergeCell ref="B2583:C2583"/>
    <mergeCell ref="A2551:C2551"/>
    <mergeCell ref="E2551:F2551"/>
    <mergeCell ref="B2552:C2552"/>
    <mergeCell ref="E2552:F2552"/>
    <mergeCell ref="A2553:F2553"/>
    <mergeCell ref="B2554:C2554"/>
    <mergeCell ref="B2555:C2555"/>
    <mergeCell ref="B2556:B2565"/>
    <mergeCell ref="B2566:C2566"/>
    <mergeCell ref="A2554:A2559"/>
    <mergeCell ref="A2560:A2566"/>
    <mergeCell ref="A2571:A2576"/>
    <mergeCell ref="A2577:A2583"/>
    <mergeCell ref="A2602:C2602"/>
    <mergeCell ref="E2602:F2602"/>
    <mergeCell ref="B2603:C2603"/>
    <mergeCell ref="E2603:F2603"/>
    <mergeCell ref="A2604:F2604"/>
    <mergeCell ref="B2605:C2605"/>
    <mergeCell ref="B2606:C2606"/>
    <mergeCell ref="B2607:B2616"/>
    <mergeCell ref="B2617:C2617"/>
    <mergeCell ref="A2585:C2585"/>
    <mergeCell ref="E2585:F2585"/>
    <mergeCell ref="B2586:C2586"/>
    <mergeCell ref="E2586:F2586"/>
    <mergeCell ref="A2587:F2587"/>
    <mergeCell ref="B2588:C2588"/>
    <mergeCell ref="B2589:C2589"/>
    <mergeCell ref="B2590:B2599"/>
    <mergeCell ref="B2600:C2600"/>
    <mergeCell ref="A2588:A2593"/>
    <mergeCell ref="A2594:A2600"/>
    <mergeCell ref="A2605:A2610"/>
    <mergeCell ref="A2611:A2617"/>
    <mergeCell ref="A2636:C2636"/>
    <mergeCell ref="E2636:F2636"/>
    <mergeCell ref="B2637:C2637"/>
    <mergeCell ref="E2637:F2637"/>
    <mergeCell ref="A2638:F2638"/>
    <mergeCell ref="B2639:C2639"/>
    <mergeCell ref="B2640:C2640"/>
    <mergeCell ref="B2641:B2650"/>
    <mergeCell ref="B2651:C2651"/>
    <mergeCell ref="A2619:C2619"/>
    <mergeCell ref="E2619:F2619"/>
    <mergeCell ref="B2620:C2620"/>
    <mergeCell ref="E2620:F2620"/>
    <mergeCell ref="A2621:F2621"/>
    <mergeCell ref="B2622:C2622"/>
    <mergeCell ref="B2623:C2623"/>
    <mergeCell ref="B2624:B2633"/>
    <mergeCell ref="B2634:C2634"/>
    <mergeCell ref="A2622:A2627"/>
    <mergeCell ref="A2628:A2634"/>
    <mergeCell ref="A2639:A2644"/>
    <mergeCell ref="A2645:A2651"/>
    <mergeCell ref="A2670:C2670"/>
    <mergeCell ref="E2670:F2670"/>
    <mergeCell ref="B2671:C2671"/>
    <mergeCell ref="E2671:F2671"/>
    <mergeCell ref="A2672:F2672"/>
    <mergeCell ref="B2673:C2673"/>
    <mergeCell ref="B2674:C2674"/>
    <mergeCell ref="B2675:B2684"/>
    <mergeCell ref="B2685:C2685"/>
    <mergeCell ref="A2653:C2653"/>
    <mergeCell ref="E2653:F2653"/>
    <mergeCell ref="B2654:C2654"/>
    <mergeCell ref="E2654:F2654"/>
    <mergeCell ref="A2655:F2655"/>
    <mergeCell ref="B2656:C2656"/>
    <mergeCell ref="B2657:C2657"/>
    <mergeCell ref="B2658:B2667"/>
    <mergeCell ref="B2668:C2668"/>
    <mergeCell ref="A2656:A2661"/>
    <mergeCell ref="A2662:A2668"/>
    <mergeCell ref="A2673:A2678"/>
    <mergeCell ref="A2679:A2685"/>
    <mergeCell ref="A2704:C2704"/>
    <mergeCell ref="E2704:F2704"/>
    <mergeCell ref="B2705:C2705"/>
    <mergeCell ref="E2705:F2705"/>
    <mergeCell ref="A2706:F2706"/>
    <mergeCell ref="B2707:C2707"/>
    <mergeCell ref="B2708:C2708"/>
    <mergeCell ref="B2709:B2718"/>
    <mergeCell ref="B2719:C2719"/>
    <mergeCell ref="A2687:C2687"/>
    <mergeCell ref="E2687:F2687"/>
    <mergeCell ref="B2688:C2688"/>
    <mergeCell ref="E2688:F2688"/>
    <mergeCell ref="A2689:F2689"/>
    <mergeCell ref="B2690:C2690"/>
    <mergeCell ref="B2691:C2691"/>
    <mergeCell ref="B2692:B2701"/>
    <mergeCell ref="B2702:C2702"/>
    <mergeCell ref="A2690:A2695"/>
    <mergeCell ref="A2696:A2702"/>
    <mergeCell ref="A2707:A2712"/>
    <mergeCell ref="A2713:A2719"/>
    <mergeCell ref="A2738:C2738"/>
    <mergeCell ref="E2738:F2738"/>
    <mergeCell ref="B2739:C2739"/>
    <mergeCell ref="E2739:F2739"/>
    <mergeCell ref="A2740:F2740"/>
    <mergeCell ref="B2741:C2741"/>
    <mergeCell ref="B2742:C2742"/>
    <mergeCell ref="B2743:B2752"/>
    <mergeCell ref="B2753:C2753"/>
    <mergeCell ref="A2721:C2721"/>
    <mergeCell ref="E2721:F2721"/>
    <mergeCell ref="B2722:C2722"/>
    <mergeCell ref="E2722:F2722"/>
    <mergeCell ref="A2723:F2723"/>
    <mergeCell ref="B2724:C2724"/>
    <mergeCell ref="B2725:C2725"/>
    <mergeCell ref="B2726:B2735"/>
    <mergeCell ref="B2736:C2736"/>
    <mergeCell ref="A2724:A2729"/>
    <mergeCell ref="A2730:A2736"/>
    <mergeCell ref="A2741:A2746"/>
    <mergeCell ref="A2747:A2753"/>
    <mergeCell ref="A2772:C2772"/>
    <mergeCell ref="E2772:F2772"/>
    <mergeCell ref="B2773:C2773"/>
    <mergeCell ref="E2773:F2773"/>
    <mergeCell ref="A2774:F2774"/>
    <mergeCell ref="B2775:C2775"/>
    <mergeCell ref="B2776:C2776"/>
    <mergeCell ref="B2777:B2786"/>
    <mergeCell ref="B2787:C2787"/>
    <mergeCell ref="A2755:C2755"/>
    <mergeCell ref="E2755:F2755"/>
    <mergeCell ref="B2756:C2756"/>
    <mergeCell ref="E2756:F2756"/>
    <mergeCell ref="A2757:F2757"/>
    <mergeCell ref="B2758:C2758"/>
    <mergeCell ref="B2759:C2759"/>
    <mergeCell ref="B2760:B2769"/>
    <mergeCell ref="B2770:C2770"/>
    <mergeCell ref="A2758:A2763"/>
    <mergeCell ref="A2764:A2770"/>
    <mergeCell ref="A2775:A2780"/>
    <mergeCell ref="A2781:A2787"/>
    <mergeCell ref="A2806:C2806"/>
    <mergeCell ref="E2806:F2806"/>
    <mergeCell ref="B2807:C2807"/>
    <mergeCell ref="E2807:F2807"/>
    <mergeCell ref="A2808:F2808"/>
    <mergeCell ref="B2809:C2809"/>
    <mergeCell ref="B2810:C2810"/>
    <mergeCell ref="B2811:B2820"/>
    <mergeCell ref="B2821:C2821"/>
    <mergeCell ref="A2789:C2789"/>
    <mergeCell ref="E2789:F2789"/>
    <mergeCell ref="B2790:C2790"/>
    <mergeCell ref="E2790:F2790"/>
    <mergeCell ref="A2791:F2791"/>
    <mergeCell ref="B2792:C2792"/>
    <mergeCell ref="B2793:C2793"/>
    <mergeCell ref="B2794:B2803"/>
    <mergeCell ref="B2804:C2804"/>
    <mergeCell ref="A2792:A2797"/>
    <mergeCell ref="A2798:A2804"/>
    <mergeCell ref="A2809:A2814"/>
    <mergeCell ref="A2815:A2821"/>
    <mergeCell ref="A2840:C2840"/>
    <mergeCell ref="E2840:F2840"/>
    <mergeCell ref="B2841:C2841"/>
    <mergeCell ref="E2841:F2841"/>
    <mergeCell ref="A2842:F2842"/>
    <mergeCell ref="B2843:C2843"/>
    <mergeCell ref="B2844:C2844"/>
    <mergeCell ref="B2845:B2854"/>
    <mergeCell ref="B2855:C2855"/>
    <mergeCell ref="A2823:C2823"/>
    <mergeCell ref="E2823:F2823"/>
    <mergeCell ref="B2824:C2824"/>
    <mergeCell ref="E2824:F2824"/>
    <mergeCell ref="A2825:F2825"/>
    <mergeCell ref="B2826:C2826"/>
    <mergeCell ref="B2827:C2827"/>
    <mergeCell ref="B2828:B2837"/>
    <mergeCell ref="B2838:C2838"/>
    <mergeCell ref="A2826:A2831"/>
    <mergeCell ref="A2832:A2838"/>
    <mergeCell ref="A2843:A2848"/>
    <mergeCell ref="A2849:A2855"/>
    <mergeCell ref="A2874:C2874"/>
    <mergeCell ref="E2874:F2874"/>
    <mergeCell ref="B2875:C2875"/>
    <mergeCell ref="E2875:F2875"/>
    <mergeCell ref="A2876:F2876"/>
    <mergeCell ref="B2877:C2877"/>
    <mergeCell ref="B2878:C2878"/>
    <mergeCell ref="B2879:B2888"/>
    <mergeCell ref="B2889:C2889"/>
    <mergeCell ref="A2857:C2857"/>
    <mergeCell ref="E2857:F2857"/>
    <mergeCell ref="B2858:C2858"/>
    <mergeCell ref="E2858:F2858"/>
    <mergeCell ref="A2859:F2859"/>
    <mergeCell ref="B2860:C2860"/>
    <mergeCell ref="B2861:C2861"/>
    <mergeCell ref="B2862:B2871"/>
    <mergeCell ref="B2872:C2872"/>
    <mergeCell ref="A2860:A2865"/>
    <mergeCell ref="A2866:A2872"/>
    <mergeCell ref="A2877:A2882"/>
    <mergeCell ref="A2883:A2889"/>
    <mergeCell ref="A2908:C2908"/>
    <mergeCell ref="E2908:F2908"/>
    <mergeCell ref="B2909:C2909"/>
    <mergeCell ref="E2909:F2909"/>
    <mergeCell ref="A2910:F2910"/>
    <mergeCell ref="B2911:C2911"/>
    <mergeCell ref="B2912:C2912"/>
    <mergeCell ref="B2913:B2922"/>
    <mergeCell ref="B2923:C2923"/>
    <mergeCell ref="A2891:C2891"/>
    <mergeCell ref="E2891:F2891"/>
    <mergeCell ref="B2892:C2892"/>
    <mergeCell ref="E2892:F2892"/>
    <mergeCell ref="A2893:F2893"/>
    <mergeCell ref="B2894:C2894"/>
    <mergeCell ref="B2895:C2895"/>
    <mergeCell ref="B2896:B2905"/>
    <mergeCell ref="B2906:C2906"/>
    <mergeCell ref="A2894:A2899"/>
    <mergeCell ref="A2900:A2906"/>
    <mergeCell ref="A2911:A2916"/>
    <mergeCell ref="A2917:A2923"/>
    <mergeCell ref="A2942:C2942"/>
    <mergeCell ref="E2942:F2942"/>
    <mergeCell ref="B2943:C2943"/>
    <mergeCell ref="E2943:F2943"/>
    <mergeCell ref="A2944:F2944"/>
    <mergeCell ref="B2945:C2945"/>
    <mergeCell ref="B2946:C2946"/>
    <mergeCell ref="B2947:B2956"/>
    <mergeCell ref="B2957:C2957"/>
    <mergeCell ref="A2925:C2925"/>
    <mergeCell ref="E2925:F2925"/>
    <mergeCell ref="B2926:C2926"/>
    <mergeCell ref="E2926:F2926"/>
    <mergeCell ref="A2927:F2927"/>
    <mergeCell ref="B2928:C2928"/>
    <mergeCell ref="B2929:C2929"/>
    <mergeCell ref="B2930:B2939"/>
    <mergeCell ref="B2940:C2940"/>
    <mergeCell ref="A2928:A2933"/>
    <mergeCell ref="A2934:A2940"/>
    <mergeCell ref="A2945:A2950"/>
    <mergeCell ref="A2951:A2957"/>
    <mergeCell ref="A2976:C2976"/>
    <mergeCell ref="E2976:F2976"/>
    <mergeCell ref="B2977:C2977"/>
    <mergeCell ref="E2977:F2977"/>
    <mergeCell ref="A2978:F2978"/>
    <mergeCell ref="B2979:C2979"/>
    <mergeCell ref="B2980:C2980"/>
    <mergeCell ref="B2981:B2990"/>
    <mergeCell ref="B2991:C2991"/>
    <mergeCell ref="A2959:C2959"/>
    <mergeCell ref="E2959:F2959"/>
    <mergeCell ref="B2960:C2960"/>
    <mergeCell ref="E2960:F2960"/>
    <mergeCell ref="A2961:F2961"/>
    <mergeCell ref="B2962:C2962"/>
    <mergeCell ref="B2963:C2963"/>
    <mergeCell ref="B2964:B2973"/>
    <mergeCell ref="B2974:C2974"/>
    <mergeCell ref="A2962:A2967"/>
    <mergeCell ref="A2968:A2974"/>
    <mergeCell ref="A2979:A2984"/>
    <mergeCell ref="A2985:A2991"/>
    <mergeCell ref="A3010:C3010"/>
    <mergeCell ref="E3010:F3010"/>
    <mergeCell ref="B3011:C3011"/>
    <mergeCell ref="E3011:F3011"/>
    <mergeCell ref="A3012:F3012"/>
    <mergeCell ref="B3013:C3013"/>
    <mergeCell ref="B3014:C3014"/>
    <mergeCell ref="B3015:B3024"/>
    <mergeCell ref="B3025:C3025"/>
    <mergeCell ref="A2993:C2993"/>
    <mergeCell ref="E2993:F2993"/>
    <mergeCell ref="B2994:C2994"/>
    <mergeCell ref="E2994:F2994"/>
    <mergeCell ref="A2995:F2995"/>
    <mergeCell ref="B2996:C2996"/>
    <mergeCell ref="B2997:C2997"/>
    <mergeCell ref="B2998:B3007"/>
    <mergeCell ref="B3008:C3008"/>
    <mergeCell ref="A2996:A3001"/>
    <mergeCell ref="A3002:A3008"/>
    <mergeCell ref="A3013:A3018"/>
    <mergeCell ref="A3019:A3025"/>
    <mergeCell ref="A3044:C3044"/>
    <mergeCell ref="E3044:F3044"/>
    <mergeCell ref="B3045:C3045"/>
    <mergeCell ref="E3045:F3045"/>
    <mergeCell ref="A3046:F3046"/>
    <mergeCell ref="B3047:C3047"/>
    <mergeCell ref="B3048:C3048"/>
    <mergeCell ref="B3049:B3058"/>
    <mergeCell ref="B3059:C3059"/>
    <mergeCell ref="A3027:C3027"/>
    <mergeCell ref="E3027:F3027"/>
    <mergeCell ref="B3028:C3028"/>
    <mergeCell ref="E3028:F3028"/>
    <mergeCell ref="A3029:F3029"/>
    <mergeCell ref="B3030:C3030"/>
    <mergeCell ref="B3031:C3031"/>
    <mergeCell ref="B3032:B3041"/>
    <mergeCell ref="B3042:C3042"/>
    <mergeCell ref="A3030:A3035"/>
    <mergeCell ref="A3036:A3042"/>
    <mergeCell ref="A3047:A3052"/>
    <mergeCell ref="A3053:A3059"/>
  </mergeCells>
  <conditionalFormatting sqref="A1:F1">
    <cfRule type="expression" dxfId="251" priority="181">
      <formula>OR($E$16="",NOT(ISNUMBER($E$16)))</formula>
    </cfRule>
  </conditionalFormatting>
  <conditionalFormatting sqref="A18:F18">
    <cfRule type="expression" dxfId="250" priority="180">
      <formula>OR($E$33="",NOT(ISNUMBER($E$33)))</formula>
    </cfRule>
  </conditionalFormatting>
  <conditionalFormatting sqref="A35:F35">
    <cfRule type="expression" dxfId="249" priority="179">
      <formula>OR($E$50="",NOT(ISNUMBER($E$50)))</formula>
    </cfRule>
  </conditionalFormatting>
  <conditionalFormatting sqref="A52:F52">
    <cfRule type="expression" dxfId="248" priority="178">
      <formula>OR($E$67="",NOT(ISNUMBER($E$67)))</formula>
    </cfRule>
  </conditionalFormatting>
  <conditionalFormatting sqref="A69:F69">
    <cfRule type="expression" dxfId="247" priority="177">
      <formula>OR($E$84="",NOT(ISNUMBER($E$84)))</formula>
    </cfRule>
  </conditionalFormatting>
  <conditionalFormatting sqref="A86:F86">
    <cfRule type="expression" dxfId="246" priority="176">
      <formula>OR($E$101="",NOT(ISNUMBER($E$101)))</formula>
    </cfRule>
  </conditionalFormatting>
  <conditionalFormatting sqref="A103:F103">
    <cfRule type="expression" dxfId="245" priority="175">
      <formula>OR($E$118="",NOT(ISNUMBER($E$118)))</formula>
    </cfRule>
  </conditionalFormatting>
  <conditionalFormatting sqref="A120:F120">
    <cfRule type="expression" dxfId="244" priority="174">
      <formula>OR($E$135="",NOT(ISNUMBER($E$135)))</formula>
    </cfRule>
  </conditionalFormatting>
  <conditionalFormatting sqref="A137:F137">
    <cfRule type="expression" dxfId="243" priority="173">
      <formula>OR($E$152="",NOT(ISNUMBER($E$152)))</formula>
    </cfRule>
  </conditionalFormatting>
  <conditionalFormatting sqref="A154:F154">
    <cfRule type="expression" dxfId="242" priority="172">
      <formula>OR($E$169="",NOT(ISNUMBER($E$169)))</formula>
    </cfRule>
  </conditionalFormatting>
  <conditionalFormatting sqref="A171:F171">
    <cfRule type="expression" dxfId="241" priority="171">
      <formula>OR($E$186="",NOT(ISNUMBER($E$186)))</formula>
    </cfRule>
  </conditionalFormatting>
  <conditionalFormatting sqref="A188:F188">
    <cfRule type="expression" dxfId="240" priority="169">
      <formula>OR($E$203="",NOT(ISNUMBER($E$203)))</formula>
    </cfRule>
  </conditionalFormatting>
  <conditionalFormatting sqref="A205:F205">
    <cfRule type="expression" dxfId="239" priority="168">
      <formula>OR($E$220="",NOT(ISNUMBER($E$220)))</formula>
    </cfRule>
  </conditionalFormatting>
  <conditionalFormatting sqref="A222:F222">
    <cfRule type="expression" dxfId="238" priority="167">
      <formula>OR($E$237="",NOT(ISNUMBER($E$237)))</formula>
    </cfRule>
  </conditionalFormatting>
  <conditionalFormatting sqref="A239:F239">
    <cfRule type="expression" dxfId="237" priority="166">
      <formula>OR($E$254="",NOT(ISNUMBER($E$254)))</formula>
    </cfRule>
  </conditionalFormatting>
  <conditionalFormatting sqref="A256:F256">
    <cfRule type="expression" dxfId="236" priority="165">
      <formula>OR($E$271="",NOT(ISNUMBER($E$271)))</formula>
    </cfRule>
  </conditionalFormatting>
  <conditionalFormatting sqref="A273:F273">
    <cfRule type="expression" dxfId="235" priority="164">
      <formula>OR($E$288="",NOT(ISNUMBER($E$288)))</formula>
    </cfRule>
  </conditionalFormatting>
  <conditionalFormatting sqref="A290:F290">
    <cfRule type="expression" dxfId="234" priority="163">
      <formula>OR($E$305="",NOT(ISNUMBER($E$305)))</formula>
    </cfRule>
  </conditionalFormatting>
  <conditionalFormatting sqref="A307:F307">
    <cfRule type="expression" dxfId="233" priority="162">
      <formula>OR($E$322="",NOT(ISNUMBER($E$322)))</formula>
    </cfRule>
  </conditionalFormatting>
  <conditionalFormatting sqref="A324:F324">
    <cfRule type="expression" dxfId="232" priority="161">
      <formula>OR($E$339="",NOT(ISNUMBER($E$339)))</formula>
    </cfRule>
  </conditionalFormatting>
  <conditionalFormatting sqref="A341:F341">
    <cfRule type="expression" dxfId="231" priority="160">
      <formula>OR($E$356="",NOT(ISNUMBER($E$356)))</formula>
    </cfRule>
  </conditionalFormatting>
  <conditionalFormatting sqref="A358:F358">
    <cfRule type="expression" dxfId="230" priority="159">
      <formula>OR($E$373="",NOT(ISNUMBER($E$373)))</formula>
    </cfRule>
  </conditionalFormatting>
  <conditionalFormatting sqref="A375:F375">
    <cfRule type="expression" dxfId="229" priority="158">
      <formula>OR($E$390="",NOT(ISNUMBER($E$390)))</formula>
    </cfRule>
  </conditionalFormatting>
  <conditionalFormatting sqref="A392:F392">
    <cfRule type="expression" dxfId="228" priority="157">
      <formula>OR($E$407="",NOT(ISNUMBER($E$407)))</formula>
    </cfRule>
  </conditionalFormatting>
  <conditionalFormatting sqref="A409:F409">
    <cfRule type="expression" dxfId="227" priority="156">
      <formula>OR($E$424="",NOT(ISNUMBER($E$424)))</formula>
    </cfRule>
  </conditionalFormatting>
  <conditionalFormatting sqref="A426:F426">
    <cfRule type="expression" dxfId="226" priority="155">
      <formula>OR($E$441="",NOT(ISNUMBER($E$441)))</formula>
    </cfRule>
  </conditionalFormatting>
  <conditionalFormatting sqref="A443:F443">
    <cfRule type="expression" dxfId="225" priority="135">
      <formula>OR($E$458="",NOT(ISNUMBER($E$458)))</formula>
    </cfRule>
  </conditionalFormatting>
  <conditionalFormatting sqref="A460:F460">
    <cfRule type="expression" dxfId="224" priority="134">
      <formula>OR($E$475="",NOT(ISNUMBER($E$475)))</formula>
    </cfRule>
  </conditionalFormatting>
  <conditionalFormatting sqref="A477:F477">
    <cfRule type="expression" dxfId="223" priority="133">
      <formula>OR($E$492="",NOT(ISNUMBER($E$492)))</formula>
    </cfRule>
  </conditionalFormatting>
  <conditionalFormatting sqref="A494:F494">
    <cfRule type="expression" dxfId="222" priority="132">
      <formula>OR($E$509="",NOT(ISNUMBER($E$509)))</formula>
    </cfRule>
  </conditionalFormatting>
  <conditionalFormatting sqref="A511:F511">
    <cfRule type="expression" dxfId="221" priority="131">
      <formula>OR($E$526="",NOT(ISNUMBER($E$526)))</formula>
    </cfRule>
  </conditionalFormatting>
  <conditionalFormatting sqref="A528:F528">
    <cfRule type="expression" dxfId="220" priority="130">
      <formula>OR($E$543="",NOT(ISNUMBER($E$543)))</formula>
    </cfRule>
  </conditionalFormatting>
  <conditionalFormatting sqref="A545:F545">
    <cfRule type="expression" dxfId="219" priority="129">
      <formula>OR($E$560="",NOT(ISNUMBER($E$560)))</formula>
    </cfRule>
  </conditionalFormatting>
  <conditionalFormatting sqref="A562:F562">
    <cfRule type="expression" dxfId="218" priority="128">
      <formula>OR($E$577="",NOT(ISNUMBER($E$577)))</formula>
    </cfRule>
  </conditionalFormatting>
  <conditionalFormatting sqref="A579:F579">
    <cfRule type="expression" dxfId="217" priority="127">
      <formula>OR($E$594="",NOT(ISNUMBER($E$594)))</formula>
    </cfRule>
  </conditionalFormatting>
  <conditionalFormatting sqref="A596:F596">
    <cfRule type="expression" dxfId="216" priority="1">
      <formula>OR($E$611="",NOT(ISNUMBER($E$611)))</formula>
    </cfRule>
  </conditionalFormatting>
  <conditionalFormatting sqref="A613:F613">
    <cfRule type="expression" dxfId="215" priority="2">
      <formula>OR($E$628="",NOT(ISNUMBER($E$628)))</formula>
    </cfRule>
  </conditionalFormatting>
  <conditionalFormatting sqref="A630:F630">
    <cfRule type="expression" dxfId="214" priority="3">
      <formula>OR($E$645="",NOT(ISNUMBER($E$645)))</formula>
    </cfRule>
  </conditionalFormatting>
  <conditionalFormatting sqref="A647:F647">
    <cfRule type="expression" dxfId="213" priority="4">
      <formula>OR($E$662="",NOT(ISNUMBER($E$662)))</formula>
    </cfRule>
  </conditionalFormatting>
  <conditionalFormatting sqref="A664:F664">
    <cfRule type="expression" dxfId="212" priority="5">
      <formula>OR($E$679="",NOT(ISNUMBER($E$679)))</formula>
    </cfRule>
  </conditionalFormatting>
  <conditionalFormatting sqref="A681:F681">
    <cfRule type="expression" dxfId="211" priority="6">
      <formula>OR($E$696="",NOT(ISNUMBER($E$696)))</formula>
    </cfRule>
  </conditionalFormatting>
  <conditionalFormatting sqref="A698:F698">
    <cfRule type="expression" dxfId="210" priority="7">
      <formula>OR($E$713="",NOT(ISNUMBER($E$713)))</formula>
    </cfRule>
  </conditionalFormatting>
  <conditionalFormatting sqref="A715:F715">
    <cfRule type="expression" dxfId="209" priority="8">
      <formula>OR($E$730="",NOT(ISNUMBER($E$730)))</formula>
    </cfRule>
  </conditionalFormatting>
  <conditionalFormatting sqref="A732:F732">
    <cfRule type="expression" dxfId="208" priority="9">
      <formula>OR($E$747="",NOT(ISNUMBER($E$747)))</formula>
    </cfRule>
  </conditionalFormatting>
  <conditionalFormatting sqref="A749:F749">
    <cfRule type="expression" dxfId="207" priority="10">
      <formula>OR($E$764="",NOT(ISNUMBER($E$764)))</formula>
    </cfRule>
  </conditionalFormatting>
  <conditionalFormatting sqref="A766:F766">
    <cfRule type="expression" dxfId="206" priority="11">
      <formula>OR($E$781="",NOT(ISNUMBER($E$781)))</formula>
    </cfRule>
  </conditionalFormatting>
  <conditionalFormatting sqref="A783:F783">
    <cfRule type="expression" dxfId="205" priority="12">
      <formula>OR($E$798="",NOT(ISNUMBER($E$798)))</formula>
    </cfRule>
  </conditionalFormatting>
  <conditionalFormatting sqref="A800:F800">
    <cfRule type="expression" dxfId="204" priority="13">
      <formula>OR($E$815="",NOT(ISNUMBER($E$815)))</formula>
    </cfRule>
  </conditionalFormatting>
  <conditionalFormatting sqref="A817:F817">
    <cfRule type="expression" dxfId="203" priority="14">
      <formula>OR($E$832="",NOT(ISNUMBER($E$832)))</formula>
    </cfRule>
  </conditionalFormatting>
  <conditionalFormatting sqref="A834:F834">
    <cfRule type="expression" dxfId="202" priority="15">
      <formula>OR($E$849="",NOT(ISNUMBER($E$849)))</formula>
    </cfRule>
  </conditionalFormatting>
  <conditionalFormatting sqref="A851:F851">
    <cfRule type="expression" dxfId="201" priority="16">
      <formula>OR($E$866="",NOT(ISNUMBER($E$866)))</formula>
    </cfRule>
  </conditionalFormatting>
  <conditionalFormatting sqref="A868:F868">
    <cfRule type="expression" dxfId="200" priority="17">
      <formula>OR($E$883="",NOT(ISNUMBER($E$883)))</formula>
    </cfRule>
  </conditionalFormatting>
  <conditionalFormatting sqref="A885:F885">
    <cfRule type="expression" dxfId="199" priority="18">
      <formula>OR($E$900="",NOT(ISNUMBER($E$900)))</formula>
    </cfRule>
  </conditionalFormatting>
  <conditionalFormatting sqref="A902:F902">
    <cfRule type="expression" dxfId="198" priority="19">
      <formula>OR($E$917="",NOT(ISNUMBER($E$917)))</formula>
    </cfRule>
  </conditionalFormatting>
  <conditionalFormatting sqref="A919:F919">
    <cfRule type="expression" dxfId="197" priority="20">
      <formula>OR($E$934="",NOT(ISNUMBER($E$934)))</formula>
    </cfRule>
  </conditionalFormatting>
  <conditionalFormatting sqref="A936:F936">
    <cfRule type="expression" dxfId="196" priority="21">
      <formula>OR($E$951="",NOT(ISNUMBER($E$951)))</formula>
    </cfRule>
  </conditionalFormatting>
  <conditionalFormatting sqref="A953:F953">
    <cfRule type="expression" dxfId="195" priority="22">
      <formula>OR($E$968="",NOT(ISNUMBER($E$968)))</formula>
    </cfRule>
  </conditionalFormatting>
  <conditionalFormatting sqref="A970:F970">
    <cfRule type="expression" dxfId="194" priority="23">
      <formula>OR($E$985="",NOT(ISNUMBER($E$985)))</formula>
    </cfRule>
  </conditionalFormatting>
  <conditionalFormatting sqref="A987:F987">
    <cfRule type="expression" dxfId="193" priority="24">
      <formula>OR($E$1002="",NOT(ISNUMBER($E$1002)))</formula>
    </cfRule>
  </conditionalFormatting>
  <conditionalFormatting sqref="A1004:F1004">
    <cfRule type="expression" dxfId="192" priority="25">
      <formula>OR($E$1019="",NOT(ISNUMBER($E$1019)))</formula>
    </cfRule>
  </conditionalFormatting>
  <conditionalFormatting sqref="A1021:F1021">
    <cfRule type="expression" dxfId="191" priority="26">
      <formula>OR($E$1036="",NOT(ISNUMBER($E$1036)))</formula>
    </cfRule>
  </conditionalFormatting>
  <conditionalFormatting sqref="A1038:F1038">
    <cfRule type="expression" dxfId="190" priority="27">
      <formula>OR($E$1053="",NOT(ISNUMBER($E$1053)))</formula>
    </cfRule>
  </conditionalFormatting>
  <conditionalFormatting sqref="A1055:F1055">
    <cfRule type="expression" dxfId="189" priority="28">
      <formula>OR($E$1070="",NOT(ISNUMBER($E$1070)))</formula>
    </cfRule>
  </conditionalFormatting>
  <conditionalFormatting sqref="A1072:F1072">
    <cfRule type="expression" dxfId="188" priority="29">
      <formula>OR($E$1087="",NOT(ISNUMBER($E$1087)))</formula>
    </cfRule>
  </conditionalFormatting>
  <conditionalFormatting sqref="A1089:F1089">
    <cfRule type="expression" dxfId="187" priority="30">
      <formula>OR($E$1104="",NOT(ISNUMBER($E$1104)))</formula>
    </cfRule>
  </conditionalFormatting>
  <conditionalFormatting sqref="A1106:F1106">
    <cfRule type="expression" dxfId="186" priority="31">
      <formula>OR($E$1121="",NOT(ISNUMBER($E$1121)))</formula>
    </cfRule>
  </conditionalFormatting>
  <conditionalFormatting sqref="A1123:F1123">
    <cfRule type="expression" dxfId="185" priority="32">
      <formula>OR($E$1138="",NOT(ISNUMBER($E$1138)))</formula>
    </cfRule>
  </conditionalFormatting>
  <conditionalFormatting sqref="A1140:F1140">
    <cfRule type="expression" dxfId="184" priority="33">
      <formula>OR($E$1155="",NOT(ISNUMBER($E$1155)))</formula>
    </cfRule>
  </conditionalFormatting>
  <conditionalFormatting sqref="A1157:F1157">
    <cfRule type="expression" dxfId="183" priority="34">
      <formula>OR($E$1172="",NOT(ISNUMBER($E$1172)))</formula>
    </cfRule>
  </conditionalFormatting>
  <conditionalFormatting sqref="A1174:F1174">
    <cfRule type="expression" dxfId="182" priority="35">
      <formula>OR($E$1189="",NOT(ISNUMBER($E$1189)))</formula>
    </cfRule>
  </conditionalFormatting>
  <conditionalFormatting sqref="A1191:F1191">
    <cfRule type="expression" dxfId="181" priority="36">
      <formula>OR($E$1206="",NOT(ISNUMBER($E$1206)))</formula>
    </cfRule>
  </conditionalFormatting>
  <conditionalFormatting sqref="A1208:F1208">
    <cfRule type="expression" dxfId="180" priority="37">
      <formula>OR($E$1223="",NOT(ISNUMBER($E$1223)))</formula>
    </cfRule>
  </conditionalFormatting>
  <conditionalFormatting sqref="A1225:F1225">
    <cfRule type="expression" dxfId="179" priority="38">
      <formula>OR($E$1240="",NOT(ISNUMBER($E$1240)))</formula>
    </cfRule>
  </conditionalFormatting>
  <conditionalFormatting sqref="A1242:F1242">
    <cfRule type="expression" dxfId="178" priority="39">
      <formula>OR($E$1257="",NOT(ISNUMBER($E$1257)))</formula>
    </cfRule>
  </conditionalFormatting>
  <conditionalFormatting sqref="A1259:F1259">
    <cfRule type="expression" dxfId="177" priority="40">
      <formula>OR($E$1274="",NOT(ISNUMBER($E$1274)))</formula>
    </cfRule>
  </conditionalFormatting>
  <conditionalFormatting sqref="A1276:F1276">
    <cfRule type="expression" dxfId="176" priority="41">
      <formula>OR($E$1291="",NOT(ISNUMBER($E$1291)))</formula>
    </cfRule>
  </conditionalFormatting>
  <conditionalFormatting sqref="A1293:F1293">
    <cfRule type="expression" dxfId="175" priority="42">
      <formula>OR($E$1308="",NOT(ISNUMBER($E$1308)))</formula>
    </cfRule>
  </conditionalFormatting>
  <conditionalFormatting sqref="A1310:F1310">
    <cfRule type="expression" dxfId="174" priority="43">
      <formula>OR($E$1325="",NOT(ISNUMBER($E$1325)))</formula>
    </cfRule>
  </conditionalFormatting>
  <conditionalFormatting sqref="A1327:F1327">
    <cfRule type="expression" dxfId="173" priority="44">
      <formula>OR($E$1342="",NOT(ISNUMBER($E$1342)))</formula>
    </cfRule>
  </conditionalFormatting>
  <conditionalFormatting sqref="A1344:F1344">
    <cfRule type="expression" dxfId="172" priority="45">
      <formula>OR($E$1359="",NOT(ISNUMBER($E$1359)))</formula>
    </cfRule>
  </conditionalFormatting>
  <conditionalFormatting sqref="A1361:F1361">
    <cfRule type="expression" dxfId="171" priority="46">
      <formula>OR($E$1376="",NOT(ISNUMBER($E$1376)))</formula>
    </cfRule>
  </conditionalFormatting>
  <conditionalFormatting sqref="A1378:F1378">
    <cfRule type="expression" dxfId="170" priority="47">
      <formula>OR($E$1393="",NOT(ISNUMBER($E$1393)))</formula>
    </cfRule>
  </conditionalFormatting>
  <conditionalFormatting sqref="A1395:F1395">
    <cfRule type="expression" dxfId="169" priority="48">
      <formula>OR($E$1410="",NOT(ISNUMBER($E$1410)))</formula>
    </cfRule>
  </conditionalFormatting>
  <conditionalFormatting sqref="A1412:F1412">
    <cfRule type="expression" dxfId="168" priority="49">
      <formula>OR($E$1427="",NOT(ISNUMBER($E$1427)))</formula>
    </cfRule>
  </conditionalFormatting>
  <conditionalFormatting sqref="A1429:F1429">
    <cfRule type="expression" dxfId="167" priority="50">
      <formula>OR($E$1444="",NOT(ISNUMBER($E$1444)))</formula>
    </cfRule>
  </conditionalFormatting>
  <conditionalFormatting sqref="A1446:F1446">
    <cfRule type="expression" dxfId="166" priority="51">
      <formula>OR($E$1461="",NOT(ISNUMBER($E$1461)))</formula>
    </cfRule>
  </conditionalFormatting>
  <conditionalFormatting sqref="A1463:F1463">
    <cfRule type="expression" dxfId="165" priority="52">
      <formula>OR($E$1478="",NOT(ISNUMBER($E$1478)))</formula>
    </cfRule>
  </conditionalFormatting>
  <conditionalFormatting sqref="A1480:F1480">
    <cfRule type="expression" dxfId="164" priority="53">
      <formula>OR($E$1495="",NOT(ISNUMBER($E$1495)))</formula>
    </cfRule>
  </conditionalFormatting>
  <conditionalFormatting sqref="A1497:F1497">
    <cfRule type="expression" dxfId="163" priority="54">
      <formula>OR($E$1512="",NOT(ISNUMBER($E$1512)))</formula>
    </cfRule>
  </conditionalFormatting>
  <conditionalFormatting sqref="A1514:F1514">
    <cfRule type="expression" dxfId="162" priority="55">
      <formula>OR($E$1529="",NOT(ISNUMBER($E$1529)))</formula>
    </cfRule>
  </conditionalFormatting>
  <conditionalFormatting sqref="A1531:F1531">
    <cfRule type="expression" dxfId="161" priority="56">
      <formula>OR($E$1546="",NOT(ISNUMBER($E$1546)))</formula>
    </cfRule>
  </conditionalFormatting>
  <conditionalFormatting sqref="A1548:F1548">
    <cfRule type="expression" dxfId="160" priority="57">
      <formula>OR($E$1563="",NOT(ISNUMBER($E$1563)))</formula>
    </cfRule>
  </conditionalFormatting>
  <conditionalFormatting sqref="A1565:F1565">
    <cfRule type="expression" dxfId="159" priority="58">
      <formula>OR($E$1580="",NOT(ISNUMBER($E$1580)))</formula>
    </cfRule>
  </conditionalFormatting>
  <conditionalFormatting sqref="A1582:F1582">
    <cfRule type="expression" dxfId="158" priority="59">
      <formula>OR($E$1597="",NOT(ISNUMBER($E$1597)))</formula>
    </cfRule>
  </conditionalFormatting>
  <conditionalFormatting sqref="A1599:F1599">
    <cfRule type="expression" dxfId="157" priority="60">
      <formula>OR($E$1614="",NOT(ISNUMBER($E$1614)))</formula>
    </cfRule>
  </conditionalFormatting>
  <conditionalFormatting sqref="A1616:F1616">
    <cfRule type="expression" dxfId="156" priority="61">
      <formula>OR($E$1631="",NOT(ISNUMBER($E$1631)))</formula>
    </cfRule>
  </conditionalFormatting>
  <conditionalFormatting sqref="A1633:F1633">
    <cfRule type="expression" dxfId="155" priority="62">
      <formula>OR($E$1648="",NOT(ISNUMBER($E$1648)))</formula>
    </cfRule>
  </conditionalFormatting>
  <conditionalFormatting sqref="A1650:F1650">
    <cfRule type="expression" dxfId="154" priority="63">
      <formula>OR($E$1665="",NOT(ISNUMBER($E$1665)))</formula>
    </cfRule>
  </conditionalFormatting>
  <conditionalFormatting sqref="A1667:F1667">
    <cfRule type="expression" dxfId="153" priority="64">
      <formula>OR($E$1682="",NOT(ISNUMBER($E$1682)))</formula>
    </cfRule>
  </conditionalFormatting>
  <conditionalFormatting sqref="A1684:F1684">
    <cfRule type="expression" dxfId="152" priority="65">
      <formula>OR($E$1699="",NOT(ISNUMBER($E$1699)))</formula>
    </cfRule>
  </conditionalFormatting>
  <conditionalFormatting sqref="A1701:F1701">
    <cfRule type="expression" dxfId="151" priority="66">
      <formula>OR($E$1716="",NOT(ISNUMBER($E$1716)))</formula>
    </cfRule>
  </conditionalFormatting>
  <conditionalFormatting sqref="A1718:F1718">
    <cfRule type="expression" dxfId="150" priority="67">
      <formula>OR($E$1733="",NOT(ISNUMBER($E$1733)))</formula>
    </cfRule>
  </conditionalFormatting>
  <conditionalFormatting sqref="A1735:F1735">
    <cfRule type="expression" dxfId="149" priority="68">
      <formula>OR($E$1750="",NOT(ISNUMBER($E$1750)))</formula>
    </cfRule>
  </conditionalFormatting>
  <conditionalFormatting sqref="A1752:F1752">
    <cfRule type="expression" dxfId="148" priority="69">
      <formula>OR($E$1767="",NOT(ISNUMBER($E$1767)))</formula>
    </cfRule>
  </conditionalFormatting>
  <conditionalFormatting sqref="A1769:F1769">
    <cfRule type="expression" dxfId="147" priority="70">
      <formula>OR($E$1784="",NOT(ISNUMBER($E$1784)))</formula>
    </cfRule>
  </conditionalFormatting>
  <conditionalFormatting sqref="A1786:F1786">
    <cfRule type="expression" dxfId="146" priority="71">
      <formula>OR($E$1801="",NOT(ISNUMBER($E$1801)))</formula>
    </cfRule>
  </conditionalFormatting>
  <conditionalFormatting sqref="A1803:F1803">
    <cfRule type="expression" dxfId="145" priority="72">
      <formula>OR($E$1818="",NOT(ISNUMBER($E$1818)))</formula>
    </cfRule>
  </conditionalFormatting>
  <conditionalFormatting sqref="A1820:F1820">
    <cfRule type="expression" dxfId="144" priority="73">
      <formula>OR($E$1835="",NOT(ISNUMBER($E$1835)))</formula>
    </cfRule>
  </conditionalFormatting>
  <conditionalFormatting sqref="A1837:F1837">
    <cfRule type="expression" dxfId="143" priority="74">
      <formula>OR($E$1852="",NOT(ISNUMBER($E$1852)))</formula>
    </cfRule>
  </conditionalFormatting>
  <conditionalFormatting sqref="A1854:F1854">
    <cfRule type="expression" dxfId="142" priority="75">
      <formula>OR($E$1869="",NOT(ISNUMBER($E$1869)))</formula>
    </cfRule>
  </conditionalFormatting>
  <conditionalFormatting sqref="A1871:F1871">
    <cfRule type="expression" dxfId="141" priority="76">
      <formula>OR($E$1886="",NOT(ISNUMBER($E$1886)))</formula>
    </cfRule>
  </conditionalFormatting>
  <conditionalFormatting sqref="A1888:F1888">
    <cfRule type="expression" dxfId="140" priority="77">
      <formula>OR($E$1903="",NOT(ISNUMBER($E$1903)))</formula>
    </cfRule>
  </conditionalFormatting>
  <conditionalFormatting sqref="A1905:F1905">
    <cfRule type="expression" dxfId="139" priority="78">
      <formula>OR($E$1920="",NOT(ISNUMBER($E$1920)))</formula>
    </cfRule>
  </conditionalFormatting>
  <conditionalFormatting sqref="A1922:F1922">
    <cfRule type="expression" dxfId="138" priority="79">
      <formula>OR($E$1937="",NOT(ISNUMBER($E$1937)))</formula>
    </cfRule>
  </conditionalFormatting>
  <conditionalFormatting sqref="A1939:F1939">
    <cfRule type="expression" dxfId="137" priority="80">
      <formula>OR($E$1954="",NOT(ISNUMBER($E$1954)))</formula>
    </cfRule>
  </conditionalFormatting>
  <conditionalFormatting sqref="A1956:F1956">
    <cfRule type="expression" dxfId="136" priority="81">
      <formula>OR($E$1971="",NOT(ISNUMBER($E$1971)))</formula>
    </cfRule>
  </conditionalFormatting>
  <conditionalFormatting sqref="A1973:F1973">
    <cfRule type="expression" dxfId="135" priority="82">
      <formula>OR($E$1988="",NOT(ISNUMBER($E$1988)))</formula>
    </cfRule>
  </conditionalFormatting>
  <conditionalFormatting sqref="A1990:F1990">
    <cfRule type="expression" dxfId="134" priority="83">
      <formula>OR($E$2005="",NOT(ISNUMBER($E$2005)))</formula>
    </cfRule>
  </conditionalFormatting>
  <conditionalFormatting sqref="A2007:F2007">
    <cfRule type="expression" dxfId="133" priority="84">
      <formula>OR($E$2022="",NOT(ISNUMBER($E$2022)))</formula>
    </cfRule>
  </conditionalFormatting>
  <conditionalFormatting sqref="A2024:F2024">
    <cfRule type="expression" dxfId="132" priority="85">
      <formula>OR($E$2039="",NOT(ISNUMBER($E$2039)))</formula>
    </cfRule>
  </conditionalFormatting>
  <conditionalFormatting sqref="A2041:F2041">
    <cfRule type="expression" dxfId="131" priority="86">
      <formula>OR($E$2056="",NOT(ISNUMBER($E$2056)))</formula>
    </cfRule>
  </conditionalFormatting>
  <conditionalFormatting sqref="A2058:F2058">
    <cfRule type="expression" dxfId="130" priority="87">
      <formula>OR($E$2073="",NOT(ISNUMBER($E$2073)))</formula>
    </cfRule>
  </conditionalFormatting>
  <conditionalFormatting sqref="A2075:F2075">
    <cfRule type="expression" dxfId="129" priority="88">
      <formula>OR($E$2090="",NOT(ISNUMBER($E$2090)))</formula>
    </cfRule>
  </conditionalFormatting>
  <conditionalFormatting sqref="A2092:F2092">
    <cfRule type="expression" dxfId="128" priority="89">
      <formula>OR($E$2107="",NOT(ISNUMBER($E$2107)))</formula>
    </cfRule>
  </conditionalFormatting>
  <conditionalFormatting sqref="A2109:F2109">
    <cfRule type="expression" dxfId="127" priority="90">
      <formula>OR($E$2124="",NOT(ISNUMBER($E$2124)))</formula>
    </cfRule>
  </conditionalFormatting>
  <conditionalFormatting sqref="A2126:F2126">
    <cfRule type="expression" dxfId="126" priority="91">
      <formula>OR($E$2141="",NOT(ISNUMBER($E$2141)))</formula>
    </cfRule>
  </conditionalFormatting>
  <conditionalFormatting sqref="A2143:F2143">
    <cfRule type="expression" dxfId="125" priority="92">
      <formula>OR($E$2158="",NOT(ISNUMBER($E$2158)))</formula>
    </cfRule>
  </conditionalFormatting>
  <conditionalFormatting sqref="A2160:F2160">
    <cfRule type="expression" dxfId="124" priority="93">
      <formula>OR($E$2175="",NOT(ISNUMBER($E$2175)))</formula>
    </cfRule>
  </conditionalFormatting>
  <conditionalFormatting sqref="A2177:F2177">
    <cfRule type="expression" dxfId="123" priority="94">
      <formula>OR($E$2192="",NOT(ISNUMBER($E$2192)))</formula>
    </cfRule>
  </conditionalFormatting>
  <conditionalFormatting sqref="A2194:F2194">
    <cfRule type="expression" dxfId="122" priority="95">
      <formula>OR($E$2209="",NOT(ISNUMBER($E$2209)))</formula>
    </cfRule>
  </conditionalFormatting>
  <conditionalFormatting sqref="A2211:F2211">
    <cfRule type="expression" dxfId="121" priority="96">
      <formula>OR($E$2226="",NOT(ISNUMBER($E$2226)))</formula>
    </cfRule>
  </conditionalFormatting>
  <conditionalFormatting sqref="A2228:F2228">
    <cfRule type="expression" dxfId="120" priority="97">
      <formula>OR($E$2243="",NOT(ISNUMBER($E$2243)))</formula>
    </cfRule>
  </conditionalFormatting>
  <conditionalFormatting sqref="A2245:F2245">
    <cfRule type="expression" dxfId="119" priority="98">
      <formula>OR($E$2260="",NOT(ISNUMBER($E$2260)))</formula>
    </cfRule>
  </conditionalFormatting>
  <conditionalFormatting sqref="A2262:F2262">
    <cfRule type="expression" dxfId="118" priority="99">
      <formula>OR($E$2277="",NOT(ISNUMBER($E$2277)))</formula>
    </cfRule>
  </conditionalFormatting>
  <conditionalFormatting sqref="A2279:F2279">
    <cfRule type="expression" dxfId="117" priority="100">
      <formula>OR($E$2294="",NOT(ISNUMBER($E$2294)))</formula>
    </cfRule>
  </conditionalFormatting>
  <conditionalFormatting sqref="A2296:F2296">
    <cfRule type="expression" dxfId="116" priority="101">
      <formula>OR($E$2311="",NOT(ISNUMBER($E$2311)))</formula>
    </cfRule>
  </conditionalFormatting>
  <conditionalFormatting sqref="A2313:F2313">
    <cfRule type="expression" dxfId="115" priority="102">
      <formula>OR($E$2328="",NOT(ISNUMBER($E$2328)))</formula>
    </cfRule>
  </conditionalFormatting>
  <conditionalFormatting sqref="A2330:F2330">
    <cfRule type="expression" dxfId="114" priority="103">
      <formula>OR($E$2345="",NOT(ISNUMBER($E$2345)))</formula>
    </cfRule>
  </conditionalFormatting>
  <conditionalFormatting sqref="A2347:F2347">
    <cfRule type="expression" dxfId="113" priority="104">
      <formula>OR($E$2362="",NOT(ISNUMBER($E$2362)))</formula>
    </cfRule>
  </conditionalFormatting>
  <conditionalFormatting sqref="A2364:F2364">
    <cfRule type="expression" dxfId="112" priority="105">
      <formula>OR($E$2379="",NOT(ISNUMBER($E$2379)))</formula>
    </cfRule>
  </conditionalFormatting>
  <conditionalFormatting sqref="A2381:F2381">
    <cfRule type="expression" dxfId="111" priority="106">
      <formula>OR($E$2396="",NOT(ISNUMBER($E$2396)))</formula>
    </cfRule>
  </conditionalFormatting>
  <conditionalFormatting sqref="A2398:F2398">
    <cfRule type="expression" dxfId="110" priority="107">
      <formula>OR($E$2413="",NOT(ISNUMBER($E$2413)))</formula>
    </cfRule>
  </conditionalFormatting>
  <conditionalFormatting sqref="A2415:F2415">
    <cfRule type="expression" dxfId="109" priority="108">
      <formula>OR($E$2430="",NOT(ISNUMBER($E$2430)))</formula>
    </cfRule>
  </conditionalFormatting>
  <conditionalFormatting sqref="A2432:F2432">
    <cfRule type="expression" dxfId="108" priority="109">
      <formula>OR($E$2447="",NOT(ISNUMBER($E$2447)))</formula>
    </cfRule>
  </conditionalFormatting>
  <conditionalFormatting sqref="A2449:F2449">
    <cfRule type="expression" dxfId="107" priority="110">
      <formula>OR($E$2464="",NOT(ISNUMBER($E$2464)))</formula>
    </cfRule>
  </conditionalFormatting>
  <conditionalFormatting sqref="A2466:F2466">
    <cfRule type="expression" dxfId="106" priority="111">
      <formula>OR($E$2481="",NOT(ISNUMBER($E$2481)))</formula>
    </cfRule>
  </conditionalFormatting>
  <conditionalFormatting sqref="A2483:F2483">
    <cfRule type="expression" dxfId="105" priority="112">
      <formula>OR($E$2498="",NOT(ISNUMBER($E$2498)))</formula>
    </cfRule>
  </conditionalFormatting>
  <conditionalFormatting sqref="A2500:F2500">
    <cfRule type="expression" dxfId="104" priority="113">
      <formula>OR($E$2515="",NOT(ISNUMBER($E$2515)))</formula>
    </cfRule>
  </conditionalFormatting>
  <conditionalFormatting sqref="A2517:F2517">
    <cfRule type="expression" dxfId="103" priority="114">
      <formula>OR($E$2532="",NOT(ISNUMBER($E$2532)))</formula>
    </cfRule>
  </conditionalFormatting>
  <conditionalFormatting sqref="A2534:F2534">
    <cfRule type="expression" dxfId="102" priority="115">
      <formula>OR($E$2549="",NOT(ISNUMBER($E$2549)))</formula>
    </cfRule>
  </conditionalFormatting>
  <conditionalFormatting sqref="A2551:F2551">
    <cfRule type="expression" dxfId="101" priority="116">
      <formula>OR($E$2566="",NOT(ISNUMBER($E$2566)))</formula>
    </cfRule>
  </conditionalFormatting>
  <conditionalFormatting sqref="A2568:F2568">
    <cfRule type="expression" dxfId="100" priority="117">
      <formula>OR($E$2583="",NOT(ISNUMBER($E$2583)))</formula>
    </cfRule>
  </conditionalFormatting>
  <conditionalFormatting sqref="A2585:F2585">
    <cfRule type="expression" dxfId="99" priority="118">
      <formula>OR($E$2600="",NOT(ISNUMBER($E$2600)))</formula>
    </cfRule>
  </conditionalFormatting>
  <conditionalFormatting sqref="A2602:F2602">
    <cfRule type="expression" dxfId="98" priority="119">
      <formula>OR($E$2617="",NOT(ISNUMBER($E$2617)))</formula>
    </cfRule>
  </conditionalFormatting>
  <conditionalFormatting sqref="A2619:F2619">
    <cfRule type="expression" dxfId="97" priority="120">
      <formula>OR($E$2634="",NOT(ISNUMBER($E$2634)))</formula>
    </cfRule>
  </conditionalFormatting>
  <conditionalFormatting sqref="A2636:F2636">
    <cfRule type="expression" dxfId="96" priority="121">
      <formula>OR($E$2651="",NOT(ISNUMBER($E$2651)))</formula>
    </cfRule>
  </conditionalFormatting>
  <conditionalFormatting sqref="A2653:F2653">
    <cfRule type="expression" dxfId="95" priority="122">
      <formula>OR($E$2668="",NOT(ISNUMBER($E$2668)))</formula>
    </cfRule>
  </conditionalFormatting>
  <conditionalFormatting sqref="A2670:F2670">
    <cfRule type="expression" dxfId="94" priority="123">
      <formula>OR($E$2685="",NOT(ISNUMBER($E$2685)))</formula>
    </cfRule>
  </conditionalFormatting>
  <conditionalFormatting sqref="A2687:F2687">
    <cfRule type="expression" dxfId="93" priority="124">
      <formula>OR($E$2702="",NOT(ISNUMBER($E$2702)))</formula>
    </cfRule>
  </conditionalFormatting>
  <conditionalFormatting sqref="A2704:F2704">
    <cfRule type="expression" dxfId="92" priority="125">
      <formula>OR($E$2719="",NOT(ISNUMBER($E$2719)))</formula>
    </cfRule>
  </conditionalFormatting>
  <conditionalFormatting sqref="A2721:F2721">
    <cfRule type="expression" dxfId="91" priority="126">
      <formula>OR($E$2736="",NOT(ISNUMBER($E$2736)))</formula>
    </cfRule>
  </conditionalFormatting>
  <conditionalFormatting sqref="A2738:F2738">
    <cfRule type="expression" dxfId="90" priority="136">
      <formula>OR($E$2753="",NOT(ISNUMBER($E$2753)))</formula>
    </cfRule>
  </conditionalFormatting>
  <conditionalFormatting sqref="A2755:F2755">
    <cfRule type="expression" dxfId="89" priority="137">
      <formula>OR($E$2770="",NOT(ISNUMBER($E$2770)))</formula>
    </cfRule>
  </conditionalFormatting>
  <conditionalFormatting sqref="A2772:F2772">
    <cfRule type="expression" dxfId="88" priority="138">
      <formula>OR($E$2787="",NOT(ISNUMBER($E$2787)))</formula>
    </cfRule>
  </conditionalFormatting>
  <conditionalFormatting sqref="A2789:F2789">
    <cfRule type="expression" dxfId="87" priority="139">
      <formula>OR($E$2804="",NOT(ISNUMBER($E$2804)))</formula>
    </cfRule>
  </conditionalFormatting>
  <conditionalFormatting sqref="A2806:F2806">
    <cfRule type="expression" dxfId="86" priority="140">
      <formula>OR($E$2821="",NOT(ISNUMBER($E$2821)))</formula>
    </cfRule>
  </conditionalFormatting>
  <conditionalFormatting sqref="A2823:F2823">
    <cfRule type="expression" dxfId="85" priority="141">
      <formula>OR($E$2838="",NOT(ISNUMBER($E$2838)))</formula>
    </cfRule>
  </conditionalFormatting>
  <conditionalFormatting sqref="A2840:F2840">
    <cfRule type="expression" dxfId="84" priority="142">
      <formula>OR($E$2855="",NOT(ISNUMBER($E$2855)))</formula>
    </cfRule>
  </conditionalFormatting>
  <conditionalFormatting sqref="A2857:F2857">
    <cfRule type="expression" dxfId="83" priority="143">
      <formula>OR($E$2872="",NOT(ISNUMBER($E$2872)))</formula>
    </cfRule>
  </conditionalFormatting>
  <conditionalFormatting sqref="A2874:F2874">
    <cfRule type="expression" dxfId="82" priority="144">
      <formula>OR($E$2889="",NOT(ISNUMBER($E$2889)))</formula>
    </cfRule>
  </conditionalFormatting>
  <conditionalFormatting sqref="A2891:F2891">
    <cfRule type="expression" dxfId="81" priority="145">
      <formula>OR($E$2906="",NOT(ISNUMBER($E$2906)))</formula>
    </cfRule>
  </conditionalFormatting>
  <conditionalFormatting sqref="A2908:F2908">
    <cfRule type="expression" dxfId="80" priority="146">
      <formula>OR($E$2923="",NOT(ISNUMBER($E$2923)))</formula>
    </cfRule>
  </conditionalFormatting>
  <conditionalFormatting sqref="A2925:F2925">
    <cfRule type="expression" dxfId="79" priority="147">
      <formula>OR($E$2940="",NOT(ISNUMBER($E$2940)))</formula>
    </cfRule>
  </conditionalFormatting>
  <conditionalFormatting sqref="A2942:F2942">
    <cfRule type="expression" dxfId="78" priority="148">
      <formula>OR($E$2957="",NOT(ISNUMBER($E$2957)))</formula>
    </cfRule>
  </conditionalFormatting>
  <conditionalFormatting sqref="A2959:F2959">
    <cfRule type="expression" dxfId="77" priority="149">
      <formula>OR($E$2974="",NOT(ISNUMBER($E$2974)))</formula>
    </cfRule>
  </conditionalFormatting>
  <conditionalFormatting sqref="A2976:F2976">
    <cfRule type="expression" dxfId="76" priority="150">
      <formula>OR($E$2991="",NOT(ISNUMBER($E$2991)))</formula>
    </cfRule>
  </conditionalFormatting>
  <conditionalFormatting sqref="A2993:F2993">
    <cfRule type="expression" dxfId="75" priority="151">
      <formula>OR($E$3008="",NOT(ISNUMBER($E$3008)))</formula>
    </cfRule>
  </conditionalFormatting>
  <conditionalFormatting sqref="A3010:F3010">
    <cfRule type="expression" dxfId="74" priority="152">
      <formula>OR($E$3025="",NOT(ISNUMBER($E$3025)))</formula>
    </cfRule>
  </conditionalFormatting>
  <conditionalFormatting sqref="A3027:F3027">
    <cfRule type="expression" dxfId="73" priority="153">
      <formula>OR($E$3042="",NOT(ISNUMBER($E$3042)))</formula>
    </cfRule>
  </conditionalFormatting>
  <conditionalFormatting sqref="A3044:F3044">
    <cfRule type="expression" dxfId="72" priority="154">
      <formula>OR($E$3059="",NOT(ISNUMBER($E$3059)))</formula>
    </cfRule>
  </conditionalFormatting>
  <printOptions horizontalCentered="1"/>
  <pageMargins left="0.5" right="0.5" top="0.25" bottom="0.25" header="0" footer="0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D393-FB08-4C6A-B0CD-C854592E41B5}">
  <sheetPr>
    <tabColor rgb="FFFFC000"/>
  </sheetPr>
  <dimension ref="A1:AH216"/>
  <sheetViews>
    <sheetView workbookViewId="0">
      <selection activeCell="AE5" sqref="AE5:AG5"/>
    </sheetView>
  </sheetViews>
  <sheetFormatPr defaultColWidth="3.42578125" defaultRowHeight="15.95" customHeight="1"/>
  <cols>
    <col min="1" max="1" width="5.7109375" style="5" customWidth="1"/>
    <col min="2" max="2" width="18.7109375" style="5" customWidth="1"/>
    <col min="3" max="3" width="4.7109375" style="5" customWidth="1"/>
    <col min="4" max="33" width="3.42578125" style="42"/>
    <col min="34" max="34" width="10.7109375" style="42" customWidth="1"/>
    <col min="35" max="16384" width="3.42578125" style="5"/>
  </cols>
  <sheetData>
    <row r="1" spans="1:34" ht="15.95" customHeight="1">
      <c r="A1" s="18" t="s">
        <v>0</v>
      </c>
      <c r="B1" s="19" t="str">
        <f>'(4).Midterm Results'!B1</f>
        <v>C2</v>
      </c>
      <c r="C1" s="60"/>
      <c r="D1" s="222" t="s">
        <v>91</v>
      </c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</row>
    <row r="2" spans="1:34" ht="15.95" customHeight="1">
      <c r="A2" s="18" t="s">
        <v>1</v>
      </c>
      <c r="B2" s="19" t="str">
        <f>'(4).Midterm Results'!B2</f>
        <v>K1B</v>
      </c>
      <c r="C2" s="60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</row>
    <row r="3" spans="1:34" ht="15.95" customHeight="1">
      <c r="A3" s="18" t="s">
        <v>2</v>
      </c>
      <c r="B3" s="19" t="str">
        <f>'(4).Midterm Results'!B3</f>
        <v>3:00-5:30</v>
      </c>
      <c r="C3" s="60"/>
      <c r="D3" s="223" t="str">
        <f>'(4).Midterm Results'!D2</f>
        <v>FEBRUARY - JULY 2026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</row>
    <row r="4" spans="1:34" ht="15.95" customHeight="1">
      <c r="A4" s="18" t="s">
        <v>3</v>
      </c>
      <c r="B4" s="19">
        <f>'(4).Midterm Results'!B4</f>
        <v>5</v>
      </c>
      <c r="C4" s="60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</row>
    <row r="5" spans="1:34" ht="15.95" customHeight="1">
      <c r="A5" s="18" t="s">
        <v>4</v>
      </c>
      <c r="B5" s="19" t="str">
        <f>'(4).Midterm Results'!B5</f>
        <v>Hong Leeheng</v>
      </c>
      <c r="C5" s="61"/>
      <c r="D5" s="220" t="str">
        <f>IF(OR($B2="K5",$B2="K6",$B2="K7",$B2="K8",$B2="K9",$B2="K10"),"Listening","Up-Low C")</f>
        <v>Up-Low C</v>
      </c>
      <c r="E5" s="220"/>
      <c r="F5" s="220"/>
      <c r="G5" s="220" t="str">
        <f>IF(OR($B2="K5",$B2="K6",$B2="K7",$B2="K8",$B2="K9",$B2="K10"),"Speaking","Alphabet N")</f>
        <v>Alphabet N</v>
      </c>
      <c r="H5" s="220"/>
      <c r="I5" s="220"/>
      <c r="J5" s="220" t="str">
        <f>IF(OR($B2="K5",$B2="K6",$B2="K7",$B2="K8",$B2="K9",$B2="K10"),"Reading","Alphabet S")</f>
        <v>Alphabet S</v>
      </c>
      <c r="K5" s="220"/>
      <c r="L5" s="220"/>
      <c r="M5" s="220" t="str">
        <f>IF(OR($B2="K5",$B2="K6",$B2="K7",$B2="K8",$B2="K9",$B2="K10"),"Writing","Vocabulary")</f>
        <v>Vocabulary</v>
      </c>
      <c r="N5" s="220"/>
      <c r="O5" s="220"/>
      <c r="P5" s="220" t="str">
        <f>IF(OR($B2="K5",$B2="K6",$B2="K7",$B2="K8",$B2="K9",$B2="K10"),"Gram/Vocab","Sprouts")</f>
        <v>Sprouts</v>
      </c>
      <c r="Q5" s="220"/>
      <c r="R5" s="220"/>
      <c r="S5" s="220" t="str">
        <f>IF(OR($B2="K5",$B2="K6",$B2="K7",$B2="K8",$B2="K9",$B2="K10"),"Roots","Phonics")</f>
        <v>Phonics</v>
      </c>
      <c r="T5" s="220"/>
      <c r="U5" s="220"/>
      <c r="V5" s="220" t="str">
        <f>IF(OR($B2="K5",$B2="K6",$B2="K7",$B2="K8",$B2="K9",$B2="K10"),"Phonics","Math")</f>
        <v>Math</v>
      </c>
      <c r="W5" s="220"/>
      <c r="X5" s="220"/>
      <c r="Y5" s="220" t="str">
        <f>IF(OR($B2="K5",$B2="K6",$B2="K7",$B2="K8",$B2="K9",$B2="K10"),"Math","Shape")</f>
        <v>Shape</v>
      </c>
      <c r="Z5" s="220"/>
      <c r="AA5" s="220"/>
      <c r="AB5" s="249" t="s">
        <v>10</v>
      </c>
      <c r="AC5" s="250"/>
      <c r="AD5" s="251"/>
      <c r="AE5" s="220" t="str">
        <f>IF(OR($B2="K5",$B2="K6",$B2="K7",$B2="K8",$B2="K9",$B2="K10"),"Homework","Tracing")</f>
        <v>Tracing</v>
      </c>
      <c r="AF5" s="220"/>
      <c r="AG5" s="220"/>
      <c r="AH5" s="90" t="s">
        <v>11</v>
      </c>
    </row>
    <row r="6" spans="1:34" s="12" customFormat="1" ht="15.95" customHeight="1" thickBot="1">
      <c r="A6" s="73" t="s">
        <v>5</v>
      </c>
      <c r="B6" s="74" t="s">
        <v>6</v>
      </c>
      <c r="C6" s="75" t="s">
        <v>7</v>
      </c>
      <c r="D6" s="221" t="s">
        <v>9</v>
      </c>
      <c r="E6" s="221"/>
      <c r="F6" s="221"/>
      <c r="G6" s="221" t="s">
        <v>9</v>
      </c>
      <c r="H6" s="221"/>
      <c r="I6" s="221"/>
      <c r="J6" s="221" t="s">
        <v>9</v>
      </c>
      <c r="K6" s="221"/>
      <c r="L6" s="221"/>
      <c r="M6" s="221" t="s">
        <v>9</v>
      </c>
      <c r="N6" s="221"/>
      <c r="O6" s="221"/>
      <c r="P6" s="221" t="s">
        <v>9</v>
      </c>
      <c r="Q6" s="221"/>
      <c r="R6" s="221"/>
      <c r="S6" s="221" t="s">
        <v>9</v>
      </c>
      <c r="T6" s="221"/>
      <c r="U6" s="221"/>
      <c r="V6" s="221" t="s">
        <v>9</v>
      </c>
      <c r="W6" s="221"/>
      <c r="X6" s="221"/>
      <c r="Y6" s="221" t="s">
        <v>9</v>
      </c>
      <c r="Z6" s="221"/>
      <c r="AA6" s="221"/>
      <c r="AB6" s="221" t="s">
        <v>9</v>
      </c>
      <c r="AC6" s="221"/>
      <c r="AD6" s="221"/>
      <c r="AE6" s="221" t="s">
        <v>9</v>
      </c>
      <c r="AF6" s="221"/>
      <c r="AG6" s="221"/>
      <c r="AH6" s="77" t="s">
        <v>12</v>
      </c>
    </row>
    <row r="7" spans="1:34" ht="15.95" customHeight="1">
      <c r="A7" s="14">
        <v>1</v>
      </c>
      <c r="B7" s="68" t="str">
        <f>IF('(4).Midterm Results'!B7="","",'(4).Midterm Results'!B7)</f>
        <v>Chhim Chansithika</v>
      </c>
      <c r="C7" s="16" t="str">
        <f>IF('(4).Midterm Results'!C7="","",'(4).Midterm Results'!C7)</f>
        <v>F</v>
      </c>
      <c r="D7" s="69"/>
      <c r="E7" s="70"/>
      <c r="F7" s="71"/>
      <c r="G7" s="69"/>
      <c r="H7" s="70"/>
      <c r="I7" s="71"/>
      <c r="J7" s="69"/>
      <c r="K7" s="70"/>
      <c r="L7" s="71"/>
      <c r="M7" s="69"/>
      <c r="N7" s="70"/>
      <c r="O7" s="71"/>
      <c r="P7" s="69"/>
      <c r="Q7" s="70"/>
      <c r="R7" s="71"/>
      <c r="S7" s="69"/>
      <c r="T7" s="70"/>
      <c r="U7" s="71"/>
      <c r="V7" s="69"/>
      <c r="W7" s="70"/>
      <c r="X7" s="71"/>
      <c r="Y7" s="69"/>
      <c r="Z7" s="70"/>
      <c r="AA7" s="71"/>
      <c r="AB7" s="69"/>
      <c r="AC7" s="70"/>
      <c r="AD7" s="71"/>
      <c r="AE7" s="69"/>
      <c r="AF7" s="70"/>
      <c r="AG7" s="71"/>
      <c r="AH7" s="72" t="str">
        <f>IF(B7="","",IF(COUNT(D7:F7)=0,"Incomplete",IF(COUNT(G7:I7)=0,"Incomplete",IF(COUNT(J7:L7)=0,"Incomplete",IF(COUNT(M7:O7)=0,"Incomplete",IF(COUNT(P7:R7)=0,"Incomplete",IF(COUNT(S7:U7)=0,"Incomplete",IF(COUNT(V7:X7)=0,"Incomplete",IF(COUNT(Y7:AA7)=0,"Incomplete",IF(COUNT(AB7:AD7)=0,"Incomplete",IF(COUNT(AE7:AG7)=0,"Incomplete",AVERAGEIF(D7:F7,"&gt;=0")+AVERAGEIF(G7:I7,"&gt;=0")+AVERAGEIF(J7:L7,"&gt;=0")+AVERAGEIF(M7:O7,"&gt;=0")+AVERAGEIF(P7:R7,"&gt;=0")+AVERAGEIF(S7:U7,"&gt;=0")+AVERAGEIF(V7:X7,"&gt;=0")+AVERAGEIF(Y7:AA7,"&gt;=0")+AVERAGEIF(AB7:AD7,"&gt;=0")+AVERAGEIF(AE7:AG7,"&gt;=0"))))))))))))</f>
        <v>Incomplete</v>
      </c>
    </row>
    <row r="8" spans="1:34" ht="15.95" customHeight="1">
      <c r="A8" s="46">
        <v>2</v>
      </c>
      <c r="B8" s="63" t="str">
        <f>IF('(4).Midterm Results'!B8="","",'(4).Midterm Results'!B8)</f>
        <v>Chhout Senghour</v>
      </c>
      <c r="C8" s="62" t="str">
        <f>IF('(4).Midterm Results'!C8="","",'(4).Midterm Results'!C8)</f>
        <v>M</v>
      </c>
      <c r="D8" s="47"/>
      <c r="E8" s="48"/>
      <c r="F8" s="49"/>
      <c r="G8" s="47"/>
      <c r="H8" s="48"/>
      <c r="I8" s="49"/>
      <c r="J8" s="47"/>
      <c r="K8" s="48"/>
      <c r="L8" s="49"/>
      <c r="M8" s="47"/>
      <c r="N8" s="48"/>
      <c r="O8" s="49"/>
      <c r="P8" s="47"/>
      <c r="Q8" s="48"/>
      <c r="R8" s="49"/>
      <c r="S8" s="47"/>
      <c r="T8" s="48"/>
      <c r="U8" s="49"/>
      <c r="V8" s="47"/>
      <c r="W8" s="48"/>
      <c r="X8" s="49"/>
      <c r="Y8" s="47"/>
      <c r="Z8" s="48"/>
      <c r="AA8" s="49"/>
      <c r="AB8" s="47"/>
      <c r="AC8" s="48"/>
      <c r="AD8" s="49"/>
      <c r="AE8" s="47"/>
      <c r="AF8" s="48"/>
      <c r="AG8" s="49"/>
      <c r="AH8" s="50" t="str">
        <f t="shared" ref="AH8:AH36" si="0">IF(B8="","",IF(COUNT(D8:F8)=0,"Incomplete",IF(COUNT(G8:I8)=0,"Incomplete",IF(COUNT(J8:L8)=0,"Incomplete",IF(COUNT(M8:O8)=0,"Incomplete",IF(COUNT(P8:R8)=0,"Incomplete",IF(COUNT(S8:U8)=0,"Incomplete",IF(COUNT(V8:X8)=0,"Incomplete",IF(COUNT(Y8:AA8)=0,"Incomplete",IF(COUNT(AB8:AD8)=0,"Incomplete",IF(COUNT(AE8:AG8)=0,"Incomplete",AVERAGEIF(D8:F8,"&gt;=0")+AVERAGEIF(G8:I8,"&gt;=0")+AVERAGEIF(J8:L8,"&gt;=0")+AVERAGEIF(M8:O8,"&gt;=0")+AVERAGEIF(P8:R8,"&gt;=0")+AVERAGEIF(S8:U8,"&gt;=0")+AVERAGEIF(V8:X8,"&gt;=0")+AVERAGEIF(Y8:AA8,"&gt;=0")+AVERAGEIF(AB8:AD8,"&gt;=0")+AVERAGEIF(AE8:AG8,"&gt;=0"))))))))))))</f>
        <v>Incomplete</v>
      </c>
    </row>
    <row r="9" spans="1:34" ht="15.95" customHeight="1">
      <c r="A9" s="46">
        <v>3</v>
      </c>
      <c r="B9" s="63" t="str">
        <f>IF('(4).Midterm Results'!B9="","",'(4).Midterm Results'!B9)</f>
        <v>Det Phouri</v>
      </c>
      <c r="C9" s="62" t="str">
        <f>IF('(4).Midterm Results'!C9="","",'(4).Midterm Results'!C9)</f>
        <v>M</v>
      </c>
      <c r="D9" s="47"/>
      <c r="E9" s="48"/>
      <c r="F9" s="49"/>
      <c r="G9" s="47"/>
      <c r="H9" s="48"/>
      <c r="I9" s="49"/>
      <c r="J9" s="47"/>
      <c r="K9" s="48"/>
      <c r="L9" s="49"/>
      <c r="M9" s="47"/>
      <c r="N9" s="48"/>
      <c r="O9" s="49"/>
      <c r="P9" s="47"/>
      <c r="Q9" s="48"/>
      <c r="R9" s="49"/>
      <c r="S9" s="47"/>
      <c r="T9" s="48"/>
      <c r="U9" s="49"/>
      <c r="V9" s="47"/>
      <c r="W9" s="48"/>
      <c r="X9" s="49"/>
      <c r="Y9" s="47"/>
      <c r="Z9" s="48"/>
      <c r="AA9" s="49"/>
      <c r="AB9" s="47"/>
      <c r="AC9" s="48"/>
      <c r="AD9" s="49"/>
      <c r="AE9" s="47"/>
      <c r="AF9" s="48"/>
      <c r="AG9" s="49"/>
      <c r="AH9" s="50" t="str">
        <f t="shared" si="0"/>
        <v>Incomplete</v>
      </c>
    </row>
    <row r="10" spans="1:34" ht="15.95" customHeight="1">
      <c r="A10" s="46">
        <v>4</v>
      </c>
      <c r="B10" s="63" t="str">
        <f>IF('(4).Midterm Results'!B10="","",'(4).Midterm Results'!B10)</f>
        <v>Dy Chanto</v>
      </c>
      <c r="C10" s="62" t="str">
        <f>IF('(4).Midterm Results'!C10="","",'(4).Midterm Results'!C10)</f>
        <v>M</v>
      </c>
      <c r="D10" s="47"/>
      <c r="E10" s="48"/>
      <c r="F10" s="49"/>
      <c r="G10" s="47"/>
      <c r="H10" s="48"/>
      <c r="I10" s="49"/>
      <c r="J10" s="47"/>
      <c r="K10" s="48"/>
      <c r="L10" s="49"/>
      <c r="M10" s="47"/>
      <c r="N10" s="48"/>
      <c r="O10" s="49"/>
      <c r="P10" s="47"/>
      <c r="Q10" s="48"/>
      <c r="R10" s="49"/>
      <c r="S10" s="47"/>
      <c r="T10" s="48"/>
      <c r="U10" s="49"/>
      <c r="V10" s="47"/>
      <c r="W10" s="48"/>
      <c r="X10" s="49"/>
      <c r="Y10" s="47"/>
      <c r="Z10" s="48"/>
      <c r="AA10" s="49"/>
      <c r="AB10" s="47"/>
      <c r="AC10" s="48"/>
      <c r="AD10" s="49"/>
      <c r="AE10" s="47"/>
      <c r="AF10" s="48"/>
      <c r="AG10" s="49"/>
      <c r="AH10" s="50" t="str">
        <f t="shared" si="0"/>
        <v>Incomplete</v>
      </c>
    </row>
    <row r="11" spans="1:34" ht="15.95" customHeight="1">
      <c r="A11" s="46">
        <v>5</v>
      </c>
      <c r="B11" s="63" t="str">
        <f>IF('(4).Midterm Results'!B11="","",'(4).Midterm Results'!B11)</f>
        <v>Dy Meyly</v>
      </c>
      <c r="C11" s="62" t="str">
        <f>IF('(4).Midterm Results'!C11="","",'(4).Midterm Results'!C11)</f>
        <v>F</v>
      </c>
      <c r="D11" s="47"/>
      <c r="E11" s="48"/>
      <c r="F11" s="49"/>
      <c r="G11" s="47"/>
      <c r="H11" s="48"/>
      <c r="I11" s="49"/>
      <c r="J11" s="47"/>
      <c r="K11" s="48"/>
      <c r="L11" s="49"/>
      <c r="M11" s="47"/>
      <c r="N11" s="48"/>
      <c r="O11" s="49"/>
      <c r="P11" s="47"/>
      <c r="Q11" s="48"/>
      <c r="R11" s="49"/>
      <c r="S11" s="47"/>
      <c r="T11" s="48"/>
      <c r="U11" s="49"/>
      <c r="V11" s="47"/>
      <c r="W11" s="48"/>
      <c r="X11" s="49"/>
      <c r="Y11" s="47"/>
      <c r="Z11" s="48"/>
      <c r="AA11" s="49"/>
      <c r="AB11" s="47"/>
      <c r="AC11" s="48"/>
      <c r="AD11" s="49"/>
      <c r="AE11" s="47"/>
      <c r="AF11" s="48"/>
      <c r="AG11" s="49"/>
      <c r="AH11" s="50" t="str">
        <f t="shared" si="0"/>
        <v>Incomplete</v>
      </c>
    </row>
    <row r="12" spans="1:34" ht="15.95" customHeight="1">
      <c r="A12" s="46">
        <v>6</v>
      </c>
      <c r="B12" s="63" t="str">
        <f>IF('(4).Midterm Results'!B12="","",'(4).Midterm Results'!B12)</f>
        <v>Heang Limhak</v>
      </c>
      <c r="C12" s="62" t="str">
        <f>IF('(4).Midterm Results'!C12="","",'(4).Midterm Results'!C12)</f>
        <v>M</v>
      </c>
      <c r="D12" s="47"/>
      <c r="E12" s="48"/>
      <c r="F12" s="49"/>
      <c r="G12" s="47"/>
      <c r="H12" s="48"/>
      <c r="I12" s="49"/>
      <c r="J12" s="47"/>
      <c r="K12" s="48"/>
      <c r="L12" s="49"/>
      <c r="M12" s="47"/>
      <c r="N12" s="48"/>
      <c r="O12" s="49"/>
      <c r="P12" s="47"/>
      <c r="Q12" s="48"/>
      <c r="R12" s="49"/>
      <c r="S12" s="47"/>
      <c r="T12" s="48"/>
      <c r="U12" s="49"/>
      <c r="V12" s="47"/>
      <c r="W12" s="48"/>
      <c r="X12" s="49"/>
      <c r="Y12" s="47"/>
      <c r="Z12" s="48"/>
      <c r="AA12" s="49"/>
      <c r="AB12" s="47"/>
      <c r="AC12" s="48"/>
      <c r="AD12" s="49"/>
      <c r="AE12" s="47"/>
      <c r="AF12" s="48"/>
      <c r="AG12" s="49"/>
      <c r="AH12" s="50" t="str">
        <f t="shared" si="0"/>
        <v>Incomplete</v>
      </c>
    </row>
    <row r="13" spans="1:34" ht="15.95" customHeight="1">
      <c r="A13" s="46">
        <v>7</v>
      </c>
      <c r="B13" s="63" t="str">
        <f>IF('(4).Midterm Results'!B13="","",'(4).Midterm Results'!B13)</f>
        <v>Keo Tepsatsjak</v>
      </c>
      <c r="C13" s="62" t="str">
        <f>IF('(4).Midterm Results'!C13="","",'(4).Midterm Results'!C13)</f>
        <v>M</v>
      </c>
      <c r="D13" s="47"/>
      <c r="E13" s="48"/>
      <c r="F13" s="49"/>
      <c r="G13" s="47"/>
      <c r="H13" s="48"/>
      <c r="I13" s="49"/>
      <c r="J13" s="47"/>
      <c r="K13" s="48"/>
      <c r="L13" s="49"/>
      <c r="M13" s="47"/>
      <c r="N13" s="48"/>
      <c r="O13" s="49"/>
      <c r="P13" s="47"/>
      <c r="Q13" s="48"/>
      <c r="R13" s="49"/>
      <c r="S13" s="47"/>
      <c r="T13" s="48"/>
      <c r="U13" s="49"/>
      <c r="V13" s="47"/>
      <c r="W13" s="48"/>
      <c r="X13" s="49"/>
      <c r="Y13" s="47"/>
      <c r="Z13" s="48"/>
      <c r="AA13" s="49"/>
      <c r="AB13" s="47"/>
      <c r="AC13" s="48"/>
      <c r="AD13" s="49"/>
      <c r="AE13" s="47"/>
      <c r="AF13" s="48"/>
      <c r="AG13" s="49"/>
      <c r="AH13" s="50" t="str">
        <f t="shared" si="0"/>
        <v>Incomplete</v>
      </c>
    </row>
    <row r="14" spans="1:34" ht="15.95" customHeight="1">
      <c r="A14" s="46">
        <v>8</v>
      </c>
      <c r="B14" s="63" t="str">
        <f>IF('(4).Midterm Results'!B14="","",'(4).Midterm Results'!B14)</f>
        <v>Kong Yonghae</v>
      </c>
      <c r="C14" s="62" t="str">
        <f>IF('(4).Midterm Results'!C14="","",'(4).Midterm Results'!C14)</f>
        <v>M</v>
      </c>
      <c r="D14" s="47"/>
      <c r="E14" s="48"/>
      <c r="F14" s="49"/>
      <c r="G14" s="47"/>
      <c r="H14" s="48"/>
      <c r="I14" s="49"/>
      <c r="J14" s="47"/>
      <c r="K14" s="48"/>
      <c r="L14" s="49"/>
      <c r="M14" s="47"/>
      <c r="N14" s="48"/>
      <c r="O14" s="49"/>
      <c r="P14" s="47"/>
      <c r="Q14" s="48"/>
      <c r="R14" s="49"/>
      <c r="S14" s="47"/>
      <c r="T14" s="48"/>
      <c r="U14" s="49"/>
      <c r="V14" s="47"/>
      <c r="W14" s="48"/>
      <c r="X14" s="49"/>
      <c r="Y14" s="47"/>
      <c r="Z14" s="48"/>
      <c r="AA14" s="49"/>
      <c r="AB14" s="47"/>
      <c r="AC14" s="48"/>
      <c r="AD14" s="49"/>
      <c r="AE14" s="47"/>
      <c r="AF14" s="48"/>
      <c r="AG14" s="49"/>
      <c r="AH14" s="50" t="str">
        <f t="shared" si="0"/>
        <v>Incomplete</v>
      </c>
    </row>
    <row r="15" spans="1:34" ht="15.95" customHeight="1">
      <c r="A15" s="46">
        <v>9</v>
      </c>
      <c r="B15" s="63" t="str">
        <f>IF('(4).Midterm Results'!B15="","",'(4).Midterm Results'!B15)</f>
        <v>Lim Davymulika</v>
      </c>
      <c r="C15" s="62" t="str">
        <f>IF('(4).Midterm Results'!C15="","",'(4).Midterm Results'!C15)</f>
        <v>F</v>
      </c>
      <c r="D15" s="47"/>
      <c r="E15" s="48"/>
      <c r="F15" s="49"/>
      <c r="G15" s="47"/>
      <c r="H15" s="48"/>
      <c r="I15" s="49"/>
      <c r="J15" s="47"/>
      <c r="K15" s="48"/>
      <c r="L15" s="49"/>
      <c r="M15" s="47"/>
      <c r="N15" s="48"/>
      <c r="O15" s="49"/>
      <c r="P15" s="47"/>
      <c r="Q15" s="48"/>
      <c r="R15" s="49"/>
      <c r="S15" s="47"/>
      <c r="T15" s="48"/>
      <c r="U15" s="49"/>
      <c r="V15" s="47"/>
      <c r="W15" s="48"/>
      <c r="X15" s="49"/>
      <c r="Y15" s="47"/>
      <c r="Z15" s="48"/>
      <c r="AA15" s="49"/>
      <c r="AB15" s="47"/>
      <c r="AC15" s="48"/>
      <c r="AD15" s="49"/>
      <c r="AE15" s="47"/>
      <c r="AF15" s="48"/>
      <c r="AG15" s="49"/>
      <c r="AH15" s="50" t="str">
        <f t="shared" si="0"/>
        <v>Incomplete</v>
      </c>
    </row>
    <row r="16" spans="1:34" ht="15.95" customHeight="1">
      <c r="A16" s="46">
        <v>10</v>
      </c>
      <c r="B16" s="63" t="str">
        <f>IF('(4).Midterm Results'!B16="","",'(4).Midterm Results'!B16)</f>
        <v>Lot SamAngvichara</v>
      </c>
      <c r="C16" s="62" t="str">
        <f>IF('(4).Midterm Results'!C16="","",'(4).Midterm Results'!C16)</f>
        <v>F</v>
      </c>
      <c r="D16" s="47"/>
      <c r="E16" s="48"/>
      <c r="F16" s="49"/>
      <c r="G16" s="47"/>
      <c r="H16" s="48"/>
      <c r="I16" s="49"/>
      <c r="J16" s="47"/>
      <c r="K16" s="48"/>
      <c r="L16" s="49"/>
      <c r="M16" s="47"/>
      <c r="N16" s="48"/>
      <c r="O16" s="49"/>
      <c r="P16" s="47"/>
      <c r="Q16" s="48"/>
      <c r="R16" s="49"/>
      <c r="S16" s="47"/>
      <c r="T16" s="48"/>
      <c r="U16" s="49"/>
      <c r="V16" s="47"/>
      <c r="W16" s="48"/>
      <c r="X16" s="49"/>
      <c r="Y16" s="47"/>
      <c r="Z16" s="48"/>
      <c r="AA16" s="49"/>
      <c r="AB16" s="47"/>
      <c r="AC16" s="48"/>
      <c r="AD16" s="49"/>
      <c r="AE16" s="47"/>
      <c r="AF16" s="48"/>
      <c r="AG16" s="49"/>
      <c r="AH16" s="50" t="str">
        <f t="shared" si="0"/>
        <v>Incomplete</v>
      </c>
    </row>
    <row r="17" spans="1:34" ht="15.95" customHeight="1">
      <c r="A17" s="46">
        <v>11</v>
      </c>
      <c r="B17" s="63" t="str">
        <f>IF('(4).Midterm Results'!B17="","",'(4).Midterm Results'!B17)</f>
        <v>Lot Vichheka</v>
      </c>
      <c r="C17" s="62" t="str">
        <f>IF('(4).Midterm Results'!C17="","",'(4).Midterm Results'!C17)</f>
        <v>M</v>
      </c>
      <c r="D17" s="47"/>
      <c r="E17" s="48"/>
      <c r="F17" s="49"/>
      <c r="G17" s="47"/>
      <c r="H17" s="48"/>
      <c r="I17" s="49"/>
      <c r="J17" s="47"/>
      <c r="K17" s="48"/>
      <c r="L17" s="49"/>
      <c r="M17" s="47"/>
      <c r="N17" s="48"/>
      <c r="O17" s="49"/>
      <c r="P17" s="47"/>
      <c r="Q17" s="48"/>
      <c r="R17" s="49"/>
      <c r="S17" s="47"/>
      <c r="T17" s="48"/>
      <c r="U17" s="49"/>
      <c r="V17" s="47"/>
      <c r="W17" s="48"/>
      <c r="X17" s="49"/>
      <c r="Y17" s="47"/>
      <c r="Z17" s="48"/>
      <c r="AA17" s="49"/>
      <c r="AB17" s="47"/>
      <c r="AC17" s="48"/>
      <c r="AD17" s="49"/>
      <c r="AE17" s="47"/>
      <c r="AF17" s="48"/>
      <c r="AG17" s="49"/>
      <c r="AH17" s="50" t="str">
        <f t="shared" si="0"/>
        <v>Incomplete</v>
      </c>
    </row>
    <row r="18" spans="1:34" ht="15.95" customHeight="1">
      <c r="A18" s="46">
        <v>12</v>
      </c>
      <c r="B18" s="63" t="str">
        <f>IF('(4).Midterm Results'!B18="","",'(4).Midterm Results'!B18)</f>
        <v>Ly Kanha</v>
      </c>
      <c r="C18" s="62" t="str">
        <f>IF('(4).Midterm Results'!C18="","",'(4).Midterm Results'!C18)</f>
        <v>F</v>
      </c>
      <c r="D18" s="47"/>
      <c r="E18" s="48"/>
      <c r="F18" s="49"/>
      <c r="G18" s="47"/>
      <c r="H18" s="48"/>
      <c r="I18" s="49"/>
      <c r="J18" s="47"/>
      <c r="K18" s="48"/>
      <c r="L18" s="49"/>
      <c r="M18" s="47"/>
      <c r="N18" s="48"/>
      <c r="O18" s="49"/>
      <c r="P18" s="47"/>
      <c r="Q18" s="48"/>
      <c r="R18" s="49"/>
      <c r="S18" s="47"/>
      <c r="T18" s="48"/>
      <c r="U18" s="49"/>
      <c r="V18" s="47"/>
      <c r="W18" s="48"/>
      <c r="X18" s="49"/>
      <c r="Y18" s="47"/>
      <c r="Z18" s="48"/>
      <c r="AA18" s="49"/>
      <c r="AB18" s="47"/>
      <c r="AC18" s="48"/>
      <c r="AD18" s="49"/>
      <c r="AE18" s="47"/>
      <c r="AF18" s="48"/>
      <c r="AG18" s="49"/>
      <c r="AH18" s="50" t="str">
        <f t="shared" si="0"/>
        <v>Incomplete</v>
      </c>
    </row>
    <row r="19" spans="1:34" ht="15.95" customHeight="1">
      <c r="A19" s="46">
        <v>13</v>
      </c>
      <c r="B19" s="63" t="str">
        <f>IF('(4).Midterm Results'!B19="","",'(4).Midterm Results'!B19)</f>
        <v>Ly Sanmoniroth</v>
      </c>
      <c r="C19" s="62" t="str">
        <f>IF('(4).Midterm Results'!C19="","",'(4).Midterm Results'!C19)</f>
        <v>F</v>
      </c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  <c r="AB19" s="47"/>
      <c r="AC19" s="48"/>
      <c r="AD19" s="49"/>
      <c r="AE19" s="47"/>
      <c r="AF19" s="48"/>
      <c r="AG19" s="49"/>
      <c r="AH19" s="50" t="str">
        <f t="shared" si="0"/>
        <v>Incomplete</v>
      </c>
    </row>
    <row r="20" spans="1:34" ht="15.95" customHeight="1">
      <c r="A20" s="46">
        <v>14</v>
      </c>
      <c r="B20" s="63" t="str">
        <f>IF('(4).Midterm Results'!B20="","",'(4).Midterm Results'!B20)</f>
        <v>Noun Thoreakrith</v>
      </c>
      <c r="C20" s="62" t="str">
        <f>IF('(4).Midterm Results'!C20="","",'(4).Midterm Results'!C20)</f>
        <v>M</v>
      </c>
      <c r="D20" s="47"/>
      <c r="E20" s="48"/>
      <c r="F20" s="49"/>
      <c r="G20" s="47"/>
      <c r="H20" s="48"/>
      <c r="I20" s="49"/>
      <c r="J20" s="47"/>
      <c r="K20" s="48"/>
      <c r="L20" s="49"/>
      <c r="M20" s="47"/>
      <c r="N20" s="48"/>
      <c r="O20" s="49"/>
      <c r="P20" s="47"/>
      <c r="Q20" s="48"/>
      <c r="R20" s="49"/>
      <c r="S20" s="47"/>
      <c r="T20" s="48"/>
      <c r="U20" s="49"/>
      <c r="V20" s="47"/>
      <c r="W20" s="48"/>
      <c r="X20" s="49"/>
      <c r="Y20" s="47"/>
      <c r="Z20" s="48"/>
      <c r="AA20" s="49"/>
      <c r="AB20" s="47"/>
      <c r="AC20" s="48"/>
      <c r="AD20" s="49"/>
      <c r="AE20" s="47"/>
      <c r="AF20" s="48"/>
      <c r="AG20" s="49"/>
      <c r="AH20" s="50" t="str">
        <f t="shared" si="0"/>
        <v>Incomplete</v>
      </c>
    </row>
    <row r="21" spans="1:34" ht="15.95" customHeight="1">
      <c r="A21" s="46">
        <v>15</v>
      </c>
      <c r="B21" s="63" t="str">
        <f>IF('(4).Midterm Results'!B21="","",'(4).Midterm Results'!B21)</f>
        <v>OL Amara</v>
      </c>
      <c r="C21" s="62" t="str">
        <f>IF('(4).Midterm Results'!C21="","",'(4).Midterm Results'!C21)</f>
        <v>F</v>
      </c>
      <c r="D21" s="47"/>
      <c r="E21" s="48"/>
      <c r="F21" s="49"/>
      <c r="G21" s="47"/>
      <c r="H21" s="48"/>
      <c r="I21" s="49"/>
      <c r="J21" s="47"/>
      <c r="K21" s="48"/>
      <c r="L21" s="49"/>
      <c r="M21" s="47"/>
      <c r="N21" s="48"/>
      <c r="O21" s="49"/>
      <c r="P21" s="47"/>
      <c r="Q21" s="48"/>
      <c r="R21" s="49"/>
      <c r="S21" s="47"/>
      <c r="T21" s="48"/>
      <c r="U21" s="49"/>
      <c r="V21" s="47"/>
      <c r="W21" s="48"/>
      <c r="X21" s="49"/>
      <c r="Y21" s="47"/>
      <c r="Z21" s="48"/>
      <c r="AA21" s="49"/>
      <c r="AB21" s="47"/>
      <c r="AC21" s="48"/>
      <c r="AD21" s="49"/>
      <c r="AE21" s="47"/>
      <c r="AF21" s="48"/>
      <c r="AG21" s="49"/>
      <c r="AH21" s="50" t="str">
        <f t="shared" si="0"/>
        <v>Incomplete</v>
      </c>
    </row>
    <row r="22" spans="1:34" ht="15.95" customHeight="1">
      <c r="A22" s="46">
        <v>16</v>
      </c>
      <c r="B22" s="63" t="str">
        <f>IF('(4).Midterm Results'!B22="","",'(4).Midterm Results'!B22)</f>
        <v>Prom Monometa</v>
      </c>
      <c r="C22" s="62" t="str">
        <f>IF('(4).Midterm Results'!C22="","",'(4).Midterm Results'!C22)</f>
        <v>M</v>
      </c>
      <c r="D22" s="47"/>
      <c r="E22" s="48"/>
      <c r="F22" s="49"/>
      <c r="G22" s="47"/>
      <c r="H22" s="48"/>
      <c r="I22" s="49"/>
      <c r="J22" s="47"/>
      <c r="K22" s="48"/>
      <c r="L22" s="49"/>
      <c r="M22" s="47"/>
      <c r="N22" s="48"/>
      <c r="O22" s="49"/>
      <c r="P22" s="47"/>
      <c r="Q22" s="48"/>
      <c r="R22" s="49"/>
      <c r="S22" s="47"/>
      <c r="T22" s="48"/>
      <c r="U22" s="49"/>
      <c r="V22" s="47"/>
      <c r="W22" s="48"/>
      <c r="X22" s="49"/>
      <c r="Y22" s="47"/>
      <c r="Z22" s="48"/>
      <c r="AA22" s="49"/>
      <c r="AB22" s="47"/>
      <c r="AC22" s="48"/>
      <c r="AD22" s="49"/>
      <c r="AE22" s="47"/>
      <c r="AF22" s="48"/>
      <c r="AG22" s="49"/>
      <c r="AH22" s="50" t="str">
        <f t="shared" si="0"/>
        <v>Incomplete</v>
      </c>
    </row>
    <row r="23" spans="1:34" ht="15.95" customHeight="1">
      <c r="A23" s="46">
        <v>17</v>
      </c>
      <c r="B23" s="63" t="str">
        <f>IF('(4).Midterm Results'!B23="","",'(4).Midterm Results'!B23)</f>
        <v>Seng Moamunyriangsey</v>
      </c>
      <c r="C23" s="62" t="str">
        <f>IF('(4).Midterm Results'!C23="","",'(4).Midterm Results'!C23)</f>
        <v>F</v>
      </c>
      <c r="D23" s="47"/>
      <c r="E23" s="48"/>
      <c r="F23" s="49"/>
      <c r="G23" s="47"/>
      <c r="H23" s="48"/>
      <c r="I23" s="49"/>
      <c r="J23" s="47"/>
      <c r="K23" s="48"/>
      <c r="L23" s="49"/>
      <c r="M23" s="47"/>
      <c r="N23" s="48"/>
      <c r="O23" s="49"/>
      <c r="P23" s="47"/>
      <c r="Q23" s="48"/>
      <c r="R23" s="49"/>
      <c r="S23" s="47"/>
      <c r="T23" s="48"/>
      <c r="U23" s="49"/>
      <c r="V23" s="47"/>
      <c r="W23" s="48"/>
      <c r="X23" s="49"/>
      <c r="Y23" s="47"/>
      <c r="Z23" s="48"/>
      <c r="AA23" s="49"/>
      <c r="AB23" s="47"/>
      <c r="AC23" s="48"/>
      <c r="AD23" s="49"/>
      <c r="AE23" s="47"/>
      <c r="AF23" s="48"/>
      <c r="AG23" s="49"/>
      <c r="AH23" s="50" t="str">
        <f t="shared" si="0"/>
        <v>Incomplete</v>
      </c>
    </row>
    <row r="24" spans="1:34" ht="15.95" customHeight="1">
      <c r="A24" s="46">
        <v>18</v>
      </c>
      <c r="B24" s="63" t="str">
        <f>IF('(4).Midterm Results'!B24="","",'(4).Midterm Results'!B24)</f>
        <v>Thuy Chanmeylinh</v>
      </c>
      <c r="C24" s="62" t="str">
        <f>IF('(4).Midterm Results'!C24="","",'(4).Midterm Results'!C24)</f>
        <v>F</v>
      </c>
      <c r="D24" s="47"/>
      <c r="E24" s="48"/>
      <c r="F24" s="49"/>
      <c r="G24" s="47"/>
      <c r="H24" s="48"/>
      <c r="I24" s="49"/>
      <c r="J24" s="47"/>
      <c r="K24" s="48"/>
      <c r="L24" s="49"/>
      <c r="M24" s="47"/>
      <c r="N24" s="48"/>
      <c r="O24" s="49"/>
      <c r="P24" s="47"/>
      <c r="Q24" s="48"/>
      <c r="R24" s="49"/>
      <c r="S24" s="47"/>
      <c r="T24" s="48"/>
      <c r="U24" s="49"/>
      <c r="V24" s="47"/>
      <c r="W24" s="48"/>
      <c r="X24" s="49"/>
      <c r="Y24" s="47"/>
      <c r="Z24" s="48"/>
      <c r="AA24" s="49"/>
      <c r="AB24" s="47"/>
      <c r="AC24" s="48"/>
      <c r="AD24" s="49"/>
      <c r="AE24" s="47"/>
      <c r="AF24" s="48"/>
      <c r="AG24" s="49"/>
      <c r="AH24" s="50" t="str">
        <f t="shared" si="0"/>
        <v>Incomplete</v>
      </c>
    </row>
    <row r="25" spans="1:34" ht="15.95" customHeight="1">
      <c r="A25" s="46">
        <v>19</v>
      </c>
      <c r="B25" s="63" t="str">
        <f>IF('(4).Midterm Results'!B25="","",'(4).Midterm Results'!B25)</f>
        <v>Vy Monineath</v>
      </c>
      <c r="C25" s="62" t="str">
        <f>IF('(4).Midterm Results'!C25="","",'(4).Midterm Results'!C25)</f>
        <v>F</v>
      </c>
      <c r="D25" s="47"/>
      <c r="E25" s="48"/>
      <c r="F25" s="49"/>
      <c r="G25" s="47"/>
      <c r="H25" s="48"/>
      <c r="I25" s="49"/>
      <c r="J25" s="47"/>
      <c r="K25" s="48"/>
      <c r="L25" s="49"/>
      <c r="M25" s="47"/>
      <c r="N25" s="48"/>
      <c r="O25" s="49"/>
      <c r="P25" s="47"/>
      <c r="Q25" s="48"/>
      <c r="R25" s="49"/>
      <c r="S25" s="47"/>
      <c r="T25" s="48"/>
      <c r="U25" s="49"/>
      <c r="V25" s="47"/>
      <c r="W25" s="48"/>
      <c r="X25" s="49"/>
      <c r="Y25" s="47"/>
      <c r="Z25" s="48"/>
      <c r="AA25" s="49"/>
      <c r="AB25" s="47"/>
      <c r="AC25" s="48"/>
      <c r="AD25" s="49"/>
      <c r="AE25" s="47"/>
      <c r="AF25" s="48"/>
      <c r="AG25" s="49"/>
      <c r="AH25" s="50" t="str">
        <f t="shared" si="0"/>
        <v>Incomplete</v>
      </c>
    </row>
    <row r="26" spans="1:34" ht="15.95" customHeight="1">
      <c r="A26" s="46">
        <v>20</v>
      </c>
      <c r="B26" s="63" t="str">
        <f>IF('(4).Midterm Results'!B26="","",'(4).Midterm Results'!B26)</f>
        <v/>
      </c>
      <c r="C26" s="62" t="str">
        <f>IF('(4).Midterm Results'!C26="","",'(4).Midterm Results'!C26)</f>
        <v/>
      </c>
      <c r="D26" s="47"/>
      <c r="E26" s="48"/>
      <c r="F26" s="49"/>
      <c r="G26" s="47"/>
      <c r="H26" s="48"/>
      <c r="I26" s="49"/>
      <c r="J26" s="47"/>
      <c r="K26" s="48"/>
      <c r="L26" s="49"/>
      <c r="M26" s="47"/>
      <c r="N26" s="48"/>
      <c r="O26" s="49"/>
      <c r="P26" s="47"/>
      <c r="Q26" s="48"/>
      <c r="R26" s="49"/>
      <c r="S26" s="47"/>
      <c r="T26" s="48"/>
      <c r="U26" s="49"/>
      <c r="V26" s="47"/>
      <c r="W26" s="48"/>
      <c r="X26" s="49"/>
      <c r="Y26" s="47"/>
      <c r="Z26" s="48"/>
      <c r="AA26" s="49"/>
      <c r="AB26" s="47"/>
      <c r="AC26" s="48"/>
      <c r="AD26" s="49"/>
      <c r="AE26" s="47"/>
      <c r="AF26" s="48"/>
      <c r="AG26" s="49"/>
      <c r="AH26" s="50" t="str">
        <f t="shared" si="0"/>
        <v/>
      </c>
    </row>
    <row r="27" spans="1:34" ht="15.95" customHeight="1">
      <c r="A27" s="46">
        <v>21</v>
      </c>
      <c r="B27" s="63" t="str">
        <f>IF('(4).Midterm Results'!B27="","",'(4).Midterm Results'!B27)</f>
        <v/>
      </c>
      <c r="C27" s="62" t="str">
        <f>IF('(4).Midterm Results'!C27="","",'(4).Midterm Results'!C27)</f>
        <v/>
      </c>
      <c r="D27" s="47"/>
      <c r="E27" s="48"/>
      <c r="F27" s="49"/>
      <c r="G27" s="47"/>
      <c r="H27" s="48"/>
      <c r="I27" s="49"/>
      <c r="J27" s="47"/>
      <c r="K27" s="48"/>
      <c r="L27" s="49"/>
      <c r="M27" s="47"/>
      <c r="N27" s="48"/>
      <c r="O27" s="49"/>
      <c r="P27" s="47"/>
      <c r="Q27" s="48"/>
      <c r="R27" s="49"/>
      <c r="S27" s="47"/>
      <c r="T27" s="48"/>
      <c r="U27" s="49"/>
      <c r="V27" s="47"/>
      <c r="W27" s="48"/>
      <c r="X27" s="49"/>
      <c r="Y27" s="47"/>
      <c r="Z27" s="48"/>
      <c r="AA27" s="49"/>
      <c r="AB27" s="47"/>
      <c r="AC27" s="48"/>
      <c r="AD27" s="49"/>
      <c r="AE27" s="47"/>
      <c r="AF27" s="48"/>
      <c r="AG27" s="49"/>
      <c r="AH27" s="50" t="str">
        <f t="shared" si="0"/>
        <v/>
      </c>
    </row>
    <row r="28" spans="1:34" ht="15.95" customHeight="1">
      <c r="A28" s="46">
        <v>22</v>
      </c>
      <c r="B28" s="63" t="str">
        <f>IF('(4).Midterm Results'!B28="","",'(4).Midterm Results'!B28)</f>
        <v/>
      </c>
      <c r="C28" s="62" t="str">
        <f>IF('(4).Midterm Results'!C28="","",'(4).Midterm Results'!C28)</f>
        <v/>
      </c>
      <c r="D28" s="47"/>
      <c r="E28" s="48"/>
      <c r="F28" s="49"/>
      <c r="G28" s="47"/>
      <c r="H28" s="48"/>
      <c r="I28" s="49"/>
      <c r="J28" s="47"/>
      <c r="K28" s="48"/>
      <c r="L28" s="49"/>
      <c r="M28" s="47"/>
      <c r="N28" s="48"/>
      <c r="O28" s="49"/>
      <c r="P28" s="47"/>
      <c r="Q28" s="48"/>
      <c r="R28" s="49"/>
      <c r="S28" s="47"/>
      <c r="T28" s="48"/>
      <c r="U28" s="49"/>
      <c r="V28" s="47"/>
      <c r="W28" s="48"/>
      <c r="X28" s="49"/>
      <c r="Y28" s="47"/>
      <c r="Z28" s="48"/>
      <c r="AA28" s="49"/>
      <c r="AB28" s="47"/>
      <c r="AC28" s="48"/>
      <c r="AD28" s="49"/>
      <c r="AE28" s="47"/>
      <c r="AF28" s="48"/>
      <c r="AG28" s="49"/>
      <c r="AH28" s="50" t="str">
        <f t="shared" si="0"/>
        <v/>
      </c>
    </row>
    <row r="29" spans="1:34" ht="15.95" customHeight="1">
      <c r="A29" s="46">
        <v>23</v>
      </c>
      <c r="B29" s="63" t="str">
        <f>IF('(4).Midterm Results'!B29="","",'(4).Midterm Results'!B29)</f>
        <v/>
      </c>
      <c r="C29" s="62" t="str">
        <f>IF('(4).Midterm Results'!C29="","",'(4).Midterm Results'!C29)</f>
        <v/>
      </c>
      <c r="D29" s="47"/>
      <c r="E29" s="48"/>
      <c r="F29" s="49"/>
      <c r="G29" s="47"/>
      <c r="H29" s="48"/>
      <c r="I29" s="49"/>
      <c r="J29" s="47"/>
      <c r="K29" s="48"/>
      <c r="L29" s="49"/>
      <c r="M29" s="47"/>
      <c r="N29" s="48"/>
      <c r="O29" s="49"/>
      <c r="P29" s="47"/>
      <c r="Q29" s="48"/>
      <c r="R29" s="49"/>
      <c r="S29" s="47"/>
      <c r="T29" s="48"/>
      <c r="U29" s="49"/>
      <c r="V29" s="47"/>
      <c r="W29" s="48"/>
      <c r="X29" s="49"/>
      <c r="Y29" s="47"/>
      <c r="Z29" s="48"/>
      <c r="AA29" s="49"/>
      <c r="AB29" s="47"/>
      <c r="AC29" s="48"/>
      <c r="AD29" s="49"/>
      <c r="AE29" s="47"/>
      <c r="AF29" s="48"/>
      <c r="AG29" s="49"/>
      <c r="AH29" s="50" t="str">
        <f t="shared" si="0"/>
        <v/>
      </c>
    </row>
    <row r="30" spans="1:34" ht="15.95" customHeight="1">
      <c r="A30" s="46">
        <v>24</v>
      </c>
      <c r="B30" s="63" t="str">
        <f>IF('(4).Midterm Results'!B30="","",'(4).Midterm Results'!B30)</f>
        <v/>
      </c>
      <c r="C30" s="62" t="str">
        <f>IF('(4).Midterm Results'!C30="","",'(4).Midterm Results'!C30)</f>
        <v/>
      </c>
      <c r="D30" s="47"/>
      <c r="E30" s="48"/>
      <c r="F30" s="49"/>
      <c r="G30" s="47"/>
      <c r="H30" s="48"/>
      <c r="I30" s="49"/>
      <c r="J30" s="47"/>
      <c r="K30" s="48"/>
      <c r="L30" s="49"/>
      <c r="M30" s="47"/>
      <c r="N30" s="48"/>
      <c r="O30" s="49"/>
      <c r="P30" s="47"/>
      <c r="Q30" s="48"/>
      <c r="R30" s="49"/>
      <c r="S30" s="47"/>
      <c r="T30" s="48"/>
      <c r="U30" s="49"/>
      <c r="V30" s="47"/>
      <c r="W30" s="48"/>
      <c r="X30" s="49"/>
      <c r="Y30" s="47"/>
      <c r="Z30" s="48"/>
      <c r="AA30" s="49"/>
      <c r="AB30" s="47"/>
      <c r="AC30" s="48"/>
      <c r="AD30" s="49"/>
      <c r="AE30" s="47"/>
      <c r="AF30" s="48"/>
      <c r="AG30" s="49"/>
      <c r="AH30" s="50" t="str">
        <f t="shared" si="0"/>
        <v/>
      </c>
    </row>
    <row r="31" spans="1:34" ht="15.95" customHeight="1">
      <c r="A31" s="46">
        <v>25</v>
      </c>
      <c r="B31" s="63" t="str">
        <f>IF('(4).Midterm Results'!B31="","",'(4).Midterm Results'!B31)</f>
        <v/>
      </c>
      <c r="C31" s="62" t="str">
        <f>IF('(4).Midterm Results'!C31="","",'(4).Midterm Results'!C31)</f>
        <v/>
      </c>
      <c r="D31" s="47"/>
      <c r="E31" s="48"/>
      <c r="F31" s="49"/>
      <c r="G31" s="47"/>
      <c r="H31" s="48"/>
      <c r="I31" s="49"/>
      <c r="J31" s="47"/>
      <c r="K31" s="48"/>
      <c r="L31" s="49"/>
      <c r="M31" s="47"/>
      <c r="N31" s="48"/>
      <c r="O31" s="49"/>
      <c r="P31" s="47"/>
      <c r="Q31" s="48"/>
      <c r="R31" s="49"/>
      <c r="S31" s="47"/>
      <c r="T31" s="48"/>
      <c r="U31" s="49"/>
      <c r="V31" s="47"/>
      <c r="W31" s="48"/>
      <c r="X31" s="49"/>
      <c r="Y31" s="47"/>
      <c r="Z31" s="48"/>
      <c r="AA31" s="49"/>
      <c r="AB31" s="47"/>
      <c r="AC31" s="48"/>
      <c r="AD31" s="49"/>
      <c r="AE31" s="47"/>
      <c r="AF31" s="48"/>
      <c r="AG31" s="49"/>
      <c r="AH31" s="50" t="str">
        <f t="shared" si="0"/>
        <v/>
      </c>
    </row>
    <row r="32" spans="1:34" ht="15.95" customHeight="1">
      <c r="A32" s="46">
        <v>26</v>
      </c>
      <c r="B32" s="63" t="str">
        <f>IF('(4).Midterm Results'!B32="","",'(4).Midterm Results'!B32)</f>
        <v/>
      </c>
      <c r="C32" s="62" t="str">
        <f>IF('(4).Midterm Results'!C32="","",'(4).Midterm Results'!C32)</f>
        <v/>
      </c>
      <c r="D32" s="47"/>
      <c r="E32" s="48"/>
      <c r="F32" s="49"/>
      <c r="G32" s="47"/>
      <c r="H32" s="48"/>
      <c r="I32" s="49"/>
      <c r="J32" s="47"/>
      <c r="K32" s="48"/>
      <c r="L32" s="49"/>
      <c r="M32" s="47"/>
      <c r="N32" s="48"/>
      <c r="O32" s="49"/>
      <c r="P32" s="47"/>
      <c r="Q32" s="48"/>
      <c r="R32" s="49"/>
      <c r="S32" s="47"/>
      <c r="T32" s="48"/>
      <c r="U32" s="49"/>
      <c r="V32" s="47"/>
      <c r="W32" s="48"/>
      <c r="X32" s="49"/>
      <c r="Y32" s="47"/>
      <c r="Z32" s="48"/>
      <c r="AA32" s="49"/>
      <c r="AB32" s="47"/>
      <c r="AC32" s="48"/>
      <c r="AD32" s="49"/>
      <c r="AE32" s="47"/>
      <c r="AF32" s="48"/>
      <c r="AG32" s="49"/>
      <c r="AH32" s="50" t="str">
        <f t="shared" si="0"/>
        <v/>
      </c>
    </row>
    <row r="33" spans="1:34" ht="15.95" customHeight="1">
      <c r="A33" s="46">
        <v>27</v>
      </c>
      <c r="B33" s="63" t="str">
        <f>IF('(4).Midterm Results'!B33="","",'(4).Midterm Results'!B33)</f>
        <v/>
      </c>
      <c r="C33" s="62" t="str">
        <f>IF('(4).Midterm Results'!C33="","",'(4).Midterm Results'!C33)</f>
        <v/>
      </c>
      <c r="D33" s="47"/>
      <c r="E33" s="48"/>
      <c r="F33" s="49"/>
      <c r="G33" s="47"/>
      <c r="H33" s="48"/>
      <c r="I33" s="49"/>
      <c r="J33" s="47"/>
      <c r="K33" s="48"/>
      <c r="L33" s="49"/>
      <c r="M33" s="47"/>
      <c r="N33" s="48"/>
      <c r="O33" s="49"/>
      <c r="P33" s="47"/>
      <c r="Q33" s="48"/>
      <c r="R33" s="49"/>
      <c r="S33" s="47"/>
      <c r="T33" s="48"/>
      <c r="U33" s="49"/>
      <c r="V33" s="47"/>
      <c r="W33" s="48"/>
      <c r="X33" s="49"/>
      <c r="Y33" s="47"/>
      <c r="Z33" s="48"/>
      <c r="AA33" s="49"/>
      <c r="AB33" s="47"/>
      <c r="AC33" s="48"/>
      <c r="AD33" s="49"/>
      <c r="AE33" s="47"/>
      <c r="AF33" s="48"/>
      <c r="AG33" s="49"/>
      <c r="AH33" s="50" t="str">
        <f t="shared" si="0"/>
        <v/>
      </c>
    </row>
    <row r="34" spans="1:34" ht="15.95" customHeight="1">
      <c r="A34" s="46">
        <v>28</v>
      </c>
      <c r="B34" s="63" t="str">
        <f>IF('(4).Midterm Results'!B34="","",'(4).Midterm Results'!B34)</f>
        <v/>
      </c>
      <c r="C34" s="62" t="str">
        <f>IF('(4).Midterm Results'!C34="","",'(4).Midterm Results'!C34)</f>
        <v/>
      </c>
      <c r="D34" s="47"/>
      <c r="E34" s="48"/>
      <c r="F34" s="49"/>
      <c r="G34" s="47"/>
      <c r="H34" s="48"/>
      <c r="I34" s="49"/>
      <c r="J34" s="47"/>
      <c r="K34" s="48"/>
      <c r="L34" s="49"/>
      <c r="M34" s="47"/>
      <c r="N34" s="48"/>
      <c r="O34" s="49"/>
      <c r="P34" s="47"/>
      <c r="Q34" s="48"/>
      <c r="R34" s="49"/>
      <c r="S34" s="47"/>
      <c r="T34" s="48"/>
      <c r="U34" s="49"/>
      <c r="V34" s="47"/>
      <c r="W34" s="48"/>
      <c r="X34" s="49"/>
      <c r="Y34" s="47"/>
      <c r="Z34" s="48"/>
      <c r="AA34" s="49"/>
      <c r="AB34" s="47"/>
      <c r="AC34" s="48"/>
      <c r="AD34" s="49"/>
      <c r="AE34" s="47"/>
      <c r="AF34" s="48"/>
      <c r="AG34" s="49"/>
      <c r="AH34" s="50" t="str">
        <f t="shared" si="0"/>
        <v/>
      </c>
    </row>
    <row r="35" spans="1:34" ht="15.95" customHeight="1">
      <c r="A35" s="46">
        <v>29</v>
      </c>
      <c r="B35" s="63" t="str">
        <f>IF('(4).Midterm Results'!B35="","",'(4).Midterm Results'!B35)</f>
        <v/>
      </c>
      <c r="C35" s="62" t="str">
        <f>IF('(4).Midterm Results'!C35="","",'(4).Midterm Results'!C35)</f>
        <v/>
      </c>
      <c r="D35" s="47"/>
      <c r="E35" s="48"/>
      <c r="F35" s="49"/>
      <c r="G35" s="47"/>
      <c r="H35" s="48"/>
      <c r="I35" s="49"/>
      <c r="J35" s="47"/>
      <c r="K35" s="48"/>
      <c r="L35" s="49"/>
      <c r="M35" s="47"/>
      <c r="N35" s="48"/>
      <c r="O35" s="49"/>
      <c r="P35" s="47"/>
      <c r="Q35" s="48"/>
      <c r="R35" s="49"/>
      <c r="S35" s="47"/>
      <c r="T35" s="48"/>
      <c r="U35" s="49"/>
      <c r="V35" s="47"/>
      <c r="W35" s="48"/>
      <c r="X35" s="49"/>
      <c r="Y35" s="47"/>
      <c r="Z35" s="48"/>
      <c r="AA35" s="49"/>
      <c r="AB35" s="47"/>
      <c r="AC35" s="48"/>
      <c r="AD35" s="49"/>
      <c r="AE35" s="47"/>
      <c r="AF35" s="48"/>
      <c r="AG35" s="49"/>
      <c r="AH35" s="50" t="str">
        <f t="shared" si="0"/>
        <v/>
      </c>
    </row>
    <row r="36" spans="1:34" ht="15.95" customHeight="1">
      <c r="A36" s="46">
        <v>30</v>
      </c>
      <c r="B36" s="63" t="str">
        <f>IF('(4).Midterm Results'!B36="","",'(4).Midterm Results'!B36)</f>
        <v/>
      </c>
      <c r="C36" s="62" t="str">
        <f>IF('(4).Midterm Results'!C36="","",'(4).Midterm Results'!C36)</f>
        <v/>
      </c>
      <c r="D36" s="47"/>
      <c r="E36" s="48"/>
      <c r="F36" s="49"/>
      <c r="G36" s="47"/>
      <c r="H36" s="48"/>
      <c r="I36" s="49"/>
      <c r="J36" s="47"/>
      <c r="K36" s="48"/>
      <c r="L36" s="49"/>
      <c r="M36" s="47"/>
      <c r="N36" s="48"/>
      <c r="O36" s="49"/>
      <c r="P36" s="47"/>
      <c r="Q36" s="48"/>
      <c r="R36" s="49"/>
      <c r="S36" s="47"/>
      <c r="T36" s="48"/>
      <c r="U36" s="49"/>
      <c r="V36" s="47"/>
      <c r="W36" s="48"/>
      <c r="X36" s="49"/>
      <c r="Y36" s="47"/>
      <c r="Z36" s="48"/>
      <c r="AA36" s="49"/>
      <c r="AB36" s="47"/>
      <c r="AC36" s="48"/>
      <c r="AD36" s="49"/>
      <c r="AE36" s="47"/>
      <c r="AF36" s="48"/>
      <c r="AG36" s="49"/>
      <c r="AH36" s="50" t="str">
        <f t="shared" si="0"/>
        <v/>
      </c>
    </row>
    <row r="37" spans="1:34" ht="15.95" customHeight="1">
      <c r="A37" s="18" t="s">
        <v>0</v>
      </c>
      <c r="B37" s="19">
        <f>'(4).Midterm Results'!B37</f>
        <v>0</v>
      </c>
      <c r="C37" s="60"/>
      <c r="D37" s="222" t="s">
        <v>91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</row>
    <row r="38" spans="1:34" ht="15.95" customHeight="1">
      <c r="A38" s="18" t="s">
        <v>1</v>
      </c>
      <c r="B38" s="19">
        <f>'(4).Midterm Results'!B38</f>
        <v>0</v>
      </c>
      <c r="C38" s="60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</row>
    <row r="39" spans="1:34" ht="15.95" customHeight="1">
      <c r="A39" s="18" t="s">
        <v>2</v>
      </c>
      <c r="B39" s="19">
        <f>'(4).Midterm Results'!B39</f>
        <v>0</v>
      </c>
      <c r="C39" s="60"/>
      <c r="D39" s="223" t="str">
        <f>'(4).Midterm Results'!D38</f>
        <v>FEBRUARY - JULY 2026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</row>
    <row r="40" spans="1:34" ht="15.95" customHeight="1">
      <c r="A40" s="18" t="s">
        <v>3</v>
      </c>
      <c r="B40" s="19">
        <f>'(4).Midterm Results'!B40</f>
        <v>0</v>
      </c>
      <c r="C40" s="60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</row>
    <row r="41" spans="1:34" ht="15.95" customHeight="1">
      <c r="A41" s="18" t="s">
        <v>4</v>
      </c>
      <c r="B41" s="19">
        <f>'(4).Midterm Results'!B41</f>
        <v>0</v>
      </c>
      <c r="C41" s="61"/>
      <c r="D41" s="220" t="str">
        <f>IF(OR($B38="K5",$B38="K6",$B38="K7",$B38="K8",$B38="K9",$B38="K10"),"Listening","Up-Low C")</f>
        <v>Up-Low C</v>
      </c>
      <c r="E41" s="220"/>
      <c r="F41" s="220"/>
      <c r="G41" s="220" t="str">
        <f>IF(OR($B38="K5",$B38="K6",$B38="K7",$B38="K8",$B38="K9",$B38="K10"),"Speaking","Alphabet N")</f>
        <v>Alphabet N</v>
      </c>
      <c r="H41" s="220"/>
      <c r="I41" s="220"/>
      <c r="J41" s="220" t="str">
        <f>IF(OR($B38="K5",$B38="K6",$B38="K7",$B38="K8",$B38="K9",$B38="K10"),"Reading","Alphabet S")</f>
        <v>Alphabet S</v>
      </c>
      <c r="K41" s="220"/>
      <c r="L41" s="220"/>
      <c r="M41" s="220" t="str">
        <f>IF(OR($B38="K5",$B38="K6",$B38="K7",$B38="K8",$B38="K9",$B38="K10"),"Writing","Vocabulary")</f>
        <v>Vocabulary</v>
      </c>
      <c r="N41" s="220"/>
      <c r="O41" s="220"/>
      <c r="P41" s="220" t="str">
        <f>IF(OR($B38="K5",$B38="K6",$B38="K7",$B38="K8",$B38="K9",$B38="K10"),"Gram/Vocab","Sprouts")</f>
        <v>Sprouts</v>
      </c>
      <c r="Q41" s="220"/>
      <c r="R41" s="220"/>
      <c r="S41" s="220" t="str">
        <f>IF(OR($B38="K5",$B38="K6",$B38="K7",$B38="K8",$B38="K9",$B38="K10"),"Roots","Phonics")</f>
        <v>Phonics</v>
      </c>
      <c r="T41" s="220"/>
      <c r="U41" s="220"/>
      <c r="V41" s="220" t="str">
        <f>IF(OR($B38="K5",$B38="K6",$B38="K7",$B38="K8",$B38="K9",$B38="K10"),"Phonics","Math")</f>
        <v>Math</v>
      </c>
      <c r="W41" s="220"/>
      <c r="X41" s="220"/>
      <c r="Y41" s="220" t="str">
        <f>IF(OR($B38="K5",$B38="K6",$B38="K7",$B38="K8",$B38="K9",$B38="K10"),"Math","Shape")</f>
        <v>Shape</v>
      </c>
      <c r="Z41" s="220"/>
      <c r="AA41" s="220"/>
      <c r="AB41" s="220" t="s">
        <v>10</v>
      </c>
      <c r="AC41" s="220"/>
      <c r="AD41" s="220"/>
      <c r="AE41" s="220" t="str">
        <f>IF(OR($B38="K5",$B38="K6",$B38="K7",$B38="K8",$B38="K9",$B38="K10"),"Homework","Tracing")</f>
        <v>Tracing</v>
      </c>
      <c r="AF41" s="220"/>
      <c r="AG41" s="220"/>
      <c r="AH41" s="90" t="s">
        <v>11</v>
      </c>
    </row>
    <row r="42" spans="1:34" ht="15.95" customHeight="1" thickBot="1">
      <c r="A42" s="73" t="s">
        <v>5</v>
      </c>
      <c r="B42" s="74" t="s">
        <v>6</v>
      </c>
      <c r="C42" s="75" t="s">
        <v>7</v>
      </c>
      <c r="D42" s="221" t="s">
        <v>9</v>
      </c>
      <c r="E42" s="221"/>
      <c r="F42" s="221"/>
      <c r="G42" s="221" t="s">
        <v>9</v>
      </c>
      <c r="H42" s="221"/>
      <c r="I42" s="221"/>
      <c r="J42" s="221" t="s">
        <v>9</v>
      </c>
      <c r="K42" s="221"/>
      <c r="L42" s="221"/>
      <c r="M42" s="221" t="s">
        <v>9</v>
      </c>
      <c r="N42" s="221"/>
      <c r="O42" s="221"/>
      <c r="P42" s="221" t="s">
        <v>9</v>
      </c>
      <c r="Q42" s="221"/>
      <c r="R42" s="221"/>
      <c r="S42" s="221" t="s">
        <v>9</v>
      </c>
      <c r="T42" s="221"/>
      <c r="U42" s="221"/>
      <c r="V42" s="221" t="s">
        <v>9</v>
      </c>
      <c r="W42" s="221"/>
      <c r="X42" s="221"/>
      <c r="Y42" s="221" t="s">
        <v>9</v>
      </c>
      <c r="Z42" s="221"/>
      <c r="AA42" s="221"/>
      <c r="AB42" s="221" t="s">
        <v>9</v>
      </c>
      <c r="AC42" s="221"/>
      <c r="AD42" s="221"/>
      <c r="AE42" s="221" t="s">
        <v>9</v>
      </c>
      <c r="AF42" s="221"/>
      <c r="AG42" s="221"/>
      <c r="AH42" s="77" t="s">
        <v>12</v>
      </c>
    </row>
    <row r="43" spans="1:34" ht="15.95" customHeight="1">
      <c r="A43" s="14">
        <v>1</v>
      </c>
      <c r="B43" s="68" t="str">
        <f>IF('(4).Midterm Results'!B43="","",'(4).Midterm Results'!B43)</f>
        <v/>
      </c>
      <c r="C43" s="16" t="str">
        <f>IF('(4).Midterm Results'!C43="","",'(4).Midterm Results'!C43)</f>
        <v/>
      </c>
      <c r="D43" s="69"/>
      <c r="E43" s="70"/>
      <c r="F43" s="71"/>
      <c r="G43" s="69"/>
      <c r="H43" s="70"/>
      <c r="I43" s="71"/>
      <c r="J43" s="69"/>
      <c r="K43" s="70"/>
      <c r="L43" s="71"/>
      <c r="M43" s="69"/>
      <c r="N43" s="70"/>
      <c r="O43" s="71"/>
      <c r="P43" s="69"/>
      <c r="Q43" s="70"/>
      <c r="R43" s="71"/>
      <c r="S43" s="69"/>
      <c r="T43" s="70"/>
      <c r="U43" s="71"/>
      <c r="V43" s="69"/>
      <c r="W43" s="70"/>
      <c r="X43" s="71"/>
      <c r="Y43" s="69"/>
      <c r="Z43" s="70"/>
      <c r="AA43" s="71"/>
      <c r="AB43" s="69"/>
      <c r="AC43" s="70"/>
      <c r="AD43" s="71"/>
      <c r="AE43" s="69"/>
      <c r="AF43" s="70"/>
      <c r="AG43" s="71"/>
      <c r="AH43" s="72" t="str">
        <f>IF(B43="","",IF(COUNT(D43:F43)=0,"Incomplete",IF(COUNT(G43:I43)=0,"Incomplete",IF(COUNT(J43:L43)=0,"Incomplete",IF(COUNT(M43:O43)=0,"Incomplete",IF(COUNT(P43:R43)=0,"Incomplete",IF(COUNT(S43:U43)=0,"Incomplete",IF(COUNT(V43:X43)=0,"Incomplete",IF(COUNT(Y43:AA43)=0,"Incomplete",IF(COUNT(AB43:AD43)=0,"Incomplete",IF(COUNT(AE43:AG43)=0,"Incomplete",AVERAGEIF(D43:F43,"&gt;=0")+AVERAGEIF(G43:I43,"&gt;=0")+AVERAGEIF(J43:L43,"&gt;=0")+AVERAGEIF(M43:O43,"&gt;=0")+AVERAGEIF(P43:R43,"&gt;=0")+AVERAGEIF(S43:U43,"&gt;=0")+AVERAGEIF(V43:X43,"&gt;=0")+AVERAGEIF(Y43:AA43,"&gt;=0")+AVERAGEIF(AB43:AD43,"&gt;=0")+AVERAGEIF(AE43:AG43,"&gt;=0"))))))))))))</f>
        <v/>
      </c>
    </row>
    <row r="44" spans="1:34" ht="15.95" customHeight="1">
      <c r="A44" s="46">
        <v>2</v>
      </c>
      <c r="B44" s="63" t="str">
        <f>IF('(4).Midterm Results'!B44="","",'(4).Midterm Results'!B44)</f>
        <v/>
      </c>
      <c r="C44" s="62" t="str">
        <f>IF('(4).Midterm Results'!C44="","",'(4).Midterm Results'!C44)</f>
        <v/>
      </c>
      <c r="D44" s="47"/>
      <c r="E44" s="48"/>
      <c r="F44" s="49"/>
      <c r="G44" s="47"/>
      <c r="H44" s="48"/>
      <c r="I44" s="49"/>
      <c r="J44" s="47"/>
      <c r="K44" s="48"/>
      <c r="L44" s="49"/>
      <c r="M44" s="47"/>
      <c r="N44" s="48"/>
      <c r="O44" s="49"/>
      <c r="P44" s="47"/>
      <c r="Q44" s="48"/>
      <c r="R44" s="49"/>
      <c r="S44" s="47"/>
      <c r="T44" s="48"/>
      <c r="U44" s="49"/>
      <c r="V44" s="47"/>
      <c r="W44" s="48"/>
      <c r="X44" s="49"/>
      <c r="Y44" s="47"/>
      <c r="Z44" s="48"/>
      <c r="AA44" s="49"/>
      <c r="AB44" s="47"/>
      <c r="AC44" s="48"/>
      <c r="AD44" s="49"/>
      <c r="AE44" s="47"/>
      <c r="AF44" s="48"/>
      <c r="AG44" s="49"/>
      <c r="AH44" s="50" t="str">
        <f t="shared" ref="AH44:AH72" si="1">IF(B44="","",IF(COUNT(D44:F44)=0,"Incomplete",IF(COUNT(G44:I44)=0,"Incomplete",IF(COUNT(J44:L44)=0,"Incomplete",IF(COUNT(M44:O44)=0,"Incomplete",IF(COUNT(P44:R44)=0,"Incomplete",IF(COUNT(S44:U44)=0,"Incomplete",IF(COUNT(V44:X44)=0,"Incomplete",IF(COUNT(Y44:AA44)=0,"Incomplete",IF(COUNT(AB44:AD44)=0,"Incomplete",IF(COUNT(AE44:AG44)=0,"Incomplete",AVERAGEIF(D44:F44,"&gt;=0")+AVERAGEIF(G44:I44,"&gt;=0")+AVERAGEIF(J44:L44,"&gt;=0")+AVERAGEIF(M44:O44,"&gt;=0")+AVERAGEIF(P44:R44,"&gt;=0")+AVERAGEIF(S44:U44,"&gt;=0")+AVERAGEIF(V44:X44,"&gt;=0")+AVERAGEIF(Y44:AA44,"&gt;=0")+AVERAGEIF(AB44:AD44,"&gt;=0")+AVERAGEIF(AE44:AG44,"&gt;=0"))))))))))))</f>
        <v/>
      </c>
    </row>
    <row r="45" spans="1:34" ht="15.95" customHeight="1">
      <c r="A45" s="46">
        <v>3</v>
      </c>
      <c r="B45" s="63" t="str">
        <f>IF('(4).Midterm Results'!B45="","",'(4).Midterm Results'!B45)</f>
        <v/>
      </c>
      <c r="C45" s="62" t="str">
        <f>IF('(4).Midterm Results'!C45="","",'(4).Midterm Results'!C45)</f>
        <v/>
      </c>
      <c r="D45" s="47"/>
      <c r="E45" s="48"/>
      <c r="F45" s="49"/>
      <c r="G45" s="47"/>
      <c r="H45" s="48"/>
      <c r="I45" s="49"/>
      <c r="J45" s="47"/>
      <c r="K45" s="48"/>
      <c r="L45" s="49"/>
      <c r="M45" s="47"/>
      <c r="N45" s="48"/>
      <c r="O45" s="49"/>
      <c r="P45" s="47"/>
      <c r="Q45" s="48"/>
      <c r="R45" s="49"/>
      <c r="S45" s="47"/>
      <c r="T45" s="48"/>
      <c r="U45" s="49"/>
      <c r="V45" s="47"/>
      <c r="W45" s="48"/>
      <c r="X45" s="49"/>
      <c r="Y45" s="47"/>
      <c r="Z45" s="48"/>
      <c r="AA45" s="49"/>
      <c r="AB45" s="47"/>
      <c r="AC45" s="48"/>
      <c r="AD45" s="49"/>
      <c r="AE45" s="47"/>
      <c r="AF45" s="48"/>
      <c r="AG45" s="49"/>
      <c r="AH45" s="50" t="str">
        <f t="shared" si="1"/>
        <v/>
      </c>
    </row>
    <row r="46" spans="1:34" ht="15.95" customHeight="1">
      <c r="A46" s="46">
        <v>4</v>
      </c>
      <c r="B46" s="63" t="str">
        <f>IF('(4).Midterm Results'!B46="","",'(4).Midterm Results'!B46)</f>
        <v/>
      </c>
      <c r="C46" s="62" t="str">
        <f>IF('(4).Midterm Results'!C46="","",'(4).Midterm Results'!C46)</f>
        <v/>
      </c>
      <c r="D46" s="47"/>
      <c r="E46" s="48"/>
      <c r="F46" s="49"/>
      <c r="G46" s="47"/>
      <c r="H46" s="48"/>
      <c r="I46" s="49"/>
      <c r="J46" s="47"/>
      <c r="K46" s="48"/>
      <c r="L46" s="49"/>
      <c r="M46" s="47"/>
      <c r="N46" s="48"/>
      <c r="O46" s="49"/>
      <c r="P46" s="47"/>
      <c r="Q46" s="48"/>
      <c r="R46" s="49"/>
      <c r="S46" s="47"/>
      <c r="T46" s="48"/>
      <c r="U46" s="49"/>
      <c r="V46" s="47"/>
      <c r="W46" s="48"/>
      <c r="X46" s="49"/>
      <c r="Y46" s="47"/>
      <c r="Z46" s="48"/>
      <c r="AA46" s="49"/>
      <c r="AB46" s="47"/>
      <c r="AC46" s="48"/>
      <c r="AD46" s="49"/>
      <c r="AE46" s="47"/>
      <c r="AF46" s="48"/>
      <c r="AG46" s="49"/>
      <c r="AH46" s="50" t="str">
        <f t="shared" si="1"/>
        <v/>
      </c>
    </row>
    <row r="47" spans="1:34" ht="15.95" customHeight="1">
      <c r="A47" s="46">
        <v>5</v>
      </c>
      <c r="B47" s="63" t="str">
        <f>IF('(4).Midterm Results'!B47="","",'(4).Midterm Results'!B47)</f>
        <v/>
      </c>
      <c r="C47" s="62" t="str">
        <f>IF('(4).Midterm Results'!C47="","",'(4).Midterm Results'!C47)</f>
        <v/>
      </c>
      <c r="D47" s="47"/>
      <c r="E47" s="48"/>
      <c r="F47" s="49"/>
      <c r="G47" s="47"/>
      <c r="H47" s="48"/>
      <c r="I47" s="49"/>
      <c r="J47" s="47"/>
      <c r="K47" s="48"/>
      <c r="L47" s="49"/>
      <c r="M47" s="47"/>
      <c r="N47" s="48"/>
      <c r="O47" s="49"/>
      <c r="P47" s="47"/>
      <c r="Q47" s="48"/>
      <c r="R47" s="49"/>
      <c r="S47" s="47"/>
      <c r="T47" s="48"/>
      <c r="U47" s="49"/>
      <c r="V47" s="47"/>
      <c r="W47" s="48"/>
      <c r="X47" s="49"/>
      <c r="Y47" s="47"/>
      <c r="Z47" s="48"/>
      <c r="AA47" s="49"/>
      <c r="AB47" s="47"/>
      <c r="AC47" s="48"/>
      <c r="AD47" s="49"/>
      <c r="AE47" s="47"/>
      <c r="AF47" s="48"/>
      <c r="AG47" s="49"/>
      <c r="AH47" s="50" t="str">
        <f t="shared" si="1"/>
        <v/>
      </c>
    </row>
    <row r="48" spans="1:34" ht="15.95" customHeight="1">
      <c r="A48" s="46">
        <v>6</v>
      </c>
      <c r="B48" s="63" t="str">
        <f>IF('(4).Midterm Results'!B48="","",'(4).Midterm Results'!B48)</f>
        <v/>
      </c>
      <c r="C48" s="62" t="str">
        <f>IF('(4).Midterm Results'!C48="","",'(4).Midterm Results'!C48)</f>
        <v/>
      </c>
      <c r="D48" s="47"/>
      <c r="E48" s="48"/>
      <c r="F48" s="49"/>
      <c r="G48" s="47"/>
      <c r="H48" s="48"/>
      <c r="I48" s="49"/>
      <c r="J48" s="47"/>
      <c r="K48" s="48"/>
      <c r="L48" s="49"/>
      <c r="M48" s="47"/>
      <c r="N48" s="48"/>
      <c r="O48" s="49"/>
      <c r="P48" s="47"/>
      <c r="Q48" s="48"/>
      <c r="R48" s="49"/>
      <c r="S48" s="47"/>
      <c r="T48" s="48"/>
      <c r="U48" s="49"/>
      <c r="V48" s="47"/>
      <c r="W48" s="48"/>
      <c r="X48" s="49"/>
      <c r="Y48" s="47"/>
      <c r="Z48" s="48"/>
      <c r="AA48" s="49"/>
      <c r="AB48" s="47"/>
      <c r="AC48" s="48"/>
      <c r="AD48" s="49"/>
      <c r="AE48" s="47"/>
      <c r="AF48" s="48"/>
      <c r="AG48" s="49"/>
      <c r="AH48" s="50" t="str">
        <f t="shared" si="1"/>
        <v/>
      </c>
    </row>
    <row r="49" spans="1:34" ht="15.95" customHeight="1">
      <c r="A49" s="46">
        <v>7</v>
      </c>
      <c r="B49" s="63" t="str">
        <f>IF('(4).Midterm Results'!B49="","",'(4).Midterm Results'!B49)</f>
        <v/>
      </c>
      <c r="C49" s="62" t="str">
        <f>IF('(4).Midterm Results'!C49="","",'(4).Midterm Results'!C49)</f>
        <v/>
      </c>
      <c r="D49" s="47"/>
      <c r="E49" s="48"/>
      <c r="F49" s="49"/>
      <c r="G49" s="47"/>
      <c r="H49" s="48"/>
      <c r="I49" s="49"/>
      <c r="J49" s="47"/>
      <c r="K49" s="48"/>
      <c r="L49" s="49"/>
      <c r="M49" s="47"/>
      <c r="N49" s="48"/>
      <c r="O49" s="49"/>
      <c r="P49" s="47"/>
      <c r="Q49" s="48"/>
      <c r="R49" s="49"/>
      <c r="S49" s="47"/>
      <c r="T49" s="48"/>
      <c r="U49" s="49"/>
      <c r="V49" s="47"/>
      <c r="W49" s="48"/>
      <c r="X49" s="49"/>
      <c r="Y49" s="47"/>
      <c r="Z49" s="48"/>
      <c r="AA49" s="49"/>
      <c r="AB49" s="47"/>
      <c r="AC49" s="48"/>
      <c r="AD49" s="49"/>
      <c r="AE49" s="47"/>
      <c r="AF49" s="48"/>
      <c r="AG49" s="49"/>
      <c r="AH49" s="50" t="str">
        <f t="shared" si="1"/>
        <v/>
      </c>
    </row>
    <row r="50" spans="1:34" ht="15.95" customHeight="1">
      <c r="A50" s="46">
        <v>8</v>
      </c>
      <c r="B50" s="63" t="str">
        <f>IF('(4).Midterm Results'!B50="","",'(4).Midterm Results'!B50)</f>
        <v/>
      </c>
      <c r="C50" s="62" t="str">
        <f>IF('(4).Midterm Results'!C50="","",'(4).Midterm Results'!C50)</f>
        <v/>
      </c>
      <c r="D50" s="47"/>
      <c r="E50" s="48"/>
      <c r="F50" s="49"/>
      <c r="G50" s="47"/>
      <c r="H50" s="48"/>
      <c r="I50" s="49"/>
      <c r="J50" s="47"/>
      <c r="K50" s="48"/>
      <c r="L50" s="49"/>
      <c r="M50" s="47"/>
      <c r="N50" s="48"/>
      <c r="O50" s="49"/>
      <c r="P50" s="47"/>
      <c r="Q50" s="48"/>
      <c r="R50" s="49"/>
      <c r="S50" s="47"/>
      <c r="T50" s="48"/>
      <c r="U50" s="49"/>
      <c r="V50" s="47"/>
      <c r="W50" s="48"/>
      <c r="X50" s="49"/>
      <c r="Y50" s="47"/>
      <c r="Z50" s="48"/>
      <c r="AA50" s="49"/>
      <c r="AB50" s="47"/>
      <c r="AC50" s="48"/>
      <c r="AD50" s="49"/>
      <c r="AE50" s="47"/>
      <c r="AF50" s="48"/>
      <c r="AG50" s="49"/>
      <c r="AH50" s="50" t="str">
        <f t="shared" si="1"/>
        <v/>
      </c>
    </row>
    <row r="51" spans="1:34" ht="15.95" customHeight="1">
      <c r="A51" s="46">
        <v>9</v>
      </c>
      <c r="B51" s="63" t="str">
        <f>IF('(4).Midterm Results'!B51="","",'(4).Midterm Results'!B51)</f>
        <v/>
      </c>
      <c r="C51" s="62" t="str">
        <f>IF('(4).Midterm Results'!C51="","",'(4).Midterm Results'!C51)</f>
        <v/>
      </c>
      <c r="D51" s="47"/>
      <c r="E51" s="48"/>
      <c r="F51" s="49"/>
      <c r="G51" s="47"/>
      <c r="H51" s="48"/>
      <c r="I51" s="49"/>
      <c r="J51" s="47"/>
      <c r="K51" s="48"/>
      <c r="L51" s="49"/>
      <c r="M51" s="47"/>
      <c r="N51" s="48"/>
      <c r="O51" s="49"/>
      <c r="P51" s="47"/>
      <c r="Q51" s="48"/>
      <c r="R51" s="49"/>
      <c r="S51" s="47"/>
      <c r="T51" s="48"/>
      <c r="U51" s="49"/>
      <c r="V51" s="47"/>
      <c r="W51" s="48"/>
      <c r="X51" s="49"/>
      <c r="Y51" s="47"/>
      <c r="Z51" s="48"/>
      <c r="AA51" s="49"/>
      <c r="AB51" s="47"/>
      <c r="AC51" s="48"/>
      <c r="AD51" s="49"/>
      <c r="AE51" s="47"/>
      <c r="AF51" s="48"/>
      <c r="AG51" s="49"/>
      <c r="AH51" s="50" t="str">
        <f t="shared" si="1"/>
        <v/>
      </c>
    </row>
    <row r="52" spans="1:34" ht="15.95" customHeight="1">
      <c r="A52" s="46">
        <v>10</v>
      </c>
      <c r="B52" s="63" t="str">
        <f>IF('(4).Midterm Results'!B52="","",'(4).Midterm Results'!B52)</f>
        <v/>
      </c>
      <c r="C52" s="62" t="str">
        <f>IF('(4).Midterm Results'!C52="","",'(4).Midterm Results'!C52)</f>
        <v/>
      </c>
      <c r="D52" s="47"/>
      <c r="E52" s="48"/>
      <c r="F52" s="49"/>
      <c r="G52" s="47"/>
      <c r="H52" s="48"/>
      <c r="I52" s="49"/>
      <c r="J52" s="47"/>
      <c r="K52" s="48"/>
      <c r="L52" s="49"/>
      <c r="M52" s="47"/>
      <c r="N52" s="48"/>
      <c r="O52" s="49"/>
      <c r="P52" s="47"/>
      <c r="Q52" s="48"/>
      <c r="R52" s="49"/>
      <c r="S52" s="47"/>
      <c r="T52" s="48"/>
      <c r="U52" s="49"/>
      <c r="V52" s="47"/>
      <c r="W52" s="48"/>
      <c r="X52" s="49"/>
      <c r="Y52" s="47"/>
      <c r="Z52" s="48"/>
      <c r="AA52" s="49"/>
      <c r="AB52" s="47"/>
      <c r="AC52" s="48"/>
      <c r="AD52" s="49"/>
      <c r="AE52" s="47"/>
      <c r="AF52" s="48"/>
      <c r="AG52" s="49"/>
      <c r="AH52" s="50" t="str">
        <f t="shared" si="1"/>
        <v/>
      </c>
    </row>
    <row r="53" spans="1:34" ht="15.95" customHeight="1">
      <c r="A53" s="46">
        <v>11</v>
      </c>
      <c r="B53" s="63" t="str">
        <f>IF('(4).Midterm Results'!B53="","",'(4).Midterm Results'!B53)</f>
        <v/>
      </c>
      <c r="C53" s="62" t="str">
        <f>IF('(4).Midterm Results'!C53="","",'(4).Midterm Results'!C53)</f>
        <v/>
      </c>
      <c r="D53" s="47"/>
      <c r="E53" s="48"/>
      <c r="F53" s="49"/>
      <c r="G53" s="47"/>
      <c r="H53" s="48"/>
      <c r="I53" s="49"/>
      <c r="J53" s="47"/>
      <c r="K53" s="48"/>
      <c r="L53" s="49"/>
      <c r="M53" s="47"/>
      <c r="N53" s="48"/>
      <c r="O53" s="49"/>
      <c r="P53" s="47"/>
      <c r="Q53" s="48"/>
      <c r="R53" s="49"/>
      <c r="S53" s="47"/>
      <c r="T53" s="48"/>
      <c r="U53" s="49"/>
      <c r="V53" s="47"/>
      <c r="W53" s="48"/>
      <c r="X53" s="49"/>
      <c r="Y53" s="47"/>
      <c r="Z53" s="48"/>
      <c r="AA53" s="49"/>
      <c r="AB53" s="47"/>
      <c r="AC53" s="48"/>
      <c r="AD53" s="49"/>
      <c r="AE53" s="47"/>
      <c r="AF53" s="48"/>
      <c r="AG53" s="49"/>
      <c r="AH53" s="50" t="str">
        <f t="shared" si="1"/>
        <v/>
      </c>
    </row>
    <row r="54" spans="1:34" ht="15.95" customHeight="1">
      <c r="A54" s="46">
        <v>12</v>
      </c>
      <c r="B54" s="63" t="str">
        <f>IF('(4).Midterm Results'!B54="","",'(4).Midterm Results'!B54)</f>
        <v/>
      </c>
      <c r="C54" s="62" t="str">
        <f>IF('(4).Midterm Results'!C54="","",'(4).Midterm Results'!C54)</f>
        <v/>
      </c>
      <c r="D54" s="47"/>
      <c r="E54" s="48"/>
      <c r="F54" s="49"/>
      <c r="G54" s="47"/>
      <c r="H54" s="48"/>
      <c r="I54" s="49"/>
      <c r="J54" s="47"/>
      <c r="K54" s="48"/>
      <c r="L54" s="49"/>
      <c r="M54" s="47"/>
      <c r="N54" s="48"/>
      <c r="O54" s="49"/>
      <c r="P54" s="47"/>
      <c r="Q54" s="48"/>
      <c r="R54" s="49"/>
      <c r="S54" s="47"/>
      <c r="T54" s="48"/>
      <c r="U54" s="49"/>
      <c r="V54" s="47"/>
      <c r="W54" s="48"/>
      <c r="X54" s="49"/>
      <c r="Y54" s="47"/>
      <c r="Z54" s="48"/>
      <c r="AA54" s="49"/>
      <c r="AB54" s="47"/>
      <c r="AC54" s="48"/>
      <c r="AD54" s="49"/>
      <c r="AE54" s="47"/>
      <c r="AF54" s="48"/>
      <c r="AG54" s="49"/>
      <c r="AH54" s="50" t="str">
        <f t="shared" si="1"/>
        <v/>
      </c>
    </row>
    <row r="55" spans="1:34" ht="15.95" customHeight="1">
      <c r="A55" s="46">
        <v>13</v>
      </c>
      <c r="B55" s="63" t="str">
        <f>IF('(4).Midterm Results'!B55="","",'(4).Midterm Results'!B55)</f>
        <v/>
      </c>
      <c r="C55" s="62" t="str">
        <f>IF('(4).Midterm Results'!C55="","",'(4).Midterm Results'!C55)</f>
        <v/>
      </c>
      <c r="D55" s="47"/>
      <c r="E55" s="48"/>
      <c r="F55" s="49"/>
      <c r="G55" s="47"/>
      <c r="H55" s="48"/>
      <c r="I55" s="49"/>
      <c r="J55" s="47"/>
      <c r="K55" s="48"/>
      <c r="L55" s="49"/>
      <c r="M55" s="47"/>
      <c r="N55" s="48"/>
      <c r="O55" s="49"/>
      <c r="P55" s="47"/>
      <c r="Q55" s="48"/>
      <c r="R55" s="49"/>
      <c r="S55" s="47"/>
      <c r="T55" s="48"/>
      <c r="U55" s="49"/>
      <c r="V55" s="47"/>
      <c r="W55" s="48"/>
      <c r="X55" s="49"/>
      <c r="Y55" s="47"/>
      <c r="Z55" s="48"/>
      <c r="AA55" s="49"/>
      <c r="AB55" s="47"/>
      <c r="AC55" s="48"/>
      <c r="AD55" s="49"/>
      <c r="AE55" s="47"/>
      <c r="AF55" s="48"/>
      <c r="AG55" s="49"/>
      <c r="AH55" s="50" t="str">
        <f t="shared" si="1"/>
        <v/>
      </c>
    </row>
    <row r="56" spans="1:34" ht="15.95" customHeight="1">
      <c r="A56" s="46">
        <v>14</v>
      </c>
      <c r="B56" s="63" t="str">
        <f>IF('(4).Midterm Results'!B56="","",'(4).Midterm Results'!B56)</f>
        <v/>
      </c>
      <c r="C56" s="62" t="str">
        <f>IF('(4).Midterm Results'!C56="","",'(4).Midterm Results'!C56)</f>
        <v/>
      </c>
      <c r="D56" s="47"/>
      <c r="E56" s="48"/>
      <c r="F56" s="49"/>
      <c r="G56" s="47"/>
      <c r="H56" s="48"/>
      <c r="I56" s="49"/>
      <c r="J56" s="47"/>
      <c r="K56" s="48"/>
      <c r="L56" s="49"/>
      <c r="M56" s="47"/>
      <c r="N56" s="48"/>
      <c r="O56" s="49"/>
      <c r="P56" s="47"/>
      <c r="Q56" s="48"/>
      <c r="R56" s="49"/>
      <c r="S56" s="47"/>
      <c r="T56" s="48"/>
      <c r="U56" s="49"/>
      <c r="V56" s="47"/>
      <c r="W56" s="48"/>
      <c r="X56" s="49"/>
      <c r="Y56" s="47"/>
      <c r="Z56" s="48"/>
      <c r="AA56" s="49"/>
      <c r="AB56" s="47"/>
      <c r="AC56" s="48"/>
      <c r="AD56" s="49"/>
      <c r="AE56" s="47"/>
      <c r="AF56" s="48"/>
      <c r="AG56" s="49"/>
      <c r="AH56" s="50" t="str">
        <f t="shared" si="1"/>
        <v/>
      </c>
    </row>
    <row r="57" spans="1:34" ht="15.95" customHeight="1">
      <c r="A57" s="46">
        <v>15</v>
      </c>
      <c r="B57" s="63" t="str">
        <f>IF('(4).Midterm Results'!B57="","",'(4).Midterm Results'!B57)</f>
        <v/>
      </c>
      <c r="C57" s="62" t="str">
        <f>IF('(4).Midterm Results'!C57="","",'(4).Midterm Results'!C57)</f>
        <v/>
      </c>
      <c r="D57" s="47"/>
      <c r="E57" s="48"/>
      <c r="F57" s="49"/>
      <c r="G57" s="47"/>
      <c r="H57" s="48"/>
      <c r="I57" s="49"/>
      <c r="J57" s="47"/>
      <c r="K57" s="48"/>
      <c r="L57" s="49"/>
      <c r="M57" s="47"/>
      <c r="N57" s="48"/>
      <c r="O57" s="49"/>
      <c r="P57" s="47"/>
      <c r="Q57" s="48"/>
      <c r="R57" s="49"/>
      <c r="S57" s="47"/>
      <c r="T57" s="48"/>
      <c r="U57" s="49"/>
      <c r="V57" s="47"/>
      <c r="W57" s="48"/>
      <c r="X57" s="49"/>
      <c r="Y57" s="47"/>
      <c r="Z57" s="48"/>
      <c r="AA57" s="49"/>
      <c r="AB57" s="47"/>
      <c r="AC57" s="48"/>
      <c r="AD57" s="49"/>
      <c r="AE57" s="47"/>
      <c r="AF57" s="48"/>
      <c r="AG57" s="49"/>
      <c r="AH57" s="50" t="str">
        <f t="shared" si="1"/>
        <v/>
      </c>
    </row>
    <row r="58" spans="1:34" ht="15.95" customHeight="1">
      <c r="A58" s="46">
        <v>16</v>
      </c>
      <c r="B58" s="63" t="str">
        <f>IF('(4).Midterm Results'!B58="","",'(4).Midterm Results'!B58)</f>
        <v/>
      </c>
      <c r="C58" s="62" t="str">
        <f>IF('(4).Midterm Results'!C58="","",'(4).Midterm Results'!C58)</f>
        <v/>
      </c>
      <c r="D58" s="47"/>
      <c r="E58" s="48"/>
      <c r="F58" s="49"/>
      <c r="G58" s="47"/>
      <c r="H58" s="48"/>
      <c r="I58" s="49"/>
      <c r="J58" s="47"/>
      <c r="K58" s="48"/>
      <c r="L58" s="49"/>
      <c r="M58" s="47"/>
      <c r="N58" s="48"/>
      <c r="O58" s="49"/>
      <c r="P58" s="47"/>
      <c r="Q58" s="48"/>
      <c r="R58" s="49"/>
      <c r="S58" s="47"/>
      <c r="T58" s="48"/>
      <c r="U58" s="49"/>
      <c r="V58" s="47"/>
      <c r="W58" s="48"/>
      <c r="X58" s="49"/>
      <c r="Y58" s="47"/>
      <c r="Z58" s="48"/>
      <c r="AA58" s="49"/>
      <c r="AB58" s="47"/>
      <c r="AC58" s="48"/>
      <c r="AD58" s="49"/>
      <c r="AE58" s="47"/>
      <c r="AF58" s="48"/>
      <c r="AG58" s="49"/>
      <c r="AH58" s="50" t="str">
        <f t="shared" si="1"/>
        <v/>
      </c>
    </row>
    <row r="59" spans="1:34" ht="15.95" customHeight="1">
      <c r="A59" s="46">
        <v>17</v>
      </c>
      <c r="B59" s="63" t="str">
        <f>IF('(4).Midterm Results'!B59="","",'(4).Midterm Results'!B59)</f>
        <v/>
      </c>
      <c r="C59" s="62" t="str">
        <f>IF('(4).Midterm Results'!C59="","",'(4).Midterm Results'!C59)</f>
        <v/>
      </c>
      <c r="D59" s="47"/>
      <c r="E59" s="48"/>
      <c r="F59" s="49"/>
      <c r="G59" s="47"/>
      <c r="H59" s="48"/>
      <c r="I59" s="49"/>
      <c r="J59" s="47"/>
      <c r="K59" s="48"/>
      <c r="L59" s="49"/>
      <c r="M59" s="47"/>
      <c r="N59" s="48"/>
      <c r="O59" s="49"/>
      <c r="P59" s="47"/>
      <c r="Q59" s="48"/>
      <c r="R59" s="49"/>
      <c r="S59" s="47"/>
      <c r="T59" s="48"/>
      <c r="U59" s="49"/>
      <c r="V59" s="47"/>
      <c r="W59" s="48"/>
      <c r="X59" s="49"/>
      <c r="Y59" s="47"/>
      <c r="Z59" s="48"/>
      <c r="AA59" s="49"/>
      <c r="AB59" s="47"/>
      <c r="AC59" s="48"/>
      <c r="AD59" s="49"/>
      <c r="AE59" s="47"/>
      <c r="AF59" s="48"/>
      <c r="AG59" s="49"/>
      <c r="AH59" s="50" t="str">
        <f t="shared" si="1"/>
        <v/>
      </c>
    </row>
    <row r="60" spans="1:34" ht="15.95" customHeight="1">
      <c r="A60" s="46">
        <v>18</v>
      </c>
      <c r="B60" s="63" t="str">
        <f>IF('(4).Midterm Results'!B60="","",'(4).Midterm Results'!B60)</f>
        <v/>
      </c>
      <c r="C60" s="62" t="str">
        <f>IF('(4).Midterm Results'!C60="","",'(4).Midterm Results'!C60)</f>
        <v/>
      </c>
      <c r="D60" s="47"/>
      <c r="E60" s="48"/>
      <c r="F60" s="49"/>
      <c r="G60" s="47"/>
      <c r="H60" s="48"/>
      <c r="I60" s="49"/>
      <c r="J60" s="47"/>
      <c r="K60" s="48"/>
      <c r="L60" s="49"/>
      <c r="M60" s="47"/>
      <c r="N60" s="48"/>
      <c r="O60" s="49"/>
      <c r="P60" s="47"/>
      <c r="Q60" s="48"/>
      <c r="R60" s="49"/>
      <c r="S60" s="47"/>
      <c r="T60" s="48"/>
      <c r="U60" s="49"/>
      <c r="V60" s="47"/>
      <c r="W60" s="48"/>
      <c r="X60" s="49"/>
      <c r="Y60" s="47"/>
      <c r="Z60" s="48"/>
      <c r="AA60" s="49"/>
      <c r="AB60" s="47"/>
      <c r="AC60" s="48"/>
      <c r="AD60" s="49"/>
      <c r="AE60" s="47"/>
      <c r="AF60" s="48"/>
      <c r="AG60" s="49"/>
      <c r="AH60" s="50" t="str">
        <f t="shared" si="1"/>
        <v/>
      </c>
    </row>
    <row r="61" spans="1:34" ht="15.95" customHeight="1">
      <c r="A61" s="46">
        <v>19</v>
      </c>
      <c r="B61" s="63" t="str">
        <f>IF('(4).Midterm Results'!B61="","",'(4).Midterm Results'!B61)</f>
        <v/>
      </c>
      <c r="C61" s="62" t="str">
        <f>IF('(4).Midterm Results'!C61="","",'(4).Midterm Results'!C61)</f>
        <v/>
      </c>
      <c r="D61" s="47"/>
      <c r="E61" s="48"/>
      <c r="F61" s="49"/>
      <c r="G61" s="47"/>
      <c r="H61" s="48"/>
      <c r="I61" s="49"/>
      <c r="J61" s="47"/>
      <c r="K61" s="48"/>
      <c r="L61" s="49"/>
      <c r="M61" s="47"/>
      <c r="N61" s="48"/>
      <c r="O61" s="49"/>
      <c r="P61" s="47"/>
      <c r="Q61" s="48"/>
      <c r="R61" s="49"/>
      <c r="S61" s="47"/>
      <c r="T61" s="48"/>
      <c r="U61" s="49"/>
      <c r="V61" s="47"/>
      <c r="W61" s="48"/>
      <c r="X61" s="49"/>
      <c r="Y61" s="47"/>
      <c r="Z61" s="48"/>
      <c r="AA61" s="49"/>
      <c r="AB61" s="47"/>
      <c r="AC61" s="48"/>
      <c r="AD61" s="49"/>
      <c r="AE61" s="47"/>
      <c r="AF61" s="48"/>
      <c r="AG61" s="49"/>
      <c r="AH61" s="50" t="str">
        <f t="shared" si="1"/>
        <v/>
      </c>
    </row>
    <row r="62" spans="1:34" ht="15.95" customHeight="1">
      <c r="A62" s="46">
        <v>20</v>
      </c>
      <c r="B62" s="63" t="str">
        <f>IF('(4).Midterm Results'!B62="","",'(4).Midterm Results'!B62)</f>
        <v/>
      </c>
      <c r="C62" s="62" t="str">
        <f>IF('(4).Midterm Results'!C62="","",'(4).Midterm Results'!C62)</f>
        <v/>
      </c>
      <c r="D62" s="47"/>
      <c r="E62" s="48"/>
      <c r="F62" s="49"/>
      <c r="G62" s="47"/>
      <c r="H62" s="48"/>
      <c r="I62" s="49"/>
      <c r="J62" s="47"/>
      <c r="K62" s="48"/>
      <c r="L62" s="49"/>
      <c r="M62" s="47"/>
      <c r="N62" s="48"/>
      <c r="O62" s="49"/>
      <c r="P62" s="47"/>
      <c r="Q62" s="48"/>
      <c r="R62" s="49"/>
      <c r="S62" s="47"/>
      <c r="T62" s="48"/>
      <c r="U62" s="49"/>
      <c r="V62" s="47"/>
      <c r="W62" s="48"/>
      <c r="X62" s="49"/>
      <c r="Y62" s="47"/>
      <c r="Z62" s="48"/>
      <c r="AA62" s="49"/>
      <c r="AB62" s="47"/>
      <c r="AC62" s="48"/>
      <c r="AD62" s="49"/>
      <c r="AE62" s="47"/>
      <c r="AF62" s="48"/>
      <c r="AG62" s="49"/>
      <c r="AH62" s="50" t="str">
        <f t="shared" si="1"/>
        <v/>
      </c>
    </row>
    <row r="63" spans="1:34" ht="15.95" customHeight="1">
      <c r="A63" s="46">
        <v>21</v>
      </c>
      <c r="B63" s="63" t="str">
        <f>IF('(4).Midterm Results'!B63="","",'(4).Midterm Results'!B63)</f>
        <v/>
      </c>
      <c r="C63" s="62" t="str">
        <f>IF('(4).Midterm Results'!C63="","",'(4).Midterm Results'!C63)</f>
        <v/>
      </c>
      <c r="D63" s="47"/>
      <c r="E63" s="48"/>
      <c r="F63" s="49"/>
      <c r="G63" s="47"/>
      <c r="H63" s="48"/>
      <c r="I63" s="49"/>
      <c r="J63" s="47"/>
      <c r="K63" s="48"/>
      <c r="L63" s="49"/>
      <c r="M63" s="47"/>
      <c r="N63" s="48"/>
      <c r="O63" s="49"/>
      <c r="P63" s="47"/>
      <c r="Q63" s="48"/>
      <c r="R63" s="49"/>
      <c r="S63" s="47"/>
      <c r="T63" s="48"/>
      <c r="U63" s="49"/>
      <c r="V63" s="47"/>
      <c r="W63" s="48"/>
      <c r="X63" s="49"/>
      <c r="Y63" s="47"/>
      <c r="Z63" s="48"/>
      <c r="AA63" s="49"/>
      <c r="AB63" s="47"/>
      <c r="AC63" s="48"/>
      <c r="AD63" s="49"/>
      <c r="AE63" s="47"/>
      <c r="AF63" s="48"/>
      <c r="AG63" s="49"/>
      <c r="AH63" s="50" t="str">
        <f t="shared" si="1"/>
        <v/>
      </c>
    </row>
    <row r="64" spans="1:34" ht="15.95" customHeight="1">
      <c r="A64" s="46">
        <v>22</v>
      </c>
      <c r="B64" s="63" t="str">
        <f>IF('(4).Midterm Results'!B64="","",'(4).Midterm Results'!B64)</f>
        <v/>
      </c>
      <c r="C64" s="62" t="str">
        <f>IF('(4).Midterm Results'!C64="","",'(4).Midterm Results'!C64)</f>
        <v/>
      </c>
      <c r="D64" s="47"/>
      <c r="E64" s="48"/>
      <c r="F64" s="49"/>
      <c r="G64" s="47"/>
      <c r="H64" s="48"/>
      <c r="I64" s="49"/>
      <c r="J64" s="47"/>
      <c r="K64" s="48"/>
      <c r="L64" s="49"/>
      <c r="M64" s="47"/>
      <c r="N64" s="48"/>
      <c r="O64" s="49"/>
      <c r="P64" s="47"/>
      <c r="Q64" s="48"/>
      <c r="R64" s="49"/>
      <c r="S64" s="47"/>
      <c r="T64" s="48"/>
      <c r="U64" s="49"/>
      <c r="V64" s="47"/>
      <c r="W64" s="48"/>
      <c r="X64" s="49"/>
      <c r="Y64" s="47"/>
      <c r="Z64" s="48"/>
      <c r="AA64" s="49"/>
      <c r="AB64" s="47"/>
      <c r="AC64" s="48"/>
      <c r="AD64" s="49"/>
      <c r="AE64" s="47"/>
      <c r="AF64" s="48"/>
      <c r="AG64" s="49"/>
      <c r="AH64" s="50" t="str">
        <f t="shared" si="1"/>
        <v/>
      </c>
    </row>
    <row r="65" spans="1:34" ht="15.95" customHeight="1">
      <c r="A65" s="46">
        <v>23</v>
      </c>
      <c r="B65" s="63" t="str">
        <f>IF('(4).Midterm Results'!B65="","",'(4).Midterm Results'!B65)</f>
        <v/>
      </c>
      <c r="C65" s="62" t="str">
        <f>IF('(4).Midterm Results'!C65="","",'(4).Midterm Results'!C65)</f>
        <v/>
      </c>
      <c r="D65" s="47"/>
      <c r="E65" s="48"/>
      <c r="F65" s="49"/>
      <c r="G65" s="47"/>
      <c r="H65" s="48"/>
      <c r="I65" s="49"/>
      <c r="J65" s="47"/>
      <c r="K65" s="48"/>
      <c r="L65" s="49"/>
      <c r="M65" s="47"/>
      <c r="N65" s="48"/>
      <c r="O65" s="49"/>
      <c r="P65" s="47"/>
      <c r="Q65" s="48"/>
      <c r="R65" s="49"/>
      <c r="S65" s="47"/>
      <c r="T65" s="48"/>
      <c r="U65" s="49"/>
      <c r="V65" s="47"/>
      <c r="W65" s="48"/>
      <c r="X65" s="49"/>
      <c r="Y65" s="47"/>
      <c r="Z65" s="48"/>
      <c r="AA65" s="49"/>
      <c r="AB65" s="47"/>
      <c r="AC65" s="48"/>
      <c r="AD65" s="49"/>
      <c r="AE65" s="47"/>
      <c r="AF65" s="48"/>
      <c r="AG65" s="49"/>
      <c r="AH65" s="50" t="str">
        <f t="shared" si="1"/>
        <v/>
      </c>
    </row>
    <row r="66" spans="1:34" ht="15.95" customHeight="1">
      <c r="A66" s="46">
        <v>24</v>
      </c>
      <c r="B66" s="63" t="str">
        <f>IF('(4).Midterm Results'!B66="","",'(4).Midterm Results'!B66)</f>
        <v/>
      </c>
      <c r="C66" s="62" t="str">
        <f>IF('(4).Midterm Results'!C66="","",'(4).Midterm Results'!C66)</f>
        <v/>
      </c>
      <c r="D66" s="47"/>
      <c r="E66" s="48"/>
      <c r="F66" s="49"/>
      <c r="G66" s="47"/>
      <c r="H66" s="48"/>
      <c r="I66" s="49"/>
      <c r="J66" s="47"/>
      <c r="K66" s="48"/>
      <c r="L66" s="49"/>
      <c r="M66" s="47"/>
      <c r="N66" s="48"/>
      <c r="O66" s="49"/>
      <c r="P66" s="47"/>
      <c r="Q66" s="48"/>
      <c r="R66" s="49"/>
      <c r="S66" s="47"/>
      <c r="T66" s="48"/>
      <c r="U66" s="49"/>
      <c r="V66" s="47"/>
      <c r="W66" s="48"/>
      <c r="X66" s="49"/>
      <c r="Y66" s="47"/>
      <c r="Z66" s="48"/>
      <c r="AA66" s="49"/>
      <c r="AB66" s="47"/>
      <c r="AC66" s="48"/>
      <c r="AD66" s="49"/>
      <c r="AE66" s="47"/>
      <c r="AF66" s="48"/>
      <c r="AG66" s="49"/>
      <c r="AH66" s="50" t="str">
        <f t="shared" si="1"/>
        <v/>
      </c>
    </row>
    <row r="67" spans="1:34" ht="15.95" customHeight="1">
      <c r="A67" s="46">
        <v>25</v>
      </c>
      <c r="B67" s="63" t="str">
        <f>IF('(4).Midterm Results'!B67="","",'(4).Midterm Results'!B67)</f>
        <v/>
      </c>
      <c r="C67" s="62" t="str">
        <f>IF('(4).Midterm Results'!C67="","",'(4).Midterm Results'!C67)</f>
        <v/>
      </c>
      <c r="D67" s="47"/>
      <c r="E67" s="48"/>
      <c r="F67" s="49"/>
      <c r="G67" s="47"/>
      <c r="H67" s="48"/>
      <c r="I67" s="49"/>
      <c r="J67" s="47"/>
      <c r="K67" s="48"/>
      <c r="L67" s="49"/>
      <c r="M67" s="47"/>
      <c r="N67" s="48"/>
      <c r="O67" s="49"/>
      <c r="P67" s="47"/>
      <c r="Q67" s="48"/>
      <c r="R67" s="49"/>
      <c r="S67" s="47"/>
      <c r="T67" s="48"/>
      <c r="U67" s="49"/>
      <c r="V67" s="47"/>
      <c r="W67" s="48"/>
      <c r="X67" s="49"/>
      <c r="Y67" s="47"/>
      <c r="Z67" s="48"/>
      <c r="AA67" s="49"/>
      <c r="AB67" s="47"/>
      <c r="AC67" s="48"/>
      <c r="AD67" s="49"/>
      <c r="AE67" s="47"/>
      <c r="AF67" s="48"/>
      <c r="AG67" s="49"/>
      <c r="AH67" s="50" t="str">
        <f t="shared" si="1"/>
        <v/>
      </c>
    </row>
    <row r="68" spans="1:34" ht="15.95" customHeight="1">
      <c r="A68" s="46">
        <v>26</v>
      </c>
      <c r="B68" s="63" t="str">
        <f>IF('(4).Midterm Results'!B68="","",'(4).Midterm Results'!B68)</f>
        <v/>
      </c>
      <c r="C68" s="62" t="str">
        <f>IF('(4).Midterm Results'!C68="","",'(4).Midterm Results'!C68)</f>
        <v/>
      </c>
      <c r="D68" s="47"/>
      <c r="E68" s="48"/>
      <c r="F68" s="49"/>
      <c r="G68" s="47"/>
      <c r="H68" s="48"/>
      <c r="I68" s="49"/>
      <c r="J68" s="47"/>
      <c r="K68" s="48"/>
      <c r="L68" s="49"/>
      <c r="M68" s="47"/>
      <c r="N68" s="48"/>
      <c r="O68" s="49"/>
      <c r="P68" s="47"/>
      <c r="Q68" s="48"/>
      <c r="R68" s="49"/>
      <c r="S68" s="47"/>
      <c r="T68" s="48"/>
      <c r="U68" s="49"/>
      <c r="V68" s="47"/>
      <c r="W68" s="48"/>
      <c r="X68" s="49"/>
      <c r="Y68" s="47"/>
      <c r="Z68" s="48"/>
      <c r="AA68" s="49"/>
      <c r="AB68" s="47"/>
      <c r="AC68" s="48"/>
      <c r="AD68" s="49"/>
      <c r="AE68" s="47"/>
      <c r="AF68" s="48"/>
      <c r="AG68" s="49"/>
      <c r="AH68" s="50" t="str">
        <f t="shared" si="1"/>
        <v/>
      </c>
    </row>
    <row r="69" spans="1:34" ht="15.95" customHeight="1">
      <c r="A69" s="46">
        <v>27</v>
      </c>
      <c r="B69" s="63" t="str">
        <f>IF('(4).Midterm Results'!B69="","",'(4).Midterm Results'!B69)</f>
        <v/>
      </c>
      <c r="C69" s="62" t="str">
        <f>IF('(4).Midterm Results'!C69="","",'(4).Midterm Results'!C69)</f>
        <v/>
      </c>
      <c r="D69" s="47"/>
      <c r="E69" s="48"/>
      <c r="F69" s="49"/>
      <c r="G69" s="47"/>
      <c r="H69" s="48"/>
      <c r="I69" s="49"/>
      <c r="J69" s="47"/>
      <c r="K69" s="48"/>
      <c r="L69" s="49"/>
      <c r="M69" s="47"/>
      <c r="N69" s="48"/>
      <c r="O69" s="49"/>
      <c r="P69" s="47"/>
      <c r="Q69" s="48"/>
      <c r="R69" s="49"/>
      <c r="S69" s="47"/>
      <c r="T69" s="48"/>
      <c r="U69" s="49"/>
      <c r="V69" s="47"/>
      <c r="W69" s="48"/>
      <c r="X69" s="49"/>
      <c r="Y69" s="47"/>
      <c r="Z69" s="48"/>
      <c r="AA69" s="49"/>
      <c r="AB69" s="47"/>
      <c r="AC69" s="48"/>
      <c r="AD69" s="49"/>
      <c r="AE69" s="47"/>
      <c r="AF69" s="48"/>
      <c r="AG69" s="49"/>
      <c r="AH69" s="50" t="str">
        <f t="shared" si="1"/>
        <v/>
      </c>
    </row>
    <row r="70" spans="1:34" ht="15.95" customHeight="1">
      <c r="A70" s="46">
        <v>28</v>
      </c>
      <c r="B70" s="63" t="str">
        <f>IF('(4).Midterm Results'!B70="","",'(4).Midterm Results'!B70)</f>
        <v/>
      </c>
      <c r="C70" s="62" t="str">
        <f>IF('(4).Midterm Results'!C70="","",'(4).Midterm Results'!C70)</f>
        <v/>
      </c>
      <c r="D70" s="47"/>
      <c r="E70" s="48"/>
      <c r="F70" s="49"/>
      <c r="G70" s="47"/>
      <c r="H70" s="48"/>
      <c r="I70" s="49"/>
      <c r="J70" s="47"/>
      <c r="K70" s="48"/>
      <c r="L70" s="49"/>
      <c r="M70" s="47"/>
      <c r="N70" s="48"/>
      <c r="O70" s="49"/>
      <c r="P70" s="47"/>
      <c r="Q70" s="48"/>
      <c r="R70" s="49"/>
      <c r="S70" s="47"/>
      <c r="T70" s="48"/>
      <c r="U70" s="49"/>
      <c r="V70" s="47"/>
      <c r="W70" s="48"/>
      <c r="X70" s="49"/>
      <c r="Y70" s="47"/>
      <c r="Z70" s="48"/>
      <c r="AA70" s="49"/>
      <c r="AB70" s="47"/>
      <c r="AC70" s="48"/>
      <c r="AD70" s="49"/>
      <c r="AE70" s="47"/>
      <c r="AF70" s="48"/>
      <c r="AG70" s="49"/>
      <c r="AH70" s="50" t="str">
        <f t="shared" si="1"/>
        <v/>
      </c>
    </row>
    <row r="71" spans="1:34" ht="15.95" customHeight="1">
      <c r="A71" s="46">
        <v>29</v>
      </c>
      <c r="B71" s="63" t="str">
        <f>IF('(4).Midterm Results'!B71="","",'(4).Midterm Results'!B71)</f>
        <v/>
      </c>
      <c r="C71" s="62" t="str">
        <f>IF('(4).Midterm Results'!C71="","",'(4).Midterm Results'!C71)</f>
        <v/>
      </c>
      <c r="D71" s="47"/>
      <c r="E71" s="48"/>
      <c r="F71" s="49"/>
      <c r="G71" s="47"/>
      <c r="H71" s="48"/>
      <c r="I71" s="49"/>
      <c r="J71" s="47"/>
      <c r="K71" s="48"/>
      <c r="L71" s="49"/>
      <c r="M71" s="47"/>
      <c r="N71" s="48"/>
      <c r="O71" s="49"/>
      <c r="P71" s="47"/>
      <c r="Q71" s="48"/>
      <c r="R71" s="49"/>
      <c r="S71" s="47"/>
      <c r="T71" s="48"/>
      <c r="U71" s="49"/>
      <c r="V71" s="47"/>
      <c r="W71" s="48"/>
      <c r="X71" s="49"/>
      <c r="Y71" s="47"/>
      <c r="Z71" s="48"/>
      <c r="AA71" s="49"/>
      <c r="AB71" s="47"/>
      <c r="AC71" s="48"/>
      <c r="AD71" s="49"/>
      <c r="AE71" s="47"/>
      <c r="AF71" s="48"/>
      <c r="AG71" s="49"/>
      <c r="AH71" s="50" t="str">
        <f t="shared" si="1"/>
        <v/>
      </c>
    </row>
    <row r="72" spans="1:34" ht="15.95" customHeight="1">
      <c r="A72" s="46">
        <v>30</v>
      </c>
      <c r="B72" s="63" t="str">
        <f>IF('(4).Midterm Results'!B72="","",'(4).Midterm Results'!B72)</f>
        <v/>
      </c>
      <c r="C72" s="62" t="str">
        <f>IF('(4).Midterm Results'!C72="","",'(4).Midterm Results'!C72)</f>
        <v/>
      </c>
      <c r="D72" s="47"/>
      <c r="E72" s="48"/>
      <c r="F72" s="49"/>
      <c r="G72" s="47"/>
      <c r="H72" s="48"/>
      <c r="I72" s="49"/>
      <c r="J72" s="47"/>
      <c r="K72" s="48"/>
      <c r="L72" s="49"/>
      <c r="M72" s="47"/>
      <c r="N72" s="48"/>
      <c r="O72" s="49"/>
      <c r="P72" s="47"/>
      <c r="Q72" s="48"/>
      <c r="R72" s="49"/>
      <c r="S72" s="47"/>
      <c r="T72" s="48"/>
      <c r="U72" s="49"/>
      <c r="V72" s="47"/>
      <c r="W72" s="48"/>
      <c r="X72" s="49"/>
      <c r="Y72" s="47"/>
      <c r="Z72" s="48"/>
      <c r="AA72" s="49"/>
      <c r="AB72" s="47"/>
      <c r="AC72" s="48"/>
      <c r="AD72" s="49"/>
      <c r="AE72" s="47"/>
      <c r="AF72" s="48"/>
      <c r="AG72" s="49"/>
      <c r="AH72" s="50" t="str">
        <f t="shared" si="1"/>
        <v/>
      </c>
    </row>
    <row r="73" spans="1:34" ht="15.95" customHeight="1">
      <c r="A73" s="18" t="s">
        <v>0</v>
      </c>
      <c r="B73" s="19">
        <f>'(4).Midterm Results'!B73</f>
        <v>0</v>
      </c>
      <c r="C73" s="60"/>
      <c r="D73" s="222" t="s">
        <v>91</v>
      </c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</row>
    <row r="74" spans="1:34" ht="15.95" customHeight="1">
      <c r="A74" s="18" t="s">
        <v>1</v>
      </c>
      <c r="B74" s="19">
        <f>'(4).Midterm Results'!B74</f>
        <v>0</v>
      </c>
      <c r="C74" s="60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</row>
    <row r="75" spans="1:34" ht="15.95" customHeight="1">
      <c r="A75" s="18" t="s">
        <v>2</v>
      </c>
      <c r="B75" s="19">
        <f>'(4).Midterm Results'!B75</f>
        <v>0</v>
      </c>
      <c r="C75" s="60"/>
      <c r="D75" s="223" t="str">
        <f>'(4).Midterm Results'!D74</f>
        <v>FEBRUARY - JULY 2026</v>
      </c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</row>
    <row r="76" spans="1:34" ht="15.95" customHeight="1">
      <c r="A76" s="18" t="s">
        <v>3</v>
      </c>
      <c r="B76" s="19">
        <f>'(4).Midterm Results'!B76</f>
        <v>0</v>
      </c>
      <c r="C76" s="60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</row>
    <row r="77" spans="1:34" ht="15.95" customHeight="1">
      <c r="A77" s="18" t="s">
        <v>4</v>
      </c>
      <c r="B77" s="19">
        <f>'(4).Midterm Results'!B77</f>
        <v>0</v>
      </c>
      <c r="C77" s="61"/>
      <c r="D77" s="220" t="str">
        <f>IF(OR($B74="K5",$B74="K6",$B74="K7",$B74="K8",$B74="K9",$B74="K10"),"Listening","Up-Low C")</f>
        <v>Up-Low C</v>
      </c>
      <c r="E77" s="220"/>
      <c r="F77" s="220"/>
      <c r="G77" s="220" t="str">
        <f>IF(OR($B74="K5",$B74="K6",$B74="K7",$B74="K8",$B74="K9",$B74="K10"),"Speaking","Alphabet N")</f>
        <v>Alphabet N</v>
      </c>
      <c r="H77" s="220"/>
      <c r="I77" s="220"/>
      <c r="J77" s="220" t="str">
        <f>IF(OR($B74="K5",$B74="K6",$B74="K7",$B74="K8",$B74="K9",$B74="K10"),"Reading","Alphabet S")</f>
        <v>Alphabet S</v>
      </c>
      <c r="K77" s="220"/>
      <c r="L77" s="220"/>
      <c r="M77" s="220" t="str">
        <f>IF(OR($B74="K5",$B74="K6",$B74="K7",$B74="K8",$B74="K9",$B74="K10"),"Writing","Vocabulary")</f>
        <v>Vocabulary</v>
      </c>
      <c r="N77" s="220"/>
      <c r="O77" s="220"/>
      <c r="P77" s="220" t="str">
        <f>IF(OR($B74="K5",$B74="K6",$B74="K7",$B74="K8",$B74="K9",$B74="K10"),"Gram/Vocab","Sprouts")</f>
        <v>Sprouts</v>
      </c>
      <c r="Q77" s="220"/>
      <c r="R77" s="220"/>
      <c r="S77" s="220" t="str">
        <f>IF(OR($B74="K5",$B74="K6",$B74="K7",$B74="K8",$B74="K9",$B74="K10"),"Roots","Phonics")</f>
        <v>Phonics</v>
      </c>
      <c r="T77" s="220"/>
      <c r="U77" s="220"/>
      <c r="V77" s="220" t="str">
        <f>IF(OR($B74="K5",$B74="K6",$B74="K7",$B74="K8",$B74="K9",$B74="K10"),"Phonics","Math")</f>
        <v>Math</v>
      </c>
      <c r="W77" s="220"/>
      <c r="X77" s="220"/>
      <c r="Y77" s="220" t="str">
        <f>IF(OR($B74="K5",$B74="K6",$B74="K7",$B74="K8",$B74="K9",$B74="K10"),"Math","Shape")</f>
        <v>Shape</v>
      </c>
      <c r="Z77" s="220"/>
      <c r="AA77" s="220"/>
      <c r="AB77" s="220" t="s">
        <v>10</v>
      </c>
      <c r="AC77" s="220"/>
      <c r="AD77" s="220"/>
      <c r="AE77" s="220" t="str">
        <f>IF(OR($B74="K5",$B74="K6",$B74="K7",$B74="K8",$B74="K9",$B74="K10"),"Homework","Tracing")</f>
        <v>Tracing</v>
      </c>
      <c r="AF77" s="220"/>
      <c r="AG77" s="220"/>
      <c r="AH77" s="90" t="s">
        <v>11</v>
      </c>
    </row>
    <row r="78" spans="1:34" ht="15.95" customHeight="1" thickBot="1">
      <c r="A78" s="73" t="s">
        <v>5</v>
      </c>
      <c r="B78" s="74" t="s">
        <v>6</v>
      </c>
      <c r="C78" s="75" t="s">
        <v>7</v>
      </c>
      <c r="D78" s="221" t="s">
        <v>9</v>
      </c>
      <c r="E78" s="221"/>
      <c r="F78" s="221"/>
      <c r="G78" s="221" t="s">
        <v>9</v>
      </c>
      <c r="H78" s="221"/>
      <c r="I78" s="221"/>
      <c r="J78" s="221" t="s">
        <v>9</v>
      </c>
      <c r="K78" s="221"/>
      <c r="L78" s="221"/>
      <c r="M78" s="221" t="s">
        <v>9</v>
      </c>
      <c r="N78" s="221"/>
      <c r="O78" s="221"/>
      <c r="P78" s="221" t="s">
        <v>9</v>
      </c>
      <c r="Q78" s="221"/>
      <c r="R78" s="221"/>
      <c r="S78" s="221" t="s">
        <v>9</v>
      </c>
      <c r="T78" s="221"/>
      <c r="U78" s="221"/>
      <c r="V78" s="221" t="s">
        <v>9</v>
      </c>
      <c r="W78" s="221"/>
      <c r="X78" s="221"/>
      <c r="Y78" s="221" t="s">
        <v>9</v>
      </c>
      <c r="Z78" s="221"/>
      <c r="AA78" s="221"/>
      <c r="AB78" s="221" t="s">
        <v>9</v>
      </c>
      <c r="AC78" s="221"/>
      <c r="AD78" s="221"/>
      <c r="AE78" s="221" t="s">
        <v>9</v>
      </c>
      <c r="AF78" s="221"/>
      <c r="AG78" s="221"/>
      <c r="AH78" s="77" t="s">
        <v>12</v>
      </c>
    </row>
    <row r="79" spans="1:34" ht="15.95" customHeight="1">
      <c r="A79" s="14">
        <v>1</v>
      </c>
      <c r="B79" s="68" t="str">
        <f>IF('(4).Midterm Results'!B79="","",'(4).Midterm Results'!B79)</f>
        <v/>
      </c>
      <c r="C79" s="16" t="str">
        <f>IF('(4).Midterm Results'!C79="","",'(4).Midterm Results'!C79)</f>
        <v/>
      </c>
      <c r="D79" s="69"/>
      <c r="E79" s="70"/>
      <c r="F79" s="71"/>
      <c r="G79" s="69"/>
      <c r="H79" s="70"/>
      <c r="I79" s="71"/>
      <c r="J79" s="69"/>
      <c r="K79" s="70"/>
      <c r="L79" s="71"/>
      <c r="M79" s="69"/>
      <c r="N79" s="70"/>
      <c r="O79" s="71"/>
      <c r="P79" s="69"/>
      <c r="Q79" s="70"/>
      <c r="R79" s="71"/>
      <c r="S79" s="69"/>
      <c r="T79" s="70"/>
      <c r="U79" s="71"/>
      <c r="V79" s="69"/>
      <c r="W79" s="70"/>
      <c r="X79" s="71"/>
      <c r="Y79" s="69"/>
      <c r="Z79" s="70"/>
      <c r="AA79" s="71"/>
      <c r="AB79" s="69"/>
      <c r="AC79" s="70"/>
      <c r="AD79" s="71"/>
      <c r="AE79" s="69"/>
      <c r="AF79" s="70"/>
      <c r="AG79" s="71"/>
      <c r="AH79" s="72" t="str">
        <f>IF(B79="","",IF(COUNT(D79:F79)=0,"Incomplete",IF(COUNT(G79:I79)=0,"Incomplete",IF(COUNT(J79:L79)=0,"Incomplete",IF(COUNT(M79:O79)=0,"Incomplete",IF(COUNT(P79:R79)=0,"Incomplete",IF(COUNT(S79:U79)=0,"Incomplete",IF(COUNT(V79:X79)=0,"Incomplete",IF(COUNT(Y79:AA79)=0,"Incomplete",IF(COUNT(AB79:AD79)=0,"Incomplete",IF(COUNT(AE79:AG79)=0,"Incomplete",AVERAGEIF(D79:F79,"&gt;=0")+AVERAGEIF(G79:I79,"&gt;=0")+AVERAGEIF(J79:L79,"&gt;=0")+AVERAGEIF(M79:O79,"&gt;=0")+AVERAGEIF(P79:R79,"&gt;=0")+AVERAGEIF(S79:U79,"&gt;=0")+AVERAGEIF(V79:X79,"&gt;=0")+AVERAGEIF(Y79:AA79,"&gt;=0")+AVERAGEIF(AB79:AD79,"&gt;=0")+AVERAGEIF(AE79:AG79,"&gt;=0"))))))))))))</f>
        <v/>
      </c>
    </row>
    <row r="80" spans="1:34" ht="15.95" customHeight="1">
      <c r="A80" s="46">
        <v>2</v>
      </c>
      <c r="B80" s="63" t="str">
        <f>IF('(4).Midterm Results'!B80="","",'(4).Midterm Results'!B80)</f>
        <v/>
      </c>
      <c r="C80" s="62" t="str">
        <f>IF('(4).Midterm Results'!C80="","",'(4).Midterm Results'!C80)</f>
        <v/>
      </c>
      <c r="D80" s="47"/>
      <c r="E80" s="48"/>
      <c r="F80" s="49"/>
      <c r="G80" s="47"/>
      <c r="H80" s="48"/>
      <c r="I80" s="49"/>
      <c r="J80" s="47"/>
      <c r="K80" s="48"/>
      <c r="L80" s="49"/>
      <c r="M80" s="47"/>
      <c r="N80" s="48"/>
      <c r="O80" s="49"/>
      <c r="P80" s="47"/>
      <c r="Q80" s="48"/>
      <c r="R80" s="49"/>
      <c r="S80" s="47"/>
      <c r="T80" s="48"/>
      <c r="U80" s="49"/>
      <c r="V80" s="47"/>
      <c r="W80" s="48"/>
      <c r="X80" s="49"/>
      <c r="Y80" s="47"/>
      <c r="Z80" s="48"/>
      <c r="AA80" s="49"/>
      <c r="AB80" s="47"/>
      <c r="AC80" s="48"/>
      <c r="AD80" s="49"/>
      <c r="AE80" s="47"/>
      <c r="AF80" s="48"/>
      <c r="AG80" s="49"/>
      <c r="AH80" s="50" t="str">
        <f t="shared" ref="AH80:AH108" si="2">IF(B80="","",IF(COUNT(D80:F80)=0,"Incomplete",IF(COUNT(G80:I80)=0,"Incomplete",IF(COUNT(J80:L80)=0,"Incomplete",IF(COUNT(M80:O80)=0,"Incomplete",IF(COUNT(P80:R80)=0,"Incomplete",IF(COUNT(S80:U80)=0,"Incomplete",IF(COUNT(V80:X80)=0,"Incomplete",IF(COUNT(Y80:AA80)=0,"Incomplete",IF(COUNT(AB80:AD80)=0,"Incomplete",IF(COUNT(AE80:AG80)=0,"Incomplete",AVERAGEIF(D80:F80,"&gt;=0")+AVERAGEIF(G80:I80,"&gt;=0")+AVERAGEIF(J80:L80,"&gt;=0")+AVERAGEIF(M80:O80,"&gt;=0")+AVERAGEIF(P80:R80,"&gt;=0")+AVERAGEIF(S80:U80,"&gt;=0")+AVERAGEIF(V80:X80,"&gt;=0")+AVERAGEIF(Y80:AA80,"&gt;=0")+AVERAGEIF(AB80:AD80,"&gt;=0")+AVERAGEIF(AE80:AG80,"&gt;=0"))))))))))))</f>
        <v/>
      </c>
    </row>
    <row r="81" spans="1:34" ht="15.95" customHeight="1">
      <c r="A81" s="46">
        <v>3</v>
      </c>
      <c r="B81" s="63" t="str">
        <f>IF('(4).Midterm Results'!B81="","",'(4).Midterm Results'!B81)</f>
        <v/>
      </c>
      <c r="C81" s="62" t="str">
        <f>IF('(4).Midterm Results'!C81="","",'(4).Midterm Results'!C81)</f>
        <v/>
      </c>
      <c r="D81" s="47"/>
      <c r="E81" s="48"/>
      <c r="F81" s="49"/>
      <c r="G81" s="47"/>
      <c r="H81" s="48"/>
      <c r="I81" s="49"/>
      <c r="J81" s="47"/>
      <c r="K81" s="48"/>
      <c r="L81" s="49"/>
      <c r="M81" s="47"/>
      <c r="N81" s="48"/>
      <c r="O81" s="49"/>
      <c r="P81" s="47"/>
      <c r="Q81" s="48"/>
      <c r="R81" s="49"/>
      <c r="S81" s="47"/>
      <c r="T81" s="48"/>
      <c r="U81" s="49"/>
      <c r="V81" s="47"/>
      <c r="W81" s="48"/>
      <c r="X81" s="49"/>
      <c r="Y81" s="47"/>
      <c r="Z81" s="48"/>
      <c r="AA81" s="49"/>
      <c r="AB81" s="47"/>
      <c r="AC81" s="48"/>
      <c r="AD81" s="49"/>
      <c r="AE81" s="47"/>
      <c r="AF81" s="48"/>
      <c r="AG81" s="49"/>
      <c r="AH81" s="50" t="str">
        <f t="shared" si="2"/>
        <v/>
      </c>
    </row>
    <row r="82" spans="1:34" ht="15.95" customHeight="1">
      <c r="A82" s="46">
        <v>4</v>
      </c>
      <c r="B82" s="63" t="str">
        <f>IF('(4).Midterm Results'!B82="","",'(4).Midterm Results'!B82)</f>
        <v/>
      </c>
      <c r="C82" s="62" t="str">
        <f>IF('(4).Midterm Results'!C82="","",'(4).Midterm Results'!C82)</f>
        <v/>
      </c>
      <c r="D82" s="47"/>
      <c r="E82" s="48"/>
      <c r="F82" s="49"/>
      <c r="G82" s="47"/>
      <c r="H82" s="48"/>
      <c r="I82" s="49"/>
      <c r="J82" s="47"/>
      <c r="K82" s="48"/>
      <c r="L82" s="49"/>
      <c r="M82" s="47"/>
      <c r="N82" s="48"/>
      <c r="O82" s="49"/>
      <c r="P82" s="47"/>
      <c r="Q82" s="48"/>
      <c r="R82" s="49"/>
      <c r="S82" s="47"/>
      <c r="T82" s="48"/>
      <c r="U82" s="49"/>
      <c r="V82" s="47"/>
      <c r="W82" s="48"/>
      <c r="X82" s="49"/>
      <c r="Y82" s="47"/>
      <c r="Z82" s="48"/>
      <c r="AA82" s="49"/>
      <c r="AB82" s="47"/>
      <c r="AC82" s="48"/>
      <c r="AD82" s="49"/>
      <c r="AE82" s="47"/>
      <c r="AF82" s="48"/>
      <c r="AG82" s="49"/>
      <c r="AH82" s="50" t="str">
        <f t="shared" si="2"/>
        <v/>
      </c>
    </row>
    <row r="83" spans="1:34" ht="15.95" customHeight="1">
      <c r="A83" s="46">
        <v>5</v>
      </c>
      <c r="B83" s="63" t="str">
        <f>IF('(4).Midterm Results'!B83="","",'(4).Midterm Results'!B83)</f>
        <v/>
      </c>
      <c r="C83" s="62" t="str">
        <f>IF('(4).Midterm Results'!C83="","",'(4).Midterm Results'!C83)</f>
        <v/>
      </c>
      <c r="D83" s="47"/>
      <c r="E83" s="48"/>
      <c r="F83" s="49"/>
      <c r="G83" s="47"/>
      <c r="H83" s="48"/>
      <c r="I83" s="49"/>
      <c r="J83" s="47"/>
      <c r="K83" s="48"/>
      <c r="L83" s="49"/>
      <c r="M83" s="47"/>
      <c r="N83" s="48"/>
      <c r="O83" s="49"/>
      <c r="P83" s="47"/>
      <c r="Q83" s="48"/>
      <c r="R83" s="49"/>
      <c r="S83" s="47"/>
      <c r="T83" s="48"/>
      <c r="U83" s="49"/>
      <c r="V83" s="47"/>
      <c r="W83" s="48"/>
      <c r="X83" s="49"/>
      <c r="Y83" s="47"/>
      <c r="Z83" s="48"/>
      <c r="AA83" s="49"/>
      <c r="AB83" s="47"/>
      <c r="AC83" s="48"/>
      <c r="AD83" s="49"/>
      <c r="AE83" s="47"/>
      <c r="AF83" s="48"/>
      <c r="AG83" s="49"/>
      <c r="AH83" s="50" t="str">
        <f t="shared" si="2"/>
        <v/>
      </c>
    </row>
    <row r="84" spans="1:34" ht="15.95" customHeight="1">
      <c r="A84" s="46">
        <v>6</v>
      </c>
      <c r="B84" s="63" t="str">
        <f>IF('(4).Midterm Results'!B84="","",'(4).Midterm Results'!B84)</f>
        <v/>
      </c>
      <c r="C84" s="62" t="str">
        <f>IF('(4).Midterm Results'!C84="","",'(4).Midterm Results'!C84)</f>
        <v/>
      </c>
      <c r="D84" s="47"/>
      <c r="E84" s="48"/>
      <c r="F84" s="49"/>
      <c r="G84" s="47"/>
      <c r="H84" s="48"/>
      <c r="I84" s="49"/>
      <c r="J84" s="47"/>
      <c r="K84" s="48"/>
      <c r="L84" s="49"/>
      <c r="M84" s="47"/>
      <c r="N84" s="48"/>
      <c r="O84" s="49"/>
      <c r="P84" s="47"/>
      <c r="Q84" s="48"/>
      <c r="R84" s="49"/>
      <c r="S84" s="47"/>
      <c r="T84" s="48"/>
      <c r="U84" s="49"/>
      <c r="V84" s="47"/>
      <c r="W84" s="48"/>
      <c r="X84" s="49"/>
      <c r="Y84" s="47"/>
      <c r="Z84" s="48"/>
      <c r="AA84" s="49"/>
      <c r="AB84" s="47"/>
      <c r="AC84" s="48"/>
      <c r="AD84" s="49"/>
      <c r="AE84" s="47"/>
      <c r="AF84" s="48"/>
      <c r="AG84" s="49"/>
      <c r="AH84" s="50" t="str">
        <f t="shared" si="2"/>
        <v/>
      </c>
    </row>
    <row r="85" spans="1:34" ht="15.95" customHeight="1">
      <c r="A85" s="46">
        <v>7</v>
      </c>
      <c r="B85" s="63" t="str">
        <f>IF('(4).Midterm Results'!B85="","",'(4).Midterm Results'!B85)</f>
        <v/>
      </c>
      <c r="C85" s="62" t="str">
        <f>IF('(4).Midterm Results'!C85="","",'(4).Midterm Results'!C85)</f>
        <v/>
      </c>
      <c r="D85" s="47"/>
      <c r="E85" s="48"/>
      <c r="F85" s="49"/>
      <c r="G85" s="47"/>
      <c r="H85" s="48"/>
      <c r="I85" s="49"/>
      <c r="J85" s="47"/>
      <c r="K85" s="48"/>
      <c r="L85" s="49"/>
      <c r="M85" s="47"/>
      <c r="N85" s="48"/>
      <c r="O85" s="49"/>
      <c r="P85" s="47"/>
      <c r="Q85" s="48"/>
      <c r="R85" s="49"/>
      <c r="S85" s="47"/>
      <c r="T85" s="48"/>
      <c r="U85" s="49"/>
      <c r="V85" s="47"/>
      <c r="W85" s="48"/>
      <c r="X85" s="49"/>
      <c r="Y85" s="47"/>
      <c r="Z85" s="48"/>
      <c r="AA85" s="49"/>
      <c r="AB85" s="47"/>
      <c r="AC85" s="48"/>
      <c r="AD85" s="49"/>
      <c r="AE85" s="47"/>
      <c r="AF85" s="48"/>
      <c r="AG85" s="49"/>
      <c r="AH85" s="50" t="str">
        <f t="shared" si="2"/>
        <v/>
      </c>
    </row>
    <row r="86" spans="1:34" ht="15.95" customHeight="1">
      <c r="A86" s="46">
        <v>8</v>
      </c>
      <c r="B86" s="63" t="str">
        <f>IF('(4).Midterm Results'!B86="","",'(4).Midterm Results'!B86)</f>
        <v/>
      </c>
      <c r="C86" s="62" t="str">
        <f>IF('(4).Midterm Results'!C86="","",'(4).Midterm Results'!C86)</f>
        <v/>
      </c>
      <c r="D86" s="47"/>
      <c r="E86" s="48"/>
      <c r="F86" s="49"/>
      <c r="G86" s="47"/>
      <c r="H86" s="48"/>
      <c r="I86" s="49"/>
      <c r="J86" s="47"/>
      <c r="K86" s="48"/>
      <c r="L86" s="49"/>
      <c r="M86" s="47"/>
      <c r="N86" s="48"/>
      <c r="O86" s="49"/>
      <c r="P86" s="47"/>
      <c r="Q86" s="48"/>
      <c r="R86" s="49"/>
      <c r="S86" s="47"/>
      <c r="T86" s="48"/>
      <c r="U86" s="49"/>
      <c r="V86" s="47"/>
      <c r="W86" s="48"/>
      <c r="X86" s="49"/>
      <c r="Y86" s="47"/>
      <c r="Z86" s="48"/>
      <c r="AA86" s="49"/>
      <c r="AB86" s="47"/>
      <c r="AC86" s="48"/>
      <c r="AD86" s="49"/>
      <c r="AE86" s="47"/>
      <c r="AF86" s="48"/>
      <c r="AG86" s="49"/>
      <c r="AH86" s="50" t="str">
        <f t="shared" si="2"/>
        <v/>
      </c>
    </row>
    <row r="87" spans="1:34" ht="15.95" customHeight="1">
      <c r="A87" s="46">
        <v>9</v>
      </c>
      <c r="B87" s="63" t="str">
        <f>IF('(4).Midterm Results'!B87="","",'(4).Midterm Results'!B87)</f>
        <v/>
      </c>
      <c r="C87" s="62" t="str">
        <f>IF('(4).Midterm Results'!C87="","",'(4).Midterm Results'!C87)</f>
        <v/>
      </c>
      <c r="D87" s="47"/>
      <c r="E87" s="48"/>
      <c r="F87" s="49"/>
      <c r="G87" s="47"/>
      <c r="H87" s="48"/>
      <c r="I87" s="49"/>
      <c r="J87" s="47"/>
      <c r="K87" s="48"/>
      <c r="L87" s="49"/>
      <c r="M87" s="47"/>
      <c r="N87" s="48"/>
      <c r="O87" s="49"/>
      <c r="P87" s="47"/>
      <c r="Q87" s="48"/>
      <c r="R87" s="49"/>
      <c r="S87" s="47"/>
      <c r="T87" s="48"/>
      <c r="U87" s="49"/>
      <c r="V87" s="47"/>
      <c r="W87" s="48"/>
      <c r="X87" s="49"/>
      <c r="Y87" s="47"/>
      <c r="Z87" s="48"/>
      <c r="AA87" s="49"/>
      <c r="AB87" s="47"/>
      <c r="AC87" s="48"/>
      <c r="AD87" s="49"/>
      <c r="AE87" s="47"/>
      <c r="AF87" s="48"/>
      <c r="AG87" s="49"/>
      <c r="AH87" s="50" t="str">
        <f t="shared" si="2"/>
        <v/>
      </c>
    </row>
    <row r="88" spans="1:34" ht="15.95" customHeight="1">
      <c r="A88" s="46">
        <v>10</v>
      </c>
      <c r="B88" s="63" t="str">
        <f>IF('(4).Midterm Results'!B88="","",'(4).Midterm Results'!B88)</f>
        <v/>
      </c>
      <c r="C88" s="62" t="str">
        <f>IF('(4).Midterm Results'!C88="","",'(4).Midterm Results'!C88)</f>
        <v/>
      </c>
      <c r="D88" s="47"/>
      <c r="E88" s="48"/>
      <c r="F88" s="49"/>
      <c r="G88" s="47"/>
      <c r="H88" s="48"/>
      <c r="I88" s="49"/>
      <c r="J88" s="47"/>
      <c r="K88" s="48"/>
      <c r="L88" s="49"/>
      <c r="M88" s="47"/>
      <c r="N88" s="48"/>
      <c r="O88" s="49"/>
      <c r="P88" s="47"/>
      <c r="Q88" s="48"/>
      <c r="R88" s="49"/>
      <c r="S88" s="47"/>
      <c r="T88" s="48"/>
      <c r="U88" s="49"/>
      <c r="V88" s="47"/>
      <c r="W88" s="48"/>
      <c r="X88" s="49"/>
      <c r="Y88" s="47"/>
      <c r="Z88" s="48"/>
      <c r="AA88" s="49"/>
      <c r="AB88" s="47"/>
      <c r="AC88" s="48"/>
      <c r="AD88" s="49"/>
      <c r="AE88" s="47"/>
      <c r="AF88" s="48"/>
      <c r="AG88" s="49"/>
      <c r="AH88" s="50" t="str">
        <f t="shared" si="2"/>
        <v/>
      </c>
    </row>
    <row r="89" spans="1:34" ht="15.95" customHeight="1">
      <c r="A89" s="46">
        <v>11</v>
      </c>
      <c r="B89" s="63" t="str">
        <f>IF('(4).Midterm Results'!B89="","",'(4).Midterm Results'!B89)</f>
        <v/>
      </c>
      <c r="C89" s="62" t="str">
        <f>IF('(4).Midterm Results'!C89="","",'(4).Midterm Results'!C89)</f>
        <v/>
      </c>
      <c r="D89" s="47"/>
      <c r="E89" s="48"/>
      <c r="F89" s="49"/>
      <c r="G89" s="47"/>
      <c r="H89" s="48"/>
      <c r="I89" s="49"/>
      <c r="J89" s="47"/>
      <c r="K89" s="48"/>
      <c r="L89" s="49"/>
      <c r="M89" s="47"/>
      <c r="N89" s="48"/>
      <c r="O89" s="49"/>
      <c r="P89" s="47"/>
      <c r="Q89" s="48"/>
      <c r="R89" s="49"/>
      <c r="S89" s="47"/>
      <c r="T89" s="48"/>
      <c r="U89" s="49"/>
      <c r="V89" s="47"/>
      <c r="W89" s="48"/>
      <c r="X89" s="49"/>
      <c r="Y89" s="47"/>
      <c r="Z89" s="48"/>
      <c r="AA89" s="49"/>
      <c r="AB89" s="47"/>
      <c r="AC89" s="48"/>
      <c r="AD89" s="49"/>
      <c r="AE89" s="47"/>
      <c r="AF89" s="48"/>
      <c r="AG89" s="49"/>
      <c r="AH89" s="50" t="str">
        <f t="shared" si="2"/>
        <v/>
      </c>
    </row>
    <row r="90" spans="1:34" ht="15.95" customHeight="1">
      <c r="A90" s="46">
        <v>12</v>
      </c>
      <c r="B90" s="63" t="str">
        <f>IF('(4).Midterm Results'!B90="","",'(4).Midterm Results'!B90)</f>
        <v/>
      </c>
      <c r="C90" s="62" t="str">
        <f>IF('(4).Midterm Results'!C90="","",'(4).Midterm Results'!C90)</f>
        <v/>
      </c>
      <c r="D90" s="47"/>
      <c r="E90" s="48"/>
      <c r="F90" s="49"/>
      <c r="G90" s="47"/>
      <c r="H90" s="48"/>
      <c r="I90" s="49"/>
      <c r="J90" s="47"/>
      <c r="K90" s="48"/>
      <c r="L90" s="49"/>
      <c r="M90" s="47"/>
      <c r="N90" s="48"/>
      <c r="O90" s="49"/>
      <c r="P90" s="47"/>
      <c r="Q90" s="48"/>
      <c r="R90" s="49"/>
      <c r="S90" s="47"/>
      <c r="T90" s="48"/>
      <c r="U90" s="49"/>
      <c r="V90" s="47"/>
      <c r="W90" s="48"/>
      <c r="X90" s="49"/>
      <c r="Y90" s="47"/>
      <c r="Z90" s="48"/>
      <c r="AA90" s="49"/>
      <c r="AB90" s="47"/>
      <c r="AC90" s="48"/>
      <c r="AD90" s="49"/>
      <c r="AE90" s="47"/>
      <c r="AF90" s="48"/>
      <c r="AG90" s="49"/>
      <c r="AH90" s="50" t="str">
        <f t="shared" si="2"/>
        <v/>
      </c>
    </row>
    <row r="91" spans="1:34" ht="15.95" customHeight="1">
      <c r="A91" s="46">
        <v>13</v>
      </c>
      <c r="B91" s="63" t="str">
        <f>IF('(4).Midterm Results'!B91="","",'(4).Midterm Results'!B91)</f>
        <v/>
      </c>
      <c r="C91" s="62" t="str">
        <f>IF('(4).Midterm Results'!C91="","",'(4).Midterm Results'!C91)</f>
        <v/>
      </c>
      <c r="D91" s="47"/>
      <c r="E91" s="48"/>
      <c r="F91" s="49"/>
      <c r="G91" s="47"/>
      <c r="H91" s="48"/>
      <c r="I91" s="49"/>
      <c r="J91" s="47"/>
      <c r="K91" s="48"/>
      <c r="L91" s="49"/>
      <c r="M91" s="47"/>
      <c r="N91" s="48"/>
      <c r="O91" s="49"/>
      <c r="P91" s="47"/>
      <c r="Q91" s="48"/>
      <c r="R91" s="49"/>
      <c r="S91" s="47"/>
      <c r="T91" s="48"/>
      <c r="U91" s="49"/>
      <c r="V91" s="47"/>
      <c r="W91" s="48"/>
      <c r="X91" s="49"/>
      <c r="Y91" s="47"/>
      <c r="Z91" s="48"/>
      <c r="AA91" s="49"/>
      <c r="AB91" s="47"/>
      <c r="AC91" s="48"/>
      <c r="AD91" s="49"/>
      <c r="AE91" s="47"/>
      <c r="AF91" s="48"/>
      <c r="AG91" s="49"/>
      <c r="AH91" s="50" t="str">
        <f t="shared" si="2"/>
        <v/>
      </c>
    </row>
    <row r="92" spans="1:34" ht="15.95" customHeight="1">
      <c r="A92" s="46">
        <v>14</v>
      </c>
      <c r="B92" s="63" t="str">
        <f>IF('(4).Midterm Results'!B92="","",'(4).Midterm Results'!B92)</f>
        <v/>
      </c>
      <c r="C92" s="62" t="str">
        <f>IF('(4).Midterm Results'!C92="","",'(4).Midterm Results'!C92)</f>
        <v/>
      </c>
      <c r="D92" s="47"/>
      <c r="E92" s="48"/>
      <c r="F92" s="49"/>
      <c r="G92" s="47"/>
      <c r="H92" s="48"/>
      <c r="I92" s="49"/>
      <c r="J92" s="47"/>
      <c r="K92" s="48"/>
      <c r="L92" s="49"/>
      <c r="M92" s="47"/>
      <c r="N92" s="48"/>
      <c r="O92" s="49"/>
      <c r="P92" s="47"/>
      <c r="Q92" s="48"/>
      <c r="R92" s="49"/>
      <c r="S92" s="47"/>
      <c r="T92" s="48"/>
      <c r="U92" s="49"/>
      <c r="V92" s="47"/>
      <c r="W92" s="48"/>
      <c r="X92" s="49"/>
      <c r="Y92" s="47"/>
      <c r="Z92" s="48"/>
      <c r="AA92" s="49"/>
      <c r="AB92" s="47"/>
      <c r="AC92" s="48"/>
      <c r="AD92" s="49"/>
      <c r="AE92" s="47"/>
      <c r="AF92" s="48"/>
      <c r="AG92" s="49"/>
      <c r="AH92" s="50" t="str">
        <f t="shared" si="2"/>
        <v/>
      </c>
    </row>
    <row r="93" spans="1:34" ht="15.95" customHeight="1">
      <c r="A93" s="46">
        <v>15</v>
      </c>
      <c r="B93" s="63" t="str">
        <f>IF('(4).Midterm Results'!B93="","",'(4).Midterm Results'!B93)</f>
        <v/>
      </c>
      <c r="C93" s="62" t="str">
        <f>IF('(4).Midterm Results'!C93="","",'(4).Midterm Results'!C93)</f>
        <v/>
      </c>
      <c r="D93" s="47"/>
      <c r="E93" s="48"/>
      <c r="F93" s="49"/>
      <c r="G93" s="47"/>
      <c r="H93" s="48"/>
      <c r="I93" s="49"/>
      <c r="J93" s="47"/>
      <c r="K93" s="48"/>
      <c r="L93" s="49"/>
      <c r="M93" s="47"/>
      <c r="N93" s="48"/>
      <c r="O93" s="49"/>
      <c r="P93" s="47"/>
      <c r="Q93" s="48"/>
      <c r="R93" s="49"/>
      <c r="S93" s="47"/>
      <c r="T93" s="48"/>
      <c r="U93" s="49"/>
      <c r="V93" s="47"/>
      <c r="W93" s="48"/>
      <c r="X93" s="49"/>
      <c r="Y93" s="47"/>
      <c r="Z93" s="48"/>
      <c r="AA93" s="49"/>
      <c r="AB93" s="47"/>
      <c r="AC93" s="48"/>
      <c r="AD93" s="49"/>
      <c r="AE93" s="47"/>
      <c r="AF93" s="48"/>
      <c r="AG93" s="49"/>
      <c r="AH93" s="50" t="str">
        <f t="shared" si="2"/>
        <v/>
      </c>
    </row>
    <row r="94" spans="1:34" ht="15.95" customHeight="1">
      <c r="A94" s="46">
        <v>16</v>
      </c>
      <c r="B94" s="63" t="str">
        <f>IF('(4).Midterm Results'!B94="","",'(4).Midterm Results'!B94)</f>
        <v/>
      </c>
      <c r="C94" s="62" t="str">
        <f>IF('(4).Midterm Results'!C94="","",'(4).Midterm Results'!C94)</f>
        <v/>
      </c>
      <c r="D94" s="47"/>
      <c r="E94" s="48"/>
      <c r="F94" s="49"/>
      <c r="G94" s="47"/>
      <c r="H94" s="48"/>
      <c r="I94" s="49"/>
      <c r="J94" s="47"/>
      <c r="K94" s="48"/>
      <c r="L94" s="49"/>
      <c r="M94" s="47"/>
      <c r="N94" s="48"/>
      <c r="O94" s="49"/>
      <c r="P94" s="47"/>
      <c r="Q94" s="48"/>
      <c r="R94" s="49"/>
      <c r="S94" s="47"/>
      <c r="T94" s="48"/>
      <c r="U94" s="49"/>
      <c r="V94" s="47"/>
      <c r="W94" s="48"/>
      <c r="X94" s="49"/>
      <c r="Y94" s="47"/>
      <c r="Z94" s="48"/>
      <c r="AA94" s="49"/>
      <c r="AB94" s="47"/>
      <c r="AC94" s="48"/>
      <c r="AD94" s="49"/>
      <c r="AE94" s="47"/>
      <c r="AF94" s="48"/>
      <c r="AG94" s="49"/>
      <c r="AH94" s="50" t="str">
        <f t="shared" si="2"/>
        <v/>
      </c>
    </row>
    <row r="95" spans="1:34" ht="15.95" customHeight="1">
      <c r="A95" s="46">
        <v>17</v>
      </c>
      <c r="B95" s="63" t="str">
        <f>IF('(4).Midterm Results'!B95="","",'(4).Midterm Results'!B95)</f>
        <v/>
      </c>
      <c r="C95" s="62" t="str">
        <f>IF('(4).Midterm Results'!C95="","",'(4).Midterm Results'!C95)</f>
        <v/>
      </c>
      <c r="D95" s="47"/>
      <c r="E95" s="48"/>
      <c r="F95" s="49"/>
      <c r="G95" s="47"/>
      <c r="H95" s="48"/>
      <c r="I95" s="49"/>
      <c r="J95" s="47"/>
      <c r="K95" s="48"/>
      <c r="L95" s="49"/>
      <c r="M95" s="47"/>
      <c r="N95" s="48"/>
      <c r="O95" s="49"/>
      <c r="P95" s="47"/>
      <c r="Q95" s="48"/>
      <c r="R95" s="49"/>
      <c r="S95" s="47"/>
      <c r="T95" s="48"/>
      <c r="U95" s="49"/>
      <c r="V95" s="47"/>
      <c r="W95" s="48"/>
      <c r="X95" s="49"/>
      <c r="Y95" s="47"/>
      <c r="Z95" s="48"/>
      <c r="AA95" s="49"/>
      <c r="AB95" s="47"/>
      <c r="AC95" s="48"/>
      <c r="AD95" s="49"/>
      <c r="AE95" s="47"/>
      <c r="AF95" s="48"/>
      <c r="AG95" s="49"/>
      <c r="AH95" s="50" t="str">
        <f t="shared" si="2"/>
        <v/>
      </c>
    </row>
    <row r="96" spans="1:34" ht="15.95" customHeight="1">
      <c r="A96" s="46">
        <v>18</v>
      </c>
      <c r="B96" s="63" t="str">
        <f>IF('(4).Midterm Results'!B96="","",'(4).Midterm Results'!B96)</f>
        <v/>
      </c>
      <c r="C96" s="62" t="str">
        <f>IF('(4).Midterm Results'!C96="","",'(4).Midterm Results'!C96)</f>
        <v/>
      </c>
      <c r="D96" s="47"/>
      <c r="E96" s="48"/>
      <c r="F96" s="49"/>
      <c r="G96" s="47"/>
      <c r="H96" s="48"/>
      <c r="I96" s="49"/>
      <c r="J96" s="47"/>
      <c r="K96" s="48"/>
      <c r="L96" s="49"/>
      <c r="M96" s="47"/>
      <c r="N96" s="48"/>
      <c r="O96" s="49"/>
      <c r="P96" s="47"/>
      <c r="Q96" s="48"/>
      <c r="R96" s="49"/>
      <c r="S96" s="47"/>
      <c r="T96" s="48"/>
      <c r="U96" s="49"/>
      <c r="V96" s="47"/>
      <c r="W96" s="48"/>
      <c r="X96" s="49"/>
      <c r="Y96" s="47"/>
      <c r="Z96" s="48"/>
      <c r="AA96" s="49"/>
      <c r="AB96" s="47"/>
      <c r="AC96" s="48"/>
      <c r="AD96" s="49"/>
      <c r="AE96" s="47"/>
      <c r="AF96" s="48"/>
      <c r="AG96" s="49"/>
      <c r="AH96" s="50" t="str">
        <f t="shared" si="2"/>
        <v/>
      </c>
    </row>
    <row r="97" spans="1:34" ht="15.95" customHeight="1">
      <c r="A97" s="46">
        <v>19</v>
      </c>
      <c r="B97" s="63" t="str">
        <f>IF('(4).Midterm Results'!B97="","",'(4).Midterm Results'!B97)</f>
        <v/>
      </c>
      <c r="C97" s="62" t="str">
        <f>IF('(4).Midterm Results'!C97="","",'(4).Midterm Results'!C97)</f>
        <v/>
      </c>
      <c r="D97" s="47"/>
      <c r="E97" s="48"/>
      <c r="F97" s="49"/>
      <c r="G97" s="47"/>
      <c r="H97" s="48"/>
      <c r="I97" s="49"/>
      <c r="J97" s="47"/>
      <c r="K97" s="48"/>
      <c r="L97" s="49"/>
      <c r="M97" s="47"/>
      <c r="N97" s="48"/>
      <c r="O97" s="49"/>
      <c r="P97" s="47"/>
      <c r="Q97" s="48"/>
      <c r="R97" s="49"/>
      <c r="S97" s="47"/>
      <c r="T97" s="48"/>
      <c r="U97" s="49"/>
      <c r="V97" s="47"/>
      <c r="W97" s="48"/>
      <c r="X97" s="49"/>
      <c r="Y97" s="47"/>
      <c r="Z97" s="48"/>
      <c r="AA97" s="49"/>
      <c r="AB97" s="47"/>
      <c r="AC97" s="48"/>
      <c r="AD97" s="49"/>
      <c r="AE97" s="47"/>
      <c r="AF97" s="48"/>
      <c r="AG97" s="49"/>
      <c r="AH97" s="50" t="str">
        <f t="shared" si="2"/>
        <v/>
      </c>
    </row>
    <row r="98" spans="1:34" ht="15.95" customHeight="1">
      <c r="A98" s="46">
        <v>20</v>
      </c>
      <c r="B98" s="63" t="str">
        <f>IF('(4).Midterm Results'!B98="","",'(4).Midterm Results'!B98)</f>
        <v/>
      </c>
      <c r="C98" s="62" t="str">
        <f>IF('(4).Midterm Results'!C98="","",'(4).Midterm Results'!C98)</f>
        <v/>
      </c>
      <c r="D98" s="47"/>
      <c r="E98" s="48"/>
      <c r="F98" s="49"/>
      <c r="G98" s="47"/>
      <c r="H98" s="48"/>
      <c r="I98" s="49"/>
      <c r="J98" s="47"/>
      <c r="K98" s="48"/>
      <c r="L98" s="49"/>
      <c r="M98" s="47"/>
      <c r="N98" s="48"/>
      <c r="O98" s="49"/>
      <c r="P98" s="47"/>
      <c r="Q98" s="48"/>
      <c r="R98" s="49"/>
      <c r="S98" s="47"/>
      <c r="T98" s="48"/>
      <c r="U98" s="49"/>
      <c r="V98" s="47"/>
      <c r="W98" s="48"/>
      <c r="X98" s="49"/>
      <c r="Y98" s="47"/>
      <c r="Z98" s="48"/>
      <c r="AA98" s="49"/>
      <c r="AB98" s="47"/>
      <c r="AC98" s="48"/>
      <c r="AD98" s="49"/>
      <c r="AE98" s="47"/>
      <c r="AF98" s="48"/>
      <c r="AG98" s="49"/>
      <c r="AH98" s="50" t="str">
        <f t="shared" si="2"/>
        <v/>
      </c>
    </row>
    <row r="99" spans="1:34" ht="15.95" customHeight="1">
      <c r="A99" s="46">
        <v>21</v>
      </c>
      <c r="B99" s="63" t="str">
        <f>IF('(4).Midterm Results'!B99="","",'(4).Midterm Results'!B99)</f>
        <v/>
      </c>
      <c r="C99" s="62" t="str">
        <f>IF('(4).Midterm Results'!C99="","",'(4).Midterm Results'!C99)</f>
        <v/>
      </c>
      <c r="D99" s="47"/>
      <c r="E99" s="48"/>
      <c r="F99" s="49"/>
      <c r="G99" s="47"/>
      <c r="H99" s="48"/>
      <c r="I99" s="49"/>
      <c r="J99" s="47"/>
      <c r="K99" s="48"/>
      <c r="L99" s="49"/>
      <c r="M99" s="47"/>
      <c r="N99" s="48"/>
      <c r="O99" s="49"/>
      <c r="P99" s="47"/>
      <c r="Q99" s="48"/>
      <c r="R99" s="49"/>
      <c r="S99" s="47"/>
      <c r="T99" s="48"/>
      <c r="U99" s="49"/>
      <c r="V99" s="47"/>
      <c r="W99" s="48"/>
      <c r="X99" s="49"/>
      <c r="Y99" s="47"/>
      <c r="Z99" s="48"/>
      <c r="AA99" s="49"/>
      <c r="AB99" s="47"/>
      <c r="AC99" s="48"/>
      <c r="AD99" s="49"/>
      <c r="AE99" s="47"/>
      <c r="AF99" s="48"/>
      <c r="AG99" s="49"/>
      <c r="AH99" s="50" t="str">
        <f t="shared" si="2"/>
        <v/>
      </c>
    </row>
    <row r="100" spans="1:34" ht="15.95" customHeight="1">
      <c r="A100" s="46">
        <v>22</v>
      </c>
      <c r="B100" s="63" t="str">
        <f>IF('(4).Midterm Results'!B100="","",'(4).Midterm Results'!B100)</f>
        <v/>
      </c>
      <c r="C100" s="62" t="str">
        <f>IF('(4).Midterm Results'!C100="","",'(4).Midterm Results'!C100)</f>
        <v/>
      </c>
      <c r="D100" s="47"/>
      <c r="E100" s="48"/>
      <c r="F100" s="49"/>
      <c r="G100" s="47"/>
      <c r="H100" s="48"/>
      <c r="I100" s="49"/>
      <c r="J100" s="47"/>
      <c r="K100" s="48"/>
      <c r="L100" s="49"/>
      <c r="M100" s="47"/>
      <c r="N100" s="48"/>
      <c r="O100" s="49"/>
      <c r="P100" s="47"/>
      <c r="Q100" s="48"/>
      <c r="R100" s="49"/>
      <c r="S100" s="47"/>
      <c r="T100" s="48"/>
      <c r="U100" s="49"/>
      <c r="V100" s="47"/>
      <c r="W100" s="48"/>
      <c r="X100" s="49"/>
      <c r="Y100" s="47"/>
      <c r="Z100" s="48"/>
      <c r="AA100" s="49"/>
      <c r="AB100" s="47"/>
      <c r="AC100" s="48"/>
      <c r="AD100" s="49"/>
      <c r="AE100" s="47"/>
      <c r="AF100" s="48"/>
      <c r="AG100" s="49"/>
      <c r="AH100" s="50" t="str">
        <f t="shared" si="2"/>
        <v/>
      </c>
    </row>
    <row r="101" spans="1:34" ht="15.95" customHeight="1">
      <c r="A101" s="46">
        <v>23</v>
      </c>
      <c r="B101" s="63" t="str">
        <f>IF('(4).Midterm Results'!B101="","",'(4).Midterm Results'!B101)</f>
        <v/>
      </c>
      <c r="C101" s="62" t="str">
        <f>IF('(4).Midterm Results'!C101="","",'(4).Midterm Results'!C101)</f>
        <v/>
      </c>
      <c r="D101" s="47"/>
      <c r="E101" s="48"/>
      <c r="F101" s="49"/>
      <c r="G101" s="47"/>
      <c r="H101" s="48"/>
      <c r="I101" s="49"/>
      <c r="J101" s="47"/>
      <c r="K101" s="48"/>
      <c r="L101" s="49"/>
      <c r="M101" s="47"/>
      <c r="N101" s="48"/>
      <c r="O101" s="49"/>
      <c r="P101" s="47"/>
      <c r="Q101" s="48"/>
      <c r="R101" s="49"/>
      <c r="S101" s="47"/>
      <c r="T101" s="48"/>
      <c r="U101" s="49"/>
      <c r="V101" s="47"/>
      <c r="W101" s="48"/>
      <c r="X101" s="49"/>
      <c r="Y101" s="47"/>
      <c r="Z101" s="48"/>
      <c r="AA101" s="49"/>
      <c r="AB101" s="47"/>
      <c r="AC101" s="48"/>
      <c r="AD101" s="49"/>
      <c r="AE101" s="47"/>
      <c r="AF101" s="48"/>
      <c r="AG101" s="49"/>
      <c r="AH101" s="50" t="str">
        <f t="shared" si="2"/>
        <v/>
      </c>
    </row>
    <row r="102" spans="1:34" ht="15.95" customHeight="1">
      <c r="A102" s="46">
        <v>24</v>
      </c>
      <c r="B102" s="63" t="str">
        <f>IF('(4).Midterm Results'!B102="","",'(4).Midterm Results'!B102)</f>
        <v/>
      </c>
      <c r="C102" s="62" t="str">
        <f>IF('(4).Midterm Results'!C102="","",'(4).Midterm Results'!C102)</f>
        <v/>
      </c>
      <c r="D102" s="47"/>
      <c r="E102" s="48"/>
      <c r="F102" s="49"/>
      <c r="G102" s="47"/>
      <c r="H102" s="48"/>
      <c r="I102" s="49"/>
      <c r="J102" s="47"/>
      <c r="K102" s="48"/>
      <c r="L102" s="49"/>
      <c r="M102" s="47"/>
      <c r="N102" s="48"/>
      <c r="O102" s="49"/>
      <c r="P102" s="47"/>
      <c r="Q102" s="48"/>
      <c r="R102" s="49"/>
      <c r="S102" s="47"/>
      <c r="T102" s="48"/>
      <c r="U102" s="49"/>
      <c r="V102" s="47"/>
      <c r="W102" s="48"/>
      <c r="X102" s="49"/>
      <c r="Y102" s="47"/>
      <c r="Z102" s="48"/>
      <c r="AA102" s="49"/>
      <c r="AB102" s="47"/>
      <c r="AC102" s="48"/>
      <c r="AD102" s="49"/>
      <c r="AE102" s="47"/>
      <c r="AF102" s="48"/>
      <c r="AG102" s="49"/>
      <c r="AH102" s="50" t="str">
        <f t="shared" si="2"/>
        <v/>
      </c>
    </row>
    <row r="103" spans="1:34" ht="15.95" customHeight="1">
      <c r="A103" s="46">
        <v>25</v>
      </c>
      <c r="B103" s="63" t="str">
        <f>IF('(4).Midterm Results'!B103="","",'(4).Midterm Results'!B103)</f>
        <v/>
      </c>
      <c r="C103" s="62" t="str">
        <f>IF('(4).Midterm Results'!C103="","",'(4).Midterm Results'!C103)</f>
        <v/>
      </c>
      <c r="D103" s="47"/>
      <c r="E103" s="48"/>
      <c r="F103" s="49"/>
      <c r="G103" s="47"/>
      <c r="H103" s="48"/>
      <c r="I103" s="49"/>
      <c r="J103" s="47"/>
      <c r="K103" s="48"/>
      <c r="L103" s="49"/>
      <c r="M103" s="47"/>
      <c r="N103" s="48"/>
      <c r="O103" s="49"/>
      <c r="P103" s="47"/>
      <c r="Q103" s="48"/>
      <c r="R103" s="49"/>
      <c r="S103" s="47"/>
      <c r="T103" s="48"/>
      <c r="U103" s="49"/>
      <c r="V103" s="47"/>
      <c r="W103" s="48"/>
      <c r="X103" s="49"/>
      <c r="Y103" s="47"/>
      <c r="Z103" s="48"/>
      <c r="AA103" s="49"/>
      <c r="AB103" s="47"/>
      <c r="AC103" s="48"/>
      <c r="AD103" s="49"/>
      <c r="AE103" s="47"/>
      <c r="AF103" s="48"/>
      <c r="AG103" s="49"/>
      <c r="AH103" s="50" t="str">
        <f t="shared" si="2"/>
        <v/>
      </c>
    </row>
    <row r="104" spans="1:34" ht="15.95" customHeight="1">
      <c r="A104" s="46">
        <v>26</v>
      </c>
      <c r="B104" s="63" t="str">
        <f>IF('(4).Midterm Results'!B104="","",'(4).Midterm Results'!B104)</f>
        <v/>
      </c>
      <c r="C104" s="62" t="str">
        <f>IF('(4).Midterm Results'!C104="","",'(4).Midterm Results'!C104)</f>
        <v/>
      </c>
      <c r="D104" s="47"/>
      <c r="E104" s="48"/>
      <c r="F104" s="49"/>
      <c r="G104" s="47"/>
      <c r="H104" s="48"/>
      <c r="I104" s="49"/>
      <c r="J104" s="47"/>
      <c r="K104" s="48"/>
      <c r="L104" s="49"/>
      <c r="M104" s="47"/>
      <c r="N104" s="48"/>
      <c r="O104" s="49"/>
      <c r="P104" s="47"/>
      <c r="Q104" s="48"/>
      <c r="R104" s="49"/>
      <c r="S104" s="47"/>
      <c r="T104" s="48"/>
      <c r="U104" s="49"/>
      <c r="V104" s="47"/>
      <c r="W104" s="48"/>
      <c r="X104" s="49"/>
      <c r="Y104" s="47"/>
      <c r="Z104" s="48"/>
      <c r="AA104" s="49"/>
      <c r="AB104" s="47"/>
      <c r="AC104" s="48"/>
      <c r="AD104" s="49"/>
      <c r="AE104" s="47"/>
      <c r="AF104" s="48"/>
      <c r="AG104" s="49"/>
      <c r="AH104" s="50" t="str">
        <f t="shared" si="2"/>
        <v/>
      </c>
    </row>
    <row r="105" spans="1:34" ht="15.95" customHeight="1">
      <c r="A105" s="46">
        <v>27</v>
      </c>
      <c r="B105" s="63" t="str">
        <f>IF('(4).Midterm Results'!B105="","",'(4).Midterm Results'!B105)</f>
        <v/>
      </c>
      <c r="C105" s="62" t="str">
        <f>IF('(4).Midterm Results'!C105="","",'(4).Midterm Results'!C105)</f>
        <v/>
      </c>
      <c r="D105" s="47"/>
      <c r="E105" s="48"/>
      <c r="F105" s="49"/>
      <c r="G105" s="47"/>
      <c r="H105" s="48"/>
      <c r="I105" s="49"/>
      <c r="J105" s="47"/>
      <c r="K105" s="48"/>
      <c r="L105" s="49"/>
      <c r="M105" s="47"/>
      <c r="N105" s="48"/>
      <c r="O105" s="49"/>
      <c r="P105" s="47"/>
      <c r="Q105" s="48"/>
      <c r="R105" s="49"/>
      <c r="S105" s="47"/>
      <c r="T105" s="48"/>
      <c r="U105" s="49"/>
      <c r="V105" s="47"/>
      <c r="W105" s="48"/>
      <c r="X105" s="49"/>
      <c r="Y105" s="47"/>
      <c r="Z105" s="48"/>
      <c r="AA105" s="49"/>
      <c r="AB105" s="47"/>
      <c r="AC105" s="48"/>
      <c r="AD105" s="49"/>
      <c r="AE105" s="47"/>
      <c r="AF105" s="48"/>
      <c r="AG105" s="49"/>
      <c r="AH105" s="50" t="str">
        <f t="shared" si="2"/>
        <v/>
      </c>
    </row>
    <row r="106" spans="1:34" ht="15.95" customHeight="1">
      <c r="A106" s="46">
        <v>28</v>
      </c>
      <c r="B106" s="63" t="str">
        <f>IF('(4).Midterm Results'!B106="","",'(4).Midterm Results'!B106)</f>
        <v/>
      </c>
      <c r="C106" s="62" t="str">
        <f>IF('(4).Midterm Results'!C106="","",'(4).Midterm Results'!C106)</f>
        <v/>
      </c>
      <c r="D106" s="47"/>
      <c r="E106" s="48"/>
      <c r="F106" s="49"/>
      <c r="G106" s="47"/>
      <c r="H106" s="48"/>
      <c r="I106" s="49"/>
      <c r="J106" s="47"/>
      <c r="K106" s="48"/>
      <c r="L106" s="49"/>
      <c r="M106" s="47"/>
      <c r="N106" s="48"/>
      <c r="O106" s="49"/>
      <c r="P106" s="47"/>
      <c r="Q106" s="48"/>
      <c r="R106" s="49"/>
      <c r="S106" s="47"/>
      <c r="T106" s="48"/>
      <c r="U106" s="49"/>
      <c r="V106" s="47"/>
      <c r="W106" s="48"/>
      <c r="X106" s="49"/>
      <c r="Y106" s="47"/>
      <c r="Z106" s="48"/>
      <c r="AA106" s="49"/>
      <c r="AB106" s="47"/>
      <c r="AC106" s="48"/>
      <c r="AD106" s="49"/>
      <c r="AE106" s="47"/>
      <c r="AF106" s="48"/>
      <c r="AG106" s="49"/>
      <c r="AH106" s="50" t="str">
        <f t="shared" si="2"/>
        <v/>
      </c>
    </row>
    <row r="107" spans="1:34" ht="15.95" customHeight="1">
      <c r="A107" s="46">
        <v>29</v>
      </c>
      <c r="B107" s="63" t="str">
        <f>IF('(4).Midterm Results'!B107="","",'(4).Midterm Results'!B107)</f>
        <v/>
      </c>
      <c r="C107" s="62" t="str">
        <f>IF('(4).Midterm Results'!C107="","",'(4).Midterm Results'!C107)</f>
        <v/>
      </c>
      <c r="D107" s="47"/>
      <c r="E107" s="48"/>
      <c r="F107" s="49"/>
      <c r="G107" s="47"/>
      <c r="H107" s="48"/>
      <c r="I107" s="49"/>
      <c r="J107" s="47"/>
      <c r="K107" s="48"/>
      <c r="L107" s="49"/>
      <c r="M107" s="47"/>
      <c r="N107" s="48"/>
      <c r="O107" s="49"/>
      <c r="P107" s="47"/>
      <c r="Q107" s="48"/>
      <c r="R107" s="49"/>
      <c r="S107" s="47"/>
      <c r="T107" s="48"/>
      <c r="U107" s="49"/>
      <c r="V107" s="47"/>
      <c r="W107" s="48"/>
      <c r="X107" s="49"/>
      <c r="Y107" s="47"/>
      <c r="Z107" s="48"/>
      <c r="AA107" s="49"/>
      <c r="AB107" s="47"/>
      <c r="AC107" s="48"/>
      <c r="AD107" s="49"/>
      <c r="AE107" s="47"/>
      <c r="AF107" s="48"/>
      <c r="AG107" s="49"/>
      <c r="AH107" s="50" t="str">
        <f t="shared" si="2"/>
        <v/>
      </c>
    </row>
    <row r="108" spans="1:34" ht="15.95" customHeight="1">
      <c r="A108" s="46">
        <v>30</v>
      </c>
      <c r="B108" s="63" t="str">
        <f>IF('(4).Midterm Results'!B108="","",'(4).Midterm Results'!B108)</f>
        <v/>
      </c>
      <c r="C108" s="62" t="str">
        <f>IF('(4).Midterm Results'!C108="","",'(4).Midterm Results'!C108)</f>
        <v/>
      </c>
      <c r="D108" s="47"/>
      <c r="E108" s="48"/>
      <c r="F108" s="49"/>
      <c r="G108" s="47"/>
      <c r="H108" s="48"/>
      <c r="I108" s="49"/>
      <c r="J108" s="47"/>
      <c r="K108" s="48"/>
      <c r="L108" s="49"/>
      <c r="M108" s="47"/>
      <c r="N108" s="48"/>
      <c r="O108" s="49"/>
      <c r="P108" s="47"/>
      <c r="Q108" s="48"/>
      <c r="R108" s="49"/>
      <c r="S108" s="47"/>
      <c r="T108" s="48"/>
      <c r="U108" s="49"/>
      <c r="V108" s="47"/>
      <c r="W108" s="48"/>
      <c r="X108" s="49"/>
      <c r="Y108" s="47"/>
      <c r="Z108" s="48"/>
      <c r="AA108" s="49"/>
      <c r="AB108" s="47"/>
      <c r="AC108" s="48"/>
      <c r="AD108" s="49"/>
      <c r="AE108" s="47"/>
      <c r="AF108" s="48"/>
      <c r="AG108" s="49"/>
      <c r="AH108" s="50" t="str">
        <f t="shared" si="2"/>
        <v/>
      </c>
    </row>
    <row r="109" spans="1:34" ht="15.95" customHeight="1">
      <c r="A109" s="18" t="s">
        <v>0</v>
      </c>
      <c r="B109" s="19">
        <f>'(4).Midterm Results'!B109</f>
        <v>0</v>
      </c>
      <c r="C109" s="60"/>
      <c r="D109" s="222" t="s">
        <v>91</v>
      </c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</row>
    <row r="110" spans="1:34" ht="15.95" customHeight="1">
      <c r="A110" s="18" t="s">
        <v>1</v>
      </c>
      <c r="B110" s="19">
        <f>'(4).Midterm Results'!B110</f>
        <v>0</v>
      </c>
      <c r="C110" s="60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</row>
    <row r="111" spans="1:34" ht="15.95" customHeight="1">
      <c r="A111" s="18" t="s">
        <v>2</v>
      </c>
      <c r="B111" s="19">
        <f>'(4).Midterm Results'!B111</f>
        <v>0</v>
      </c>
      <c r="C111" s="60"/>
      <c r="D111" s="223" t="str">
        <f>'(4).Midterm Results'!D110</f>
        <v>FEBRUARY - JULY 2026</v>
      </c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</row>
    <row r="112" spans="1:34" ht="15.95" customHeight="1">
      <c r="A112" s="18" t="s">
        <v>3</v>
      </c>
      <c r="B112" s="19">
        <f>'(4).Midterm Results'!B112</f>
        <v>0</v>
      </c>
      <c r="C112" s="60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</row>
    <row r="113" spans="1:34" ht="15.95" customHeight="1">
      <c r="A113" s="18" t="s">
        <v>4</v>
      </c>
      <c r="B113" s="19">
        <f>'(4).Midterm Results'!B113</f>
        <v>0</v>
      </c>
      <c r="C113" s="61"/>
      <c r="D113" s="220" t="str">
        <f>IF(OR($B110="K5",$B110="K6",$B110="K7",$B110="K8",$B110="K9",$B110="K10"),"Listening","Up-Low C")</f>
        <v>Up-Low C</v>
      </c>
      <c r="E113" s="220"/>
      <c r="F113" s="220"/>
      <c r="G113" s="220" t="str">
        <f>IF(OR($B110="K5",$B110="K6",$B110="K7",$B110="K8",$B110="K9",$B110="K10"),"Speaking","Alphabet N")</f>
        <v>Alphabet N</v>
      </c>
      <c r="H113" s="220"/>
      <c r="I113" s="220"/>
      <c r="J113" s="220" t="str">
        <f>IF(OR($B110="K5",$B110="K6",$B110="K7",$B110="K8",$B110="K9",$B110="K10"),"Reading","Alphabet S")</f>
        <v>Alphabet S</v>
      </c>
      <c r="K113" s="220"/>
      <c r="L113" s="220"/>
      <c r="M113" s="220" t="str">
        <f>IF(OR($B110="K5",$B110="K6",$B110="K7",$B110="K8",$B110="K9",$B110="K10"),"Writing","Vocabulary")</f>
        <v>Vocabulary</v>
      </c>
      <c r="N113" s="220"/>
      <c r="O113" s="220"/>
      <c r="P113" s="220" t="str">
        <f>IF(OR($B110="K5",$B110="K6",$B110="K7",$B110="K8",$B110="K9",$B110="K10"),"Gram/Vocab","Sprouts")</f>
        <v>Sprouts</v>
      </c>
      <c r="Q113" s="220"/>
      <c r="R113" s="220"/>
      <c r="S113" s="220" t="str">
        <f>IF(OR($B110="K5",$B110="K6",$B110="K7",$B110="K8",$B110="K9",$B110="K10"),"Roots","Phonics")</f>
        <v>Phonics</v>
      </c>
      <c r="T113" s="220"/>
      <c r="U113" s="220"/>
      <c r="V113" s="220" t="str">
        <f>IF(OR($B110="K5",$B110="K6",$B110="K7",$B110="K8",$B110="K9",$B110="K10"),"Phonics","Math")</f>
        <v>Math</v>
      </c>
      <c r="W113" s="220"/>
      <c r="X113" s="220"/>
      <c r="Y113" s="220" t="str">
        <f>IF(OR($B110="K5",$B110="K6",$B110="K7",$B110="K8",$B110="K9",$B110="K10"),"Math","Shape")</f>
        <v>Shape</v>
      </c>
      <c r="Z113" s="220"/>
      <c r="AA113" s="220"/>
      <c r="AB113" s="220" t="s">
        <v>10</v>
      </c>
      <c r="AC113" s="220"/>
      <c r="AD113" s="220"/>
      <c r="AE113" s="220" t="str">
        <f>IF(OR($B110="K5",$B110="K6",$B110="K7",$B110="K8",$B110="K9",$B110="K10"),"Homework","Tracing")</f>
        <v>Tracing</v>
      </c>
      <c r="AF113" s="220"/>
      <c r="AG113" s="220"/>
      <c r="AH113" s="90" t="s">
        <v>11</v>
      </c>
    </row>
    <row r="114" spans="1:34" ht="15.95" customHeight="1" thickBot="1">
      <c r="A114" s="73" t="s">
        <v>5</v>
      </c>
      <c r="B114" s="74" t="s">
        <v>6</v>
      </c>
      <c r="C114" s="75" t="s">
        <v>7</v>
      </c>
      <c r="D114" s="221" t="s">
        <v>9</v>
      </c>
      <c r="E114" s="221"/>
      <c r="F114" s="221"/>
      <c r="G114" s="221" t="s">
        <v>9</v>
      </c>
      <c r="H114" s="221"/>
      <c r="I114" s="221"/>
      <c r="J114" s="221" t="s">
        <v>9</v>
      </c>
      <c r="K114" s="221"/>
      <c r="L114" s="221"/>
      <c r="M114" s="221" t="s">
        <v>9</v>
      </c>
      <c r="N114" s="221"/>
      <c r="O114" s="221"/>
      <c r="P114" s="221" t="s">
        <v>9</v>
      </c>
      <c r="Q114" s="221"/>
      <c r="R114" s="221"/>
      <c r="S114" s="221" t="s">
        <v>9</v>
      </c>
      <c r="T114" s="221"/>
      <c r="U114" s="221"/>
      <c r="V114" s="221" t="s">
        <v>9</v>
      </c>
      <c r="W114" s="221"/>
      <c r="X114" s="221"/>
      <c r="Y114" s="221" t="s">
        <v>9</v>
      </c>
      <c r="Z114" s="221"/>
      <c r="AA114" s="221"/>
      <c r="AB114" s="221" t="s">
        <v>9</v>
      </c>
      <c r="AC114" s="221"/>
      <c r="AD114" s="221"/>
      <c r="AE114" s="221" t="s">
        <v>9</v>
      </c>
      <c r="AF114" s="221"/>
      <c r="AG114" s="221"/>
      <c r="AH114" s="77" t="s">
        <v>12</v>
      </c>
    </row>
    <row r="115" spans="1:34" ht="15.95" customHeight="1">
      <c r="A115" s="14">
        <v>1</v>
      </c>
      <c r="B115" s="68" t="str">
        <f>IF('(4).Midterm Results'!B115="","",'(4).Midterm Results'!B115)</f>
        <v/>
      </c>
      <c r="C115" s="16" t="str">
        <f>IF('(4).Midterm Results'!C115="","",'(4).Midterm Results'!C115)</f>
        <v/>
      </c>
      <c r="D115" s="69"/>
      <c r="E115" s="70"/>
      <c r="F115" s="71"/>
      <c r="G115" s="69"/>
      <c r="H115" s="70"/>
      <c r="I115" s="71"/>
      <c r="J115" s="69"/>
      <c r="K115" s="70"/>
      <c r="L115" s="71"/>
      <c r="M115" s="69"/>
      <c r="N115" s="70"/>
      <c r="O115" s="71"/>
      <c r="P115" s="69"/>
      <c r="Q115" s="70"/>
      <c r="R115" s="71"/>
      <c r="S115" s="69"/>
      <c r="T115" s="70"/>
      <c r="U115" s="71"/>
      <c r="V115" s="69"/>
      <c r="W115" s="70"/>
      <c r="X115" s="71"/>
      <c r="Y115" s="69"/>
      <c r="Z115" s="70"/>
      <c r="AA115" s="71"/>
      <c r="AB115" s="69"/>
      <c r="AC115" s="70"/>
      <c r="AD115" s="71"/>
      <c r="AE115" s="69"/>
      <c r="AF115" s="70"/>
      <c r="AG115" s="71"/>
      <c r="AH115" s="72" t="str">
        <f>IF(B115="","",IF(COUNT(D115:F115)=0,"Incomplete",IF(COUNT(G115:I115)=0,"Incomplete",IF(COUNT(J115:L115)=0,"Incomplete",IF(COUNT(M115:O115)=0,"Incomplete",IF(COUNT(P115:R115)=0,"Incomplete",IF(COUNT(S115:U115)=0,"Incomplete",IF(COUNT(V115:X115)=0,"Incomplete",IF(COUNT(Y115:AA115)=0,"Incomplete",IF(COUNT(AB115:AD115)=0,"Incomplete",IF(COUNT(AE115:AG115)=0,"Incomplete",AVERAGEIF(D115:F115,"&gt;=0")+AVERAGEIF(G115:I115,"&gt;=0")+AVERAGEIF(J115:L115,"&gt;=0")+AVERAGEIF(M115:O115,"&gt;=0")+AVERAGEIF(P115:R115,"&gt;=0")+AVERAGEIF(S115:U115,"&gt;=0")+AVERAGEIF(V115:X115,"&gt;=0")+AVERAGEIF(Y115:AA115,"&gt;=0")+AVERAGEIF(AB115:AD115,"&gt;=0")+AVERAGEIF(AE115:AG115,"&gt;=0"))))))))))))</f>
        <v/>
      </c>
    </row>
    <row r="116" spans="1:34" ht="15.95" customHeight="1">
      <c r="A116" s="46">
        <v>2</v>
      </c>
      <c r="B116" s="63" t="str">
        <f>IF('(4).Midterm Results'!B116="","",'(4).Midterm Results'!B116)</f>
        <v/>
      </c>
      <c r="C116" s="62" t="str">
        <f>IF('(4).Midterm Results'!C116="","",'(4).Midterm Results'!C116)</f>
        <v/>
      </c>
      <c r="D116" s="47"/>
      <c r="E116" s="48"/>
      <c r="F116" s="49"/>
      <c r="G116" s="47"/>
      <c r="H116" s="48"/>
      <c r="I116" s="49"/>
      <c r="J116" s="47"/>
      <c r="K116" s="48"/>
      <c r="L116" s="49"/>
      <c r="M116" s="47"/>
      <c r="N116" s="48"/>
      <c r="O116" s="49"/>
      <c r="P116" s="47"/>
      <c r="Q116" s="48"/>
      <c r="R116" s="49"/>
      <c r="S116" s="47"/>
      <c r="T116" s="48"/>
      <c r="U116" s="49"/>
      <c r="V116" s="47"/>
      <c r="W116" s="48"/>
      <c r="X116" s="49"/>
      <c r="Y116" s="47"/>
      <c r="Z116" s="48"/>
      <c r="AA116" s="49"/>
      <c r="AB116" s="47"/>
      <c r="AC116" s="48"/>
      <c r="AD116" s="49"/>
      <c r="AE116" s="47"/>
      <c r="AF116" s="48"/>
      <c r="AG116" s="49"/>
      <c r="AH116" s="50" t="str">
        <f t="shared" ref="AH116:AH144" si="3">IF(B116="","",IF(COUNT(D116:F116)=0,"Incomplete",IF(COUNT(G116:I116)=0,"Incomplete",IF(COUNT(J116:L116)=0,"Incomplete",IF(COUNT(M116:O116)=0,"Incomplete",IF(COUNT(P116:R116)=0,"Incomplete",IF(COUNT(S116:U116)=0,"Incomplete",IF(COUNT(V116:X116)=0,"Incomplete",IF(COUNT(Y116:AA116)=0,"Incomplete",IF(COUNT(AB116:AD116)=0,"Incomplete",IF(COUNT(AE116:AG116)=0,"Incomplete",AVERAGEIF(D116:F116,"&gt;=0")+AVERAGEIF(G116:I116,"&gt;=0")+AVERAGEIF(J116:L116,"&gt;=0")+AVERAGEIF(M116:O116,"&gt;=0")+AVERAGEIF(P116:R116,"&gt;=0")+AVERAGEIF(S116:U116,"&gt;=0")+AVERAGEIF(V116:X116,"&gt;=0")+AVERAGEIF(Y116:AA116,"&gt;=0")+AVERAGEIF(AB116:AD116,"&gt;=0")+AVERAGEIF(AE116:AG116,"&gt;=0"))))))))))))</f>
        <v/>
      </c>
    </row>
    <row r="117" spans="1:34" ht="15.95" customHeight="1">
      <c r="A117" s="46">
        <v>3</v>
      </c>
      <c r="B117" s="63" t="str">
        <f>IF('(4).Midterm Results'!B117="","",'(4).Midterm Results'!B117)</f>
        <v/>
      </c>
      <c r="C117" s="62" t="str">
        <f>IF('(4).Midterm Results'!C117="","",'(4).Midterm Results'!C117)</f>
        <v/>
      </c>
      <c r="D117" s="47"/>
      <c r="E117" s="48"/>
      <c r="F117" s="49"/>
      <c r="G117" s="47"/>
      <c r="H117" s="48"/>
      <c r="I117" s="49"/>
      <c r="J117" s="47"/>
      <c r="K117" s="48"/>
      <c r="L117" s="49"/>
      <c r="M117" s="47"/>
      <c r="N117" s="48"/>
      <c r="O117" s="49"/>
      <c r="P117" s="47"/>
      <c r="Q117" s="48"/>
      <c r="R117" s="49"/>
      <c r="S117" s="47"/>
      <c r="T117" s="48"/>
      <c r="U117" s="49"/>
      <c r="V117" s="47"/>
      <c r="W117" s="48"/>
      <c r="X117" s="49"/>
      <c r="Y117" s="47"/>
      <c r="Z117" s="48"/>
      <c r="AA117" s="49"/>
      <c r="AB117" s="47"/>
      <c r="AC117" s="48"/>
      <c r="AD117" s="49"/>
      <c r="AE117" s="47"/>
      <c r="AF117" s="48"/>
      <c r="AG117" s="49"/>
      <c r="AH117" s="50" t="str">
        <f t="shared" si="3"/>
        <v/>
      </c>
    </row>
    <row r="118" spans="1:34" ht="15.95" customHeight="1">
      <c r="A118" s="46">
        <v>4</v>
      </c>
      <c r="B118" s="63" t="str">
        <f>IF('(4).Midterm Results'!B118="","",'(4).Midterm Results'!B118)</f>
        <v/>
      </c>
      <c r="C118" s="62" t="str">
        <f>IF('(4).Midterm Results'!C118="","",'(4).Midterm Results'!C118)</f>
        <v/>
      </c>
      <c r="D118" s="47"/>
      <c r="E118" s="48"/>
      <c r="F118" s="49"/>
      <c r="G118" s="47"/>
      <c r="H118" s="48"/>
      <c r="I118" s="49"/>
      <c r="J118" s="47"/>
      <c r="K118" s="48"/>
      <c r="L118" s="49"/>
      <c r="M118" s="47"/>
      <c r="N118" s="48"/>
      <c r="O118" s="49"/>
      <c r="P118" s="47"/>
      <c r="Q118" s="48"/>
      <c r="R118" s="49"/>
      <c r="S118" s="47"/>
      <c r="T118" s="48"/>
      <c r="U118" s="49"/>
      <c r="V118" s="47"/>
      <c r="W118" s="48"/>
      <c r="X118" s="49"/>
      <c r="Y118" s="47"/>
      <c r="Z118" s="48"/>
      <c r="AA118" s="49"/>
      <c r="AB118" s="47"/>
      <c r="AC118" s="48"/>
      <c r="AD118" s="49"/>
      <c r="AE118" s="47"/>
      <c r="AF118" s="48"/>
      <c r="AG118" s="49"/>
      <c r="AH118" s="50" t="str">
        <f t="shared" si="3"/>
        <v/>
      </c>
    </row>
    <row r="119" spans="1:34" ht="15.95" customHeight="1">
      <c r="A119" s="46">
        <v>5</v>
      </c>
      <c r="B119" s="63" t="str">
        <f>IF('(4).Midterm Results'!B119="","",'(4).Midterm Results'!B119)</f>
        <v/>
      </c>
      <c r="C119" s="62" t="str">
        <f>IF('(4).Midterm Results'!C119="","",'(4).Midterm Results'!C119)</f>
        <v/>
      </c>
      <c r="D119" s="47"/>
      <c r="E119" s="48"/>
      <c r="F119" s="49"/>
      <c r="G119" s="47"/>
      <c r="H119" s="48"/>
      <c r="I119" s="49"/>
      <c r="J119" s="47"/>
      <c r="K119" s="48"/>
      <c r="L119" s="49"/>
      <c r="M119" s="47"/>
      <c r="N119" s="48"/>
      <c r="O119" s="49"/>
      <c r="P119" s="47"/>
      <c r="Q119" s="48"/>
      <c r="R119" s="49"/>
      <c r="S119" s="47"/>
      <c r="T119" s="48"/>
      <c r="U119" s="49"/>
      <c r="V119" s="47"/>
      <c r="W119" s="48"/>
      <c r="X119" s="49"/>
      <c r="Y119" s="47"/>
      <c r="Z119" s="48"/>
      <c r="AA119" s="49"/>
      <c r="AB119" s="47"/>
      <c r="AC119" s="48"/>
      <c r="AD119" s="49"/>
      <c r="AE119" s="47"/>
      <c r="AF119" s="48"/>
      <c r="AG119" s="49"/>
      <c r="AH119" s="50" t="str">
        <f t="shared" si="3"/>
        <v/>
      </c>
    </row>
    <row r="120" spans="1:34" ht="15.95" customHeight="1">
      <c r="A120" s="46">
        <v>6</v>
      </c>
      <c r="B120" s="63" t="str">
        <f>IF('(4).Midterm Results'!B120="","",'(4).Midterm Results'!B120)</f>
        <v/>
      </c>
      <c r="C120" s="62" t="str">
        <f>IF('(4).Midterm Results'!C120="","",'(4).Midterm Results'!C120)</f>
        <v/>
      </c>
      <c r="D120" s="47"/>
      <c r="E120" s="48"/>
      <c r="F120" s="49"/>
      <c r="G120" s="47"/>
      <c r="H120" s="48"/>
      <c r="I120" s="49"/>
      <c r="J120" s="47"/>
      <c r="K120" s="48"/>
      <c r="L120" s="49"/>
      <c r="M120" s="47"/>
      <c r="N120" s="48"/>
      <c r="O120" s="49"/>
      <c r="P120" s="47"/>
      <c r="Q120" s="48"/>
      <c r="R120" s="49"/>
      <c r="S120" s="47"/>
      <c r="T120" s="48"/>
      <c r="U120" s="49"/>
      <c r="V120" s="47"/>
      <c r="W120" s="48"/>
      <c r="X120" s="49"/>
      <c r="Y120" s="47"/>
      <c r="Z120" s="48"/>
      <c r="AA120" s="49"/>
      <c r="AB120" s="47"/>
      <c r="AC120" s="48"/>
      <c r="AD120" s="49"/>
      <c r="AE120" s="47"/>
      <c r="AF120" s="48"/>
      <c r="AG120" s="49"/>
      <c r="AH120" s="50" t="str">
        <f t="shared" si="3"/>
        <v/>
      </c>
    </row>
    <row r="121" spans="1:34" ht="15.95" customHeight="1">
      <c r="A121" s="46">
        <v>7</v>
      </c>
      <c r="B121" s="63" t="str">
        <f>IF('(4).Midterm Results'!B121="","",'(4).Midterm Results'!B121)</f>
        <v/>
      </c>
      <c r="C121" s="62" t="str">
        <f>IF('(4).Midterm Results'!C121="","",'(4).Midterm Results'!C121)</f>
        <v/>
      </c>
      <c r="D121" s="47"/>
      <c r="E121" s="48"/>
      <c r="F121" s="49"/>
      <c r="G121" s="47"/>
      <c r="H121" s="48"/>
      <c r="I121" s="49"/>
      <c r="J121" s="47"/>
      <c r="K121" s="48"/>
      <c r="L121" s="49"/>
      <c r="M121" s="47"/>
      <c r="N121" s="48"/>
      <c r="O121" s="49"/>
      <c r="P121" s="47"/>
      <c r="Q121" s="48"/>
      <c r="R121" s="49"/>
      <c r="S121" s="47"/>
      <c r="T121" s="48"/>
      <c r="U121" s="49"/>
      <c r="V121" s="47"/>
      <c r="W121" s="48"/>
      <c r="X121" s="49"/>
      <c r="Y121" s="47"/>
      <c r="Z121" s="48"/>
      <c r="AA121" s="49"/>
      <c r="AB121" s="47"/>
      <c r="AC121" s="48"/>
      <c r="AD121" s="49"/>
      <c r="AE121" s="47"/>
      <c r="AF121" s="48"/>
      <c r="AG121" s="49"/>
      <c r="AH121" s="50" t="str">
        <f t="shared" si="3"/>
        <v/>
      </c>
    </row>
    <row r="122" spans="1:34" ht="15.95" customHeight="1">
      <c r="A122" s="46">
        <v>8</v>
      </c>
      <c r="B122" s="63" t="str">
        <f>IF('(4).Midterm Results'!B122="","",'(4).Midterm Results'!B122)</f>
        <v/>
      </c>
      <c r="C122" s="62" t="str">
        <f>IF('(4).Midterm Results'!C122="","",'(4).Midterm Results'!C122)</f>
        <v/>
      </c>
      <c r="D122" s="47"/>
      <c r="E122" s="48"/>
      <c r="F122" s="49"/>
      <c r="G122" s="47"/>
      <c r="H122" s="48"/>
      <c r="I122" s="49"/>
      <c r="J122" s="47"/>
      <c r="K122" s="48"/>
      <c r="L122" s="49"/>
      <c r="M122" s="47"/>
      <c r="N122" s="48"/>
      <c r="O122" s="49"/>
      <c r="P122" s="47"/>
      <c r="Q122" s="48"/>
      <c r="R122" s="49"/>
      <c r="S122" s="47"/>
      <c r="T122" s="48"/>
      <c r="U122" s="49"/>
      <c r="V122" s="47"/>
      <c r="W122" s="48"/>
      <c r="X122" s="49"/>
      <c r="Y122" s="47"/>
      <c r="Z122" s="48"/>
      <c r="AA122" s="49"/>
      <c r="AB122" s="47"/>
      <c r="AC122" s="48"/>
      <c r="AD122" s="49"/>
      <c r="AE122" s="47"/>
      <c r="AF122" s="48"/>
      <c r="AG122" s="49"/>
      <c r="AH122" s="50" t="str">
        <f t="shared" si="3"/>
        <v/>
      </c>
    </row>
    <row r="123" spans="1:34" ht="15.95" customHeight="1">
      <c r="A123" s="46">
        <v>9</v>
      </c>
      <c r="B123" s="63" t="str">
        <f>IF('(4).Midterm Results'!B123="","",'(4).Midterm Results'!B123)</f>
        <v/>
      </c>
      <c r="C123" s="62" t="str">
        <f>IF('(4).Midterm Results'!C123="","",'(4).Midterm Results'!C123)</f>
        <v/>
      </c>
      <c r="D123" s="47"/>
      <c r="E123" s="48"/>
      <c r="F123" s="49"/>
      <c r="G123" s="47"/>
      <c r="H123" s="48"/>
      <c r="I123" s="49"/>
      <c r="J123" s="47"/>
      <c r="K123" s="48"/>
      <c r="L123" s="49"/>
      <c r="M123" s="47"/>
      <c r="N123" s="48"/>
      <c r="O123" s="49"/>
      <c r="P123" s="47"/>
      <c r="Q123" s="48"/>
      <c r="R123" s="49"/>
      <c r="S123" s="47"/>
      <c r="T123" s="48"/>
      <c r="U123" s="49"/>
      <c r="V123" s="47"/>
      <c r="W123" s="48"/>
      <c r="X123" s="49"/>
      <c r="Y123" s="47"/>
      <c r="Z123" s="48"/>
      <c r="AA123" s="49"/>
      <c r="AB123" s="47"/>
      <c r="AC123" s="48"/>
      <c r="AD123" s="49"/>
      <c r="AE123" s="47"/>
      <c r="AF123" s="48"/>
      <c r="AG123" s="49"/>
      <c r="AH123" s="50" t="str">
        <f t="shared" si="3"/>
        <v/>
      </c>
    </row>
    <row r="124" spans="1:34" ht="15.95" customHeight="1">
      <c r="A124" s="46">
        <v>10</v>
      </c>
      <c r="B124" s="63" t="str">
        <f>IF('(4).Midterm Results'!B124="","",'(4).Midterm Results'!B124)</f>
        <v/>
      </c>
      <c r="C124" s="62" t="str">
        <f>IF('(4).Midterm Results'!C124="","",'(4).Midterm Results'!C124)</f>
        <v/>
      </c>
      <c r="D124" s="47"/>
      <c r="E124" s="48"/>
      <c r="F124" s="49"/>
      <c r="G124" s="47"/>
      <c r="H124" s="48"/>
      <c r="I124" s="49"/>
      <c r="J124" s="47"/>
      <c r="K124" s="48"/>
      <c r="L124" s="49"/>
      <c r="M124" s="47"/>
      <c r="N124" s="48"/>
      <c r="O124" s="49"/>
      <c r="P124" s="47"/>
      <c r="Q124" s="48"/>
      <c r="R124" s="49"/>
      <c r="S124" s="47"/>
      <c r="T124" s="48"/>
      <c r="U124" s="49"/>
      <c r="V124" s="47"/>
      <c r="W124" s="48"/>
      <c r="X124" s="49"/>
      <c r="Y124" s="47"/>
      <c r="Z124" s="48"/>
      <c r="AA124" s="49"/>
      <c r="AB124" s="47"/>
      <c r="AC124" s="48"/>
      <c r="AD124" s="49"/>
      <c r="AE124" s="47"/>
      <c r="AF124" s="48"/>
      <c r="AG124" s="49"/>
      <c r="AH124" s="50" t="str">
        <f t="shared" si="3"/>
        <v/>
      </c>
    </row>
    <row r="125" spans="1:34" ht="15.95" customHeight="1">
      <c r="A125" s="46">
        <v>11</v>
      </c>
      <c r="B125" s="63" t="str">
        <f>IF('(4).Midterm Results'!B125="","",'(4).Midterm Results'!B125)</f>
        <v/>
      </c>
      <c r="C125" s="62" t="str">
        <f>IF('(4).Midterm Results'!C125="","",'(4).Midterm Results'!C125)</f>
        <v/>
      </c>
      <c r="D125" s="47"/>
      <c r="E125" s="48"/>
      <c r="F125" s="49"/>
      <c r="G125" s="47"/>
      <c r="H125" s="48"/>
      <c r="I125" s="49"/>
      <c r="J125" s="47"/>
      <c r="K125" s="48"/>
      <c r="L125" s="49"/>
      <c r="M125" s="47"/>
      <c r="N125" s="48"/>
      <c r="O125" s="49"/>
      <c r="P125" s="47"/>
      <c r="Q125" s="48"/>
      <c r="R125" s="49"/>
      <c r="S125" s="47"/>
      <c r="T125" s="48"/>
      <c r="U125" s="49"/>
      <c r="V125" s="47"/>
      <c r="W125" s="48"/>
      <c r="X125" s="49"/>
      <c r="Y125" s="47"/>
      <c r="Z125" s="48"/>
      <c r="AA125" s="49"/>
      <c r="AB125" s="47"/>
      <c r="AC125" s="48"/>
      <c r="AD125" s="49"/>
      <c r="AE125" s="47"/>
      <c r="AF125" s="48"/>
      <c r="AG125" s="49"/>
      <c r="AH125" s="50" t="str">
        <f t="shared" si="3"/>
        <v/>
      </c>
    </row>
    <row r="126" spans="1:34" ht="15.95" customHeight="1">
      <c r="A126" s="46">
        <v>12</v>
      </c>
      <c r="B126" s="63" t="str">
        <f>IF('(4).Midterm Results'!B126="","",'(4).Midterm Results'!B126)</f>
        <v/>
      </c>
      <c r="C126" s="62" t="str">
        <f>IF('(4).Midterm Results'!C126="","",'(4).Midterm Results'!C126)</f>
        <v/>
      </c>
      <c r="D126" s="47"/>
      <c r="E126" s="48"/>
      <c r="F126" s="49"/>
      <c r="G126" s="47"/>
      <c r="H126" s="48"/>
      <c r="I126" s="49"/>
      <c r="J126" s="47"/>
      <c r="K126" s="48"/>
      <c r="L126" s="49"/>
      <c r="M126" s="47"/>
      <c r="N126" s="48"/>
      <c r="O126" s="49"/>
      <c r="P126" s="47"/>
      <c r="Q126" s="48"/>
      <c r="R126" s="49"/>
      <c r="S126" s="47"/>
      <c r="T126" s="48"/>
      <c r="U126" s="49"/>
      <c r="V126" s="47"/>
      <c r="W126" s="48"/>
      <c r="X126" s="49"/>
      <c r="Y126" s="47"/>
      <c r="Z126" s="48"/>
      <c r="AA126" s="49"/>
      <c r="AB126" s="47"/>
      <c r="AC126" s="48"/>
      <c r="AD126" s="49"/>
      <c r="AE126" s="47"/>
      <c r="AF126" s="48"/>
      <c r="AG126" s="49"/>
      <c r="AH126" s="50" t="str">
        <f t="shared" si="3"/>
        <v/>
      </c>
    </row>
    <row r="127" spans="1:34" ht="15.95" customHeight="1">
      <c r="A127" s="46">
        <v>13</v>
      </c>
      <c r="B127" s="63" t="str">
        <f>IF('(4).Midterm Results'!B127="","",'(4).Midterm Results'!B127)</f>
        <v/>
      </c>
      <c r="C127" s="62" t="str">
        <f>IF('(4).Midterm Results'!C127="","",'(4).Midterm Results'!C127)</f>
        <v/>
      </c>
      <c r="D127" s="47"/>
      <c r="E127" s="48"/>
      <c r="F127" s="49"/>
      <c r="G127" s="47"/>
      <c r="H127" s="48"/>
      <c r="I127" s="49"/>
      <c r="J127" s="47"/>
      <c r="K127" s="48"/>
      <c r="L127" s="49"/>
      <c r="M127" s="47"/>
      <c r="N127" s="48"/>
      <c r="O127" s="49"/>
      <c r="P127" s="47"/>
      <c r="Q127" s="48"/>
      <c r="R127" s="49"/>
      <c r="S127" s="47"/>
      <c r="T127" s="48"/>
      <c r="U127" s="49"/>
      <c r="V127" s="47"/>
      <c r="W127" s="48"/>
      <c r="X127" s="49"/>
      <c r="Y127" s="47"/>
      <c r="Z127" s="48"/>
      <c r="AA127" s="49"/>
      <c r="AB127" s="47"/>
      <c r="AC127" s="48"/>
      <c r="AD127" s="49"/>
      <c r="AE127" s="47"/>
      <c r="AF127" s="48"/>
      <c r="AG127" s="49"/>
      <c r="AH127" s="50" t="str">
        <f t="shared" si="3"/>
        <v/>
      </c>
    </row>
    <row r="128" spans="1:34" ht="15.95" customHeight="1">
      <c r="A128" s="46">
        <v>14</v>
      </c>
      <c r="B128" s="63" t="str">
        <f>IF('(4).Midterm Results'!B128="","",'(4).Midterm Results'!B128)</f>
        <v/>
      </c>
      <c r="C128" s="62" t="str">
        <f>IF('(4).Midterm Results'!C128="","",'(4).Midterm Results'!C128)</f>
        <v/>
      </c>
      <c r="D128" s="47"/>
      <c r="E128" s="48"/>
      <c r="F128" s="49"/>
      <c r="G128" s="47"/>
      <c r="H128" s="48"/>
      <c r="I128" s="49"/>
      <c r="J128" s="47"/>
      <c r="K128" s="48"/>
      <c r="L128" s="49"/>
      <c r="M128" s="47"/>
      <c r="N128" s="48"/>
      <c r="O128" s="49"/>
      <c r="P128" s="47"/>
      <c r="Q128" s="48"/>
      <c r="R128" s="49"/>
      <c r="S128" s="47"/>
      <c r="T128" s="48"/>
      <c r="U128" s="49"/>
      <c r="V128" s="47"/>
      <c r="W128" s="48"/>
      <c r="X128" s="49"/>
      <c r="Y128" s="47"/>
      <c r="Z128" s="48"/>
      <c r="AA128" s="49"/>
      <c r="AB128" s="47"/>
      <c r="AC128" s="48"/>
      <c r="AD128" s="49"/>
      <c r="AE128" s="47"/>
      <c r="AF128" s="48"/>
      <c r="AG128" s="49"/>
      <c r="AH128" s="50" t="str">
        <f t="shared" si="3"/>
        <v/>
      </c>
    </row>
    <row r="129" spans="1:34" ht="15.95" customHeight="1">
      <c r="A129" s="46">
        <v>15</v>
      </c>
      <c r="B129" s="63" t="str">
        <f>IF('(4).Midterm Results'!B129="","",'(4).Midterm Results'!B129)</f>
        <v/>
      </c>
      <c r="C129" s="62" t="str">
        <f>IF('(4).Midterm Results'!C129="","",'(4).Midterm Results'!C129)</f>
        <v/>
      </c>
      <c r="D129" s="47"/>
      <c r="E129" s="48"/>
      <c r="F129" s="49"/>
      <c r="G129" s="47"/>
      <c r="H129" s="48"/>
      <c r="I129" s="49"/>
      <c r="J129" s="47"/>
      <c r="K129" s="48"/>
      <c r="L129" s="49"/>
      <c r="M129" s="47"/>
      <c r="N129" s="48"/>
      <c r="O129" s="49"/>
      <c r="P129" s="47"/>
      <c r="Q129" s="48"/>
      <c r="R129" s="49"/>
      <c r="S129" s="47"/>
      <c r="T129" s="48"/>
      <c r="U129" s="49"/>
      <c r="V129" s="47"/>
      <c r="W129" s="48"/>
      <c r="X129" s="49"/>
      <c r="Y129" s="47"/>
      <c r="Z129" s="48"/>
      <c r="AA129" s="49"/>
      <c r="AB129" s="47"/>
      <c r="AC129" s="48"/>
      <c r="AD129" s="49"/>
      <c r="AE129" s="47"/>
      <c r="AF129" s="48"/>
      <c r="AG129" s="49"/>
      <c r="AH129" s="50" t="str">
        <f t="shared" si="3"/>
        <v/>
      </c>
    </row>
    <row r="130" spans="1:34" ht="15.95" customHeight="1">
      <c r="A130" s="46">
        <v>16</v>
      </c>
      <c r="B130" s="63" t="str">
        <f>IF('(4).Midterm Results'!B130="","",'(4).Midterm Results'!B130)</f>
        <v/>
      </c>
      <c r="C130" s="62" t="str">
        <f>IF('(4).Midterm Results'!C130="","",'(4).Midterm Results'!C130)</f>
        <v/>
      </c>
      <c r="D130" s="47"/>
      <c r="E130" s="48"/>
      <c r="F130" s="49"/>
      <c r="G130" s="47"/>
      <c r="H130" s="48"/>
      <c r="I130" s="49"/>
      <c r="J130" s="47"/>
      <c r="K130" s="48"/>
      <c r="L130" s="49"/>
      <c r="M130" s="47"/>
      <c r="N130" s="48"/>
      <c r="O130" s="49"/>
      <c r="P130" s="47"/>
      <c r="Q130" s="48"/>
      <c r="R130" s="49"/>
      <c r="S130" s="47"/>
      <c r="T130" s="48"/>
      <c r="U130" s="49"/>
      <c r="V130" s="47"/>
      <c r="W130" s="48"/>
      <c r="X130" s="49"/>
      <c r="Y130" s="47"/>
      <c r="Z130" s="48"/>
      <c r="AA130" s="49"/>
      <c r="AB130" s="47"/>
      <c r="AC130" s="48"/>
      <c r="AD130" s="49"/>
      <c r="AE130" s="47"/>
      <c r="AF130" s="48"/>
      <c r="AG130" s="49"/>
      <c r="AH130" s="50" t="str">
        <f t="shared" si="3"/>
        <v/>
      </c>
    </row>
    <row r="131" spans="1:34" ht="15.95" customHeight="1">
      <c r="A131" s="46">
        <v>17</v>
      </c>
      <c r="B131" s="63" t="str">
        <f>IF('(4).Midterm Results'!B131="","",'(4).Midterm Results'!B131)</f>
        <v/>
      </c>
      <c r="C131" s="62" t="str">
        <f>IF('(4).Midterm Results'!C131="","",'(4).Midterm Results'!C131)</f>
        <v/>
      </c>
      <c r="D131" s="47"/>
      <c r="E131" s="48"/>
      <c r="F131" s="49"/>
      <c r="G131" s="47"/>
      <c r="H131" s="48"/>
      <c r="I131" s="49"/>
      <c r="J131" s="47"/>
      <c r="K131" s="48"/>
      <c r="L131" s="49"/>
      <c r="M131" s="47"/>
      <c r="N131" s="48"/>
      <c r="O131" s="49"/>
      <c r="P131" s="47"/>
      <c r="Q131" s="48"/>
      <c r="R131" s="49"/>
      <c r="S131" s="47"/>
      <c r="T131" s="48"/>
      <c r="U131" s="49"/>
      <c r="V131" s="47"/>
      <c r="W131" s="48"/>
      <c r="X131" s="49"/>
      <c r="Y131" s="47"/>
      <c r="Z131" s="48"/>
      <c r="AA131" s="49"/>
      <c r="AB131" s="47"/>
      <c r="AC131" s="48"/>
      <c r="AD131" s="49"/>
      <c r="AE131" s="47"/>
      <c r="AF131" s="48"/>
      <c r="AG131" s="49"/>
      <c r="AH131" s="50" t="str">
        <f t="shared" si="3"/>
        <v/>
      </c>
    </row>
    <row r="132" spans="1:34" ht="15.95" customHeight="1">
      <c r="A132" s="46">
        <v>18</v>
      </c>
      <c r="B132" s="63" t="str">
        <f>IF('(4).Midterm Results'!B132="","",'(4).Midterm Results'!B132)</f>
        <v/>
      </c>
      <c r="C132" s="62" t="str">
        <f>IF('(4).Midterm Results'!C132="","",'(4).Midterm Results'!C132)</f>
        <v/>
      </c>
      <c r="D132" s="47"/>
      <c r="E132" s="48"/>
      <c r="F132" s="49"/>
      <c r="G132" s="47"/>
      <c r="H132" s="48"/>
      <c r="I132" s="49"/>
      <c r="J132" s="47"/>
      <c r="K132" s="48"/>
      <c r="L132" s="49"/>
      <c r="M132" s="47"/>
      <c r="N132" s="48"/>
      <c r="O132" s="49"/>
      <c r="P132" s="47"/>
      <c r="Q132" s="48"/>
      <c r="R132" s="49"/>
      <c r="S132" s="47"/>
      <c r="T132" s="48"/>
      <c r="U132" s="49"/>
      <c r="V132" s="47"/>
      <c r="W132" s="48"/>
      <c r="X132" s="49"/>
      <c r="Y132" s="47"/>
      <c r="Z132" s="48"/>
      <c r="AA132" s="49"/>
      <c r="AB132" s="47"/>
      <c r="AC132" s="48"/>
      <c r="AD132" s="49"/>
      <c r="AE132" s="47"/>
      <c r="AF132" s="48"/>
      <c r="AG132" s="49"/>
      <c r="AH132" s="50" t="str">
        <f t="shared" si="3"/>
        <v/>
      </c>
    </row>
    <row r="133" spans="1:34" ht="15.95" customHeight="1">
      <c r="A133" s="46">
        <v>19</v>
      </c>
      <c r="B133" s="63" t="str">
        <f>IF('(4).Midterm Results'!B133="","",'(4).Midterm Results'!B133)</f>
        <v/>
      </c>
      <c r="C133" s="62" t="str">
        <f>IF('(4).Midterm Results'!C133="","",'(4).Midterm Results'!C133)</f>
        <v/>
      </c>
      <c r="D133" s="47"/>
      <c r="E133" s="48"/>
      <c r="F133" s="49"/>
      <c r="G133" s="47"/>
      <c r="H133" s="48"/>
      <c r="I133" s="49"/>
      <c r="J133" s="47"/>
      <c r="K133" s="48"/>
      <c r="L133" s="49"/>
      <c r="M133" s="47"/>
      <c r="N133" s="48"/>
      <c r="O133" s="49"/>
      <c r="P133" s="47"/>
      <c r="Q133" s="48"/>
      <c r="R133" s="49"/>
      <c r="S133" s="47"/>
      <c r="T133" s="48"/>
      <c r="U133" s="49"/>
      <c r="V133" s="47"/>
      <c r="W133" s="48"/>
      <c r="X133" s="49"/>
      <c r="Y133" s="47"/>
      <c r="Z133" s="48"/>
      <c r="AA133" s="49"/>
      <c r="AB133" s="47"/>
      <c r="AC133" s="48"/>
      <c r="AD133" s="49"/>
      <c r="AE133" s="47"/>
      <c r="AF133" s="48"/>
      <c r="AG133" s="49"/>
      <c r="AH133" s="50" t="str">
        <f t="shared" si="3"/>
        <v/>
      </c>
    </row>
    <row r="134" spans="1:34" ht="15.95" customHeight="1">
      <c r="A134" s="46">
        <v>20</v>
      </c>
      <c r="B134" s="63" t="str">
        <f>IF('(4).Midterm Results'!B134="","",'(4).Midterm Results'!B134)</f>
        <v/>
      </c>
      <c r="C134" s="62" t="str">
        <f>IF('(4).Midterm Results'!C134="","",'(4).Midterm Results'!C134)</f>
        <v/>
      </c>
      <c r="D134" s="47"/>
      <c r="E134" s="48"/>
      <c r="F134" s="49"/>
      <c r="G134" s="47"/>
      <c r="H134" s="48"/>
      <c r="I134" s="49"/>
      <c r="J134" s="47"/>
      <c r="K134" s="48"/>
      <c r="L134" s="49"/>
      <c r="M134" s="47"/>
      <c r="N134" s="48"/>
      <c r="O134" s="49"/>
      <c r="P134" s="47"/>
      <c r="Q134" s="48"/>
      <c r="R134" s="49"/>
      <c r="S134" s="47"/>
      <c r="T134" s="48"/>
      <c r="U134" s="49"/>
      <c r="V134" s="47"/>
      <c r="W134" s="48"/>
      <c r="X134" s="49"/>
      <c r="Y134" s="47"/>
      <c r="Z134" s="48"/>
      <c r="AA134" s="49"/>
      <c r="AB134" s="47"/>
      <c r="AC134" s="48"/>
      <c r="AD134" s="49"/>
      <c r="AE134" s="47"/>
      <c r="AF134" s="48"/>
      <c r="AG134" s="49"/>
      <c r="AH134" s="50" t="str">
        <f t="shared" si="3"/>
        <v/>
      </c>
    </row>
    <row r="135" spans="1:34" ht="15.95" customHeight="1">
      <c r="A135" s="46">
        <v>21</v>
      </c>
      <c r="B135" s="63" t="str">
        <f>IF('(4).Midterm Results'!B135="","",'(4).Midterm Results'!B135)</f>
        <v/>
      </c>
      <c r="C135" s="62" t="str">
        <f>IF('(4).Midterm Results'!C135="","",'(4).Midterm Results'!C135)</f>
        <v/>
      </c>
      <c r="D135" s="47"/>
      <c r="E135" s="48"/>
      <c r="F135" s="49"/>
      <c r="G135" s="47"/>
      <c r="H135" s="48"/>
      <c r="I135" s="49"/>
      <c r="J135" s="47"/>
      <c r="K135" s="48"/>
      <c r="L135" s="49"/>
      <c r="M135" s="47"/>
      <c r="N135" s="48"/>
      <c r="O135" s="49"/>
      <c r="P135" s="47"/>
      <c r="Q135" s="48"/>
      <c r="R135" s="49"/>
      <c r="S135" s="47"/>
      <c r="T135" s="48"/>
      <c r="U135" s="49"/>
      <c r="V135" s="47"/>
      <c r="W135" s="48"/>
      <c r="X135" s="49"/>
      <c r="Y135" s="47"/>
      <c r="Z135" s="48"/>
      <c r="AA135" s="49"/>
      <c r="AB135" s="47"/>
      <c r="AC135" s="48"/>
      <c r="AD135" s="49"/>
      <c r="AE135" s="47"/>
      <c r="AF135" s="48"/>
      <c r="AG135" s="49"/>
      <c r="AH135" s="50" t="str">
        <f t="shared" si="3"/>
        <v/>
      </c>
    </row>
    <row r="136" spans="1:34" ht="15.95" customHeight="1">
      <c r="A136" s="46">
        <v>22</v>
      </c>
      <c r="B136" s="63" t="str">
        <f>IF('(4).Midterm Results'!B136="","",'(4).Midterm Results'!B136)</f>
        <v/>
      </c>
      <c r="C136" s="62" t="str">
        <f>IF('(4).Midterm Results'!C136="","",'(4).Midterm Results'!C136)</f>
        <v/>
      </c>
      <c r="D136" s="47"/>
      <c r="E136" s="48"/>
      <c r="F136" s="49"/>
      <c r="G136" s="47"/>
      <c r="H136" s="48"/>
      <c r="I136" s="49"/>
      <c r="J136" s="47"/>
      <c r="K136" s="48"/>
      <c r="L136" s="49"/>
      <c r="M136" s="47"/>
      <c r="N136" s="48"/>
      <c r="O136" s="49"/>
      <c r="P136" s="47"/>
      <c r="Q136" s="48"/>
      <c r="R136" s="49"/>
      <c r="S136" s="47"/>
      <c r="T136" s="48"/>
      <c r="U136" s="49"/>
      <c r="V136" s="47"/>
      <c r="W136" s="48"/>
      <c r="X136" s="49"/>
      <c r="Y136" s="47"/>
      <c r="Z136" s="48"/>
      <c r="AA136" s="49"/>
      <c r="AB136" s="47"/>
      <c r="AC136" s="48"/>
      <c r="AD136" s="49"/>
      <c r="AE136" s="47"/>
      <c r="AF136" s="48"/>
      <c r="AG136" s="49"/>
      <c r="AH136" s="50" t="str">
        <f t="shared" si="3"/>
        <v/>
      </c>
    </row>
    <row r="137" spans="1:34" ht="15.95" customHeight="1">
      <c r="A137" s="46">
        <v>23</v>
      </c>
      <c r="B137" s="63" t="str">
        <f>IF('(4).Midterm Results'!B137="","",'(4).Midterm Results'!B137)</f>
        <v/>
      </c>
      <c r="C137" s="62" t="str">
        <f>IF('(4).Midterm Results'!C137="","",'(4).Midterm Results'!C137)</f>
        <v/>
      </c>
      <c r="D137" s="47"/>
      <c r="E137" s="48"/>
      <c r="F137" s="49"/>
      <c r="G137" s="47"/>
      <c r="H137" s="48"/>
      <c r="I137" s="49"/>
      <c r="J137" s="47"/>
      <c r="K137" s="48"/>
      <c r="L137" s="49"/>
      <c r="M137" s="47"/>
      <c r="N137" s="48"/>
      <c r="O137" s="49"/>
      <c r="P137" s="47"/>
      <c r="Q137" s="48"/>
      <c r="R137" s="49"/>
      <c r="S137" s="47"/>
      <c r="T137" s="48"/>
      <c r="U137" s="49"/>
      <c r="V137" s="47"/>
      <c r="W137" s="48"/>
      <c r="X137" s="49"/>
      <c r="Y137" s="47"/>
      <c r="Z137" s="48"/>
      <c r="AA137" s="49"/>
      <c r="AB137" s="47"/>
      <c r="AC137" s="48"/>
      <c r="AD137" s="49"/>
      <c r="AE137" s="47"/>
      <c r="AF137" s="48"/>
      <c r="AG137" s="49"/>
      <c r="AH137" s="50" t="str">
        <f t="shared" si="3"/>
        <v/>
      </c>
    </row>
    <row r="138" spans="1:34" ht="15.95" customHeight="1">
      <c r="A138" s="46">
        <v>24</v>
      </c>
      <c r="B138" s="63" t="str">
        <f>IF('(4).Midterm Results'!B138="","",'(4).Midterm Results'!B138)</f>
        <v/>
      </c>
      <c r="C138" s="62" t="str">
        <f>IF('(4).Midterm Results'!C138="","",'(4).Midterm Results'!C138)</f>
        <v/>
      </c>
      <c r="D138" s="47"/>
      <c r="E138" s="48"/>
      <c r="F138" s="49"/>
      <c r="G138" s="47"/>
      <c r="H138" s="48"/>
      <c r="I138" s="49"/>
      <c r="J138" s="47"/>
      <c r="K138" s="48"/>
      <c r="L138" s="49"/>
      <c r="M138" s="47"/>
      <c r="N138" s="48"/>
      <c r="O138" s="49"/>
      <c r="P138" s="47"/>
      <c r="Q138" s="48"/>
      <c r="R138" s="49"/>
      <c r="S138" s="47"/>
      <c r="T138" s="48"/>
      <c r="U138" s="49"/>
      <c r="V138" s="47"/>
      <c r="W138" s="48"/>
      <c r="X138" s="49"/>
      <c r="Y138" s="47"/>
      <c r="Z138" s="48"/>
      <c r="AA138" s="49"/>
      <c r="AB138" s="47"/>
      <c r="AC138" s="48"/>
      <c r="AD138" s="49"/>
      <c r="AE138" s="47"/>
      <c r="AF138" s="48"/>
      <c r="AG138" s="49"/>
      <c r="AH138" s="50" t="str">
        <f t="shared" si="3"/>
        <v/>
      </c>
    </row>
    <row r="139" spans="1:34" ht="15.95" customHeight="1">
      <c r="A139" s="46">
        <v>25</v>
      </c>
      <c r="B139" s="63" t="str">
        <f>IF('(4).Midterm Results'!B139="","",'(4).Midterm Results'!B139)</f>
        <v/>
      </c>
      <c r="C139" s="62" t="str">
        <f>IF('(4).Midterm Results'!C139="","",'(4).Midterm Results'!C139)</f>
        <v/>
      </c>
      <c r="D139" s="47"/>
      <c r="E139" s="48"/>
      <c r="F139" s="49"/>
      <c r="G139" s="47"/>
      <c r="H139" s="48"/>
      <c r="I139" s="49"/>
      <c r="J139" s="47"/>
      <c r="K139" s="48"/>
      <c r="L139" s="49"/>
      <c r="M139" s="47"/>
      <c r="N139" s="48"/>
      <c r="O139" s="49"/>
      <c r="P139" s="47"/>
      <c r="Q139" s="48"/>
      <c r="R139" s="49"/>
      <c r="S139" s="47"/>
      <c r="T139" s="48"/>
      <c r="U139" s="49"/>
      <c r="V139" s="47"/>
      <c r="W139" s="48"/>
      <c r="X139" s="49"/>
      <c r="Y139" s="47"/>
      <c r="Z139" s="48"/>
      <c r="AA139" s="49"/>
      <c r="AB139" s="47"/>
      <c r="AC139" s="48"/>
      <c r="AD139" s="49"/>
      <c r="AE139" s="47"/>
      <c r="AF139" s="48"/>
      <c r="AG139" s="49"/>
      <c r="AH139" s="50" t="str">
        <f t="shared" si="3"/>
        <v/>
      </c>
    </row>
    <row r="140" spans="1:34" ht="15.95" customHeight="1">
      <c r="A140" s="46">
        <v>26</v>
      </c>
      <c r="B140" s="63" t="str">
        <f>IF('(4).Midterm Results'!B140="","",'(4).Midterm Results'!B140)</f>
        <v/>
      </c>
      <c r="C140" s="62" t="str">
        <f>IF('(4).Midterm Results'!C140="","",'(4).Midterm Results'!C140)</f>
        <v/>
      </c>
      <c r="D140" s="47"/>
      <c r="E140" s="48"/>
      <c r="F140" s="49"/>
      <c r="G140" s="47"/>
      <c r="H140" s="48"/>
      <c r="I140" s="49"/>
      <c r="J140" s="47"/>
      <c r="K140" s="48"/>
      <c r="L140" s="49"/>
      <c r="M140" s="47"/>
      <c r="N140" s="48"/>
      <c r="O140" s="49"/>
      <c r="P140" s="47"/>
      <c r="Q140" s="48"/>
      <c r="R140" s="49"/>
      <c r="S140" s="47"/>
      <c r="T140" s="48"/>
      <c r="U140" s="49"/>
      <c r="V140" s="47"/>
      <c r="W140" s="48"/>
      <c r="X140" s="49"/>
      <c r="Y140" s="47"/>
      <c r="Z140" s="48"/>
      <c r="AA140" s="49"/>
      <c r="AB140" s="47"/>
      <c r="AC140" s="48"/>
      <c r="AD140" s="49"/>
      <c r="AE140" s="47"/>
      <c r="AF140" s="48"/>
      <c r="AG140" s="49"/>
      <c r="AH140" s="50" t="str">
        <f t="shared" si="3"/>
        <v/>
      </c>
    </row>
    <row r="141" spans="1:34" ht="15.95" customHeight="1">
      <c r="A141" s="46">
        <v>27</v>
      </c>
      <c r="B141" s="63" t="str">
        <f>IF('(4).Midterm Results'!B141="","",'(4).Midterm Results'!B141)</f>
        <v/>
      </c>
      <c r="C141" s="62" t="str">
        <f>IF('(4).Midterm Results'!C141="","",'(4).Midterm Results'!C141)</f>
        <v/>
      </c>
      <c r="D141" s="47"/>
      <c r="E141" s="48"/>
      <c r="F141" s="49"/>
      <c r="G141" s="47"/>
      <c r="H141" s="48"/>
      <c r="I141" s="49"/>
      <c r="J141" s="47"/>
      <c r="K141" s="48"/>
      <c r="L141" s="49"/>
      <c r="M141" s="47"/>
      <c r="N141" s="48"/>
      <c r="O141" s="49"/>
      <c r="P141" s="47"/>
      <c r="Q141" s="48"/>
      <c r="R141" s="49"/>
      <c r="S141" s="47"/>
      <c r="T141" s="48"/>
      <c r="U141" s="49"/>
      <c r="V141" s="47"/>
      <c r="W141" s="48"/>
      <c r="X141" s="49"/>
      <c r="Y141" s="47"/>
      <c r="Z141" s="48"/>
      <c r="AA141" s="49"/>
      <c r="AB141" s="47"/>
      <c r="AC141" s="48"/>
      <c r="AD141" s="49"/>
      <c r="AE141" s="47"/>
      <c r="AF141" s="48"/>
      <c r="AG141" s="49"/>
      <c r="AH141" s="50" t="str">
        <f t="shared" si="3"/>
        <v/>
      </c>
    </row>
    <row r="142" spans="1:34" ht="15.95" customHeight="1">
      <c r="A142" s="46">
        <v>28</v>
      </c>
      <c r="B142" s="63" t="str">
        <f>IF('(4).Midterm Results'!B142="","",'(4).Midterm Results'!B142)</f>
        <v/>
      </c>
      <c r="C142" s="62" t="str">
        <f>IF('(4).Midterm Results'!C142="","",'(4).Midterm Results'!C142)</f>
        <v/>
      </c>
      <c r="D142" s="47"/>
      <c r="E142" s="48"/>
      <c r="F142" s="49"/>
      <c r="G142" s="47"/>
      <c r="H142" s="48"/>
      <c r="I142" s="49"/>
      <c r="J142" s="47"/>
      <c r="K142" s="48"/>
      <c r="L142" s="49"/>
      <c r="M142" s="47"/>
      <c r="N142" s="48"/>
      <c r="O142" s="49"/>
      <c r="P142" s="47"/>
      <c r="Q142" s="48"/>
      <c r="R142" s="49"/>
      <c r="S142" s="47"/>
      <c r="T142" s="48"/>
      <c r="U142" s="49"/>
      <c r="V142" s="47"/>
      <c r="W142" s="48"/>
      <c r="X142" s="49"/>
      <c r="Y142" s="47"/>
      <c r="Z142" s="48"/>
      <c r="AA142" s="49"/>
      <c r="AB142" s="47"/>
      <c r="AC142" s="48"/>
      <c r="AD142" s="49"/>
      <c r="AE142" s="47"/>
      <c r="AF142" s="48"/>
      <c r="AG142" s="49"/>
      <c r="AH142" s="50" t="str">
        <f t="shared" si="3"/>
        <v/>
      </c>
    </row>
    <row r="143" spans="1:34" ht="15.95" customHeight="1">
      <c r="A143" s="46">
        <v>29</v>
      </c>
      <c r="B143" s="63" t="str">
        <f>IF('(4).Midterm Results'!B143="","",'(4).Midterm Results'!B143)</f>
        <v/>
      </c>
      <c r="C143" s="62" t="str">
        <f>IF('(4).Midterm Results'!C143="","",'(4).Midterm Results'!C143)</f>
        <v/>
      </c>
      <c r="D143" s="47"/>
      <c r="E143" s="48"/>
      <c r="F143" s="49"/>
      <c r="G143" s="47"/>
      <c r="H143" s="48"/>
      <c r="I143" s="49"/>
      <c r="J143" s="47"/>
      <c r="K143" s="48"/>
      <c r="L143" s="49"/>
      <c r="M143" s="47"/>
      <c r="N143" s="48"/>
      <c r="O143" s="49"/>
      <c r="P143" s="47"/>
      <c r="Q143" s="48"/>
      <c r="R143" s="49"/>
      <c r="S143" s="47"/>
      <c r="T143" s="48"/>
      <c r="U143" s="49"/>
      <c r="V143" s="47"/>
      <c r="W143" s="48"/>
      <c r="X143" s="49"/>
      <c r="Y143" s="47"/>
      <c r="Z143" s="48"/>
      <c r="AA143" s="49"/>
      <c r="AB143" s="47"/>
      <c r="AC143" s="48"/>
      <c r="AD143" s="49"/>
      <c r="AE143" s="47"/>
      <c r="AF143" s="48"/>
      <c r="AG143" s="49"/>
      <c r="AH143" s="50" t="str">
        <f t="shared" si="3"/>
        <v/>
      </c>
    </row>
    <row r="144" spans="1:34" ht="15.95" customHeight="1">
      <c r="A144" s="46">
        <v>30</v>
      </c>
      <c r="B144" s="63" t="str">
        <f>IF('(4).Midterm Results'!B144="","",'(4).Midterm Results'!B144)</f>
        <v/>
      </c>
      <c r="C144" s="62" t="str">
        <f>IF('(4).Midterm Results'!C144="","",'(4).Midterm Results'!C144)</f>
        <v/>
      </c>
      <c r="D144" s="47"/>
      <c r="E144" s="48"/>
      <c r="F144" s="49"/>
      <c r="G144" s="47"/>
      <c r="H144" s="48"/>
      <c r="I144" s="49"/>
      <c r="J144" s="47"/>
      <c r="K144" s="48"/>
      <c r="L144" s="49"/>
      <c r="M144" s="47"/>
      <c r="N144" s="48"/>
      <c r="O144" s="49"/>
      <c r="P144" s="47"/>
      <c r="Q144" s="48"/>
      <c r="R144" s="49"/>
      <c r="S144" s="47"/>
      <c r="T144" s="48"/>
      <c r="U144" s="49"/>
      <c r="V144" s="47"/>
      <c r="W144" s="48"/>
      <c r="X144" s="49"/>
      <c r="Y144" s="47"/>
      <c r="Z144" s="48"/>
      <c r="AA144" s="49"/>
      <c r="AB144" s="47"/>
      <c r="AC144" s="48"/>
      <c r="AD144" s="49"/>
      <c r="AE144" s="47"/>
      <c r="AF144" s="48"/>
      <c r="AG144" s="49"/>
      <c r="AH144" s="50" t="str">
        <f t="shared" si="3"/>
        <v/>
      </c>
    </row>
    <row r="145" spans="1:34" ht="15.95" customHeight="1">
      <c r="A145" s="18" t="s">
        <v>0</v>
      </c>
      <c r="B145" s="19">
        <f>'(4).Midterm Results'!B145</f>
        <v>0</v>
      </c>
      <c r="C145" s="60"/>
      <c r="D145" s="222" t="s">
        <v>91</v>
      </c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</row>
    <row r="146" spans="1:34" ht="15.95" customHeight="1">
      <c r="A146" s="18" t="s">
        <v>1</v>
      </c>
      <c r="B146" s="19">
        <f>'(4).Midterm Results'!B146</f>
        <v>0</v>
      </c>
      <c r="C146" s="60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</row>
    <row r="147" spans="1:34" ht="15.95" customHeight="1">
      <c r="A147" s="18" t="s">
        <v>2</v>
      </c>
      <c r="B147" s="19">
        <f>'(4).Midterm Results'!B147</f>
        <v>0</v>
      </c>
      <c r="C147" s="60"/>
      <c r="D147" s="223" t="str">
        <f>'(4).Midterm Results'!D146</f>
        <v>FEBRUARY - JULY 2026</v>
      </c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23"/>
      <c r="AE147" s="223"/>
      <c r="AF147" s="223"/>
      <c r="AG147" s="223"/>
      <c r="AH147" s="223"/>
    </row>
    <row r="148" spans="1:34" ht="15.95" customHeight="1">
      <c r="A148" s="18" t="s">
        <v>3</v>
      </c>
      <c r="B148" s="19">
        <f>'(4).Midterm Results'!B148</f>
        <v>0</v>
      </c>
      <c r="C148" s="60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4"/>
      <c r="AD148" s="224"/>
      <c r="AE148" s="224"/>
      <c r="AF148" s="224"/>
      <c r="AG148" s="224"/>
      <c r="AH148" s="224"/>
    </row>
    <row r="149" spans="1:34" ht="15.95" customHeight="1">
      <c r="A149" s="18" t="s">
        <v>4</v>
      </c>
      <c r="B149" s="19">
        <f>'(4).Midterm Results'!B149</f>
        <v>0</v>
      </c>
      <c r="C149" s="61"/>
      <c r="D149" s="220" t="str">
        <f>IF(OR($B146="K5",$B146="K6",$B146="K7",$B146="K8",$B146="K9",$B146="K10"),"Listening","Up-Low C")</f>
        <v>Up-Low C</v>
      </c>
      <c r="E149" s="220"/>
      <c r="F149" s="220"/>
      <c r="G149" s="220" t="str">
        <f>IF(OR($B146="K5",$B146="K6",$B146="K7",$B146="K8",$B146="K9",$B146="K10"),"Speaking","Alphabet N")</f>
        <v>Alphabet N</v>
      </c>
      <c r="H149" s="220"/>
      <c r="I149" s="220"/>
      <c r="J149" s="220" t="str">
        <f>IF(OR($B146="K5",$B146="K6",$B146="K7",$B146="K8",$B146="K9",$B146="K10"),"Reading","Alphabet S")</f>
        <v>Alphabet S</v>
      </c>
      <c r="K149" s="220"/>
      <c r="L149" s="220"/>
      <c r="M149" s="220" t="str">
        <f>IF(OR($B146="K5",$B146="K6",$B146="K7",$B146="K8",$B146="K9",$B146="K10"),"Writing","Vocabulary")</f>
        <v>Vocabulary</v>
      </c>
      <c r="N149" s="220"/>
      <c r="O149" s="220"/>
      <c r="P149" s="220" t="str">
        <f>IF(OR($B146="K5",$B146="K6",$B146="K7",$B146="K8",$B146="K9",$B146="K10"),"Gram/Vocab","Sprouts")</f>
        <v>Sprouts</v>
      </c>
      <c r="Q149" s="220"/>
      <c r="R149" s="220"/>
      <c r="S149" s="220" t="str">
        <f>IF(OR($B146="K5",$B146="K6",$B146="K7",$B146="K8",$B146="K9",$B146="K10"),"Roots","Phonics")</f>
        <v>Phonics</v>
      </c>
      <c r="T149" s="220"/>
      <c r="U149" s="220"/>
      <c r="V149" s="220" t="str">
        <f>IF(OR($B146="K5",$B146="K6",$B146="K7",$B146="K8",$B146="K9",$B146="K10"),"Phonics","Math")</f>
        <v>Math</v>
      </c>
      <c r="W149" s="220"/>
      <c r="X149" s="220"/>
      <c r="Y149" s="220" t="str">
        <f>IF(OR($B146="K5",$B146="K6",$B146="K7",$B146="K8",$B146="K9",$B146="K10"),"Math","Shape")</f>
        <v>Shape</v>
      </c>
      <c r="Z149" s="220"/>
      <c r="AA149" s="220"/>
      <c r="AB149" s="220" t="s">
        <v>10</v>
      </c>
      <c r="AC149" s="220"/>
      <c r="AD149" s="220"/>
      <c r="AE149" s="220" t="str">
        <f>IF(OR($B146="K5",$B146="K6",$B146="K7",$B146="K8",$B146="K9",$B146="K10"),"Homework","Tracing")</f>
        <v>Tracing</v>
      </c>
      <c r="AF149" s="220"/>
      <c r="AG149" s="220"/>
      <c r="AH149" s="90" t="s">
        <v>11</v>
      </c>
    </row>
    <row r="150" spans="1:34" ht="15.95" customHeight="1" thickBot="1">
      <c r="A150" s="73" t="s">
        <v>5</v>
      </c>
      <c r="B150" s="74" t="s">
        <v>6</v>
      </c>
      <c r="C150" s="75" t="s">
        <v>7</v>
      </c>
      <c r="D150" s="221" t="s">
        <v>9</v>
      </c>
      <c r="E150" s="221"/>
      <c r="F150" s="221"/>
      <c r="G150" s="221" t="s">
        <v>9</v>
      </c>
      <c r="H150" s="221"/>
      <c r="I150" s="221"/>
      <c r="J150" s="221" t="s">
        <v>9</v>
      </c>
      <c r="K150" s="221"/>
      <c r="L150" s="221"/>
      <c r="M150" s="221" t="s">
        <v>9</v>
      </c>
      <c r="N150" s="221"/>
      <c r="O150" s="221"/>
      <c r="P150" s="221" t="s">
        <v>9</v>
      </c>
      <c r="Q150" s="221"/>
      <c r="R150" s="221"/>
      <c r="S150" s="221" t="s">
        <v>9</v>
      </c>
      <c r="T150" s="221"/>
      <c r="U150" s="221"/>
      <c r="V150" s="221" t="s">
        <v>9</v>
      </c>
      <c r="W150" s="221"/>
      <c r="X150" s="221"/>
      <c r="Y150" s="221" t="s">
        <v>9</v>
      </c>
      <c r="Z150" s="221"/>
      <c r="AA150" s="221"/>
      <c r="AB150" s="221" t="s">
        <v>9</v>
      </c>
      <c r="AC150" s="221"/>
      <c r="AD150" s="221"/>
      <c r="AE150" s="221" t="s">
        <v>9</v>
      </c>
      <c r="AF150" s="221"/>
      <c r="AG150" s="221"/>
      <c r="AH150" s="77" t="s">
        <v>12</v>
      </c>
    </row>
    <row r="151" spans="1:34" ht="15.95" customHeight="1">
      <c r="A151" s="14">
        <v>1</v>
      </c>
      <c r="B151" s="68" t="str">
        <f>IF('(4).Midterm Results'!B151="","",'(4).Midterm Results'!B151)</f>
        <v/>
      </c>
      <c r="C151" s="16" t="str">
        <f>IF('(4).Midterm Results'!C151="","",'(4).Midterm Results'!C151)</f>
        <v/>
      </c>
      <c r="D151" s="69"/>
      <c r="E151" s="70"/>
      <c r="F151" s="71"/>
      <c r="G151" s="69"/>
      <c r="H151" s="70"/>
      <c r="I151" s="71"/>
      <c r="J151" s="69"/>
      <c r="K151" s="70"/>
      <c r="L151" s="71"/>
      <c r="M151" s="69"/>
      <c r="N151" s="70"/>
      <c r="O151" s="71"/>
      <c r="P151" s="69"/>
      <c r="Q151" s="70"/>
      <c r="R151" s="71"/>
      <c r="S151" s="69"/>
      <c r="T151" s="70"/>
      <c r="U151" s="71"/>
      <c r="V151" s="69"/>
      <c r="W151" s="70"/>
      <c r="X151" s="71"/>
      <c r="Y151" s="69"/>
      <c r="Z151" s="70"/>
      <c r="AA151" s="71"/>
      <c r="AB151" s="69"/>
      <c r="AC151" s="70"/>
      <c r="AD151" s="71"/>
      <c r="AE151" s="69"/>
      <c r="AF151" s="70"/>
      <c r="AG151" s="71"/>
      <c r="AH151" s="72" t="str">
        <f>IF(B151="","",IF(COUNT(D151:F151)=0,"Incomplete",IF(COUNT(G151:I151)=0,"Incomplete",IF(COUNT(J151:L151)=0,"Incomplete",IF(COUNT(M151:O151)=0,"Incomplete",IF(COUNT(P151:R151)=0,"Incomplete",IF(COUNT(S151:U151)=0,"Incomplete",IF(COUNT(V151:X151)=0,"Incomplete",IF(COUNT(Y151:AA151)=0,"Incomplete",IF(COUNT(AB151:AD151)=0,"Incomplete",IF(COUNT(AE151:AG151)=0,"Incomplete",AVERAGEIF(D151:F151,"&gt;=0")+AVERAGEIF(G151:I151,"&gt;=0")+AVERAGEIF(J151:L151,"&gt;=0")+AVERAGEIF(M151:O151,"&gt;=0")+AVERAGEIF(P151:R151,"&gt;=0")+AVERAGEIF(S151:U151,"&gt;=0")+AVERAGEIF(V151:X151,"&gt;=0")+AVERAGEIF(Y151:AA151,"&gt;=0")+AVERAGEIF(AB151:AD151,"&gt;=0")+AVERAGEIF(AE151:AG151,"&gt;=0"))))))))))))</f>
        <v/>
      </c>
    </row>
    <row r="152" spans="1:34" ht="15.95" customHeight="1">
      <c r="A152" s="46">
        <v>2</v>
      </c>
      <c r="B152" s="63" t="str">
        <f>IF('(4).Midterm Results'!B152="","",'(4).Midterm Results'!B152)</f>
        <v/>
      </c>
      <c r="C152" s="62" t="str">
        <f>IF('(4).Midterm Results'!C152="","",'(4).Midterm Results'!C152)</f>
        <v/>
      </c>
      <c r="D152" s="47"/>
      <c r="E152" s="48"/>
      <c r="F152" s="49"/>
      <c r="G152" s="47"/>
      <c r="H152" s="48"/>
      <c r="I152" s="49"/>
      <c r="J152" s="47"/>
      <c r="K152" s="48"/>
      <c r="L152" s="49"/>
      <c r="M152" s="47"/>
      <c r="N152" s="48"/>
      <c r="O152" s="49"/>
      <c r="P152" s="47"/>
      <c r="Q152" s="48"/>
      <c r="R152" s="49"/>
      <c r="S152" s="47"/>
      <c r="T152" s="48"/>
      <c r="U152" s="49"/>
      <c r="V152" s="47"/>
      <c r="W152" s="48"/>
      <c r="X152" s="49"/>
      <c r="Y152" s="47"/>
      <c r="Z152" s="48"/>
      <c r="AA152" s="49"/>
      <c r="AB152" s="47"/>
      <c r="AC152" s="48"/>
      <c r="AD152" s="49"/>
      <c r="AE152" s="47"/>
      <c r="AF152" s="48"/>
      <c r="AG152" s="49"/>
      <c r="AH152" s="50" t="str">
        <f t="shared" ref="AH152:AH180" si="4">IF(B152="","",IF(COUNT(D152:F152)=0,"Incomplete",IF(COUNT(G152:I152)=0,"Incomplete",IF(COUNT(J152:L152)=0,"Incomplete",IF(COUNT(M152:O152)=0,"Incomplete",IF(COUNT(P152:R152)=0,"Incomplete",IF(COUNT(S152:U152)=0,"Incomplete",IF(COUNT(V152:X152)=0,"Incomplete",IF(COUNT(Y152:AA152)=0,"Incomplete",IF(COUNT(AB152:AD152)=0,"Incomplete",IF(COUNT(AE152:AG152)=0,"Incomplete",AVERAGEIF(D152:F152,"&gt;=0")+AVERAGEIF(G152:I152,"&gt;=0")+AVERAGEIF(J152:L152,"&gt;=0")+AVERAGEIF(M152:O152,"&gt;=0")+AVERAGEIF(P152:R152,"&gt;=0")+AVERAGEIF(S152:U152,"&gt;=0")+AVERAGEIF(V152:X152,"&gt;=0")+AVERAGEIF(Y152:AA152,"&gt;=0")+AVERAGEIF(AB152:AD152,"&gt;=0")+AVERAGEIF(AE152:AG152,"&gt;=0"))))))))))))</f>
        <v/>
      </c>
    </row>
    <row r="153" spans="1:34" ht="15.95" customHeight="1">
      <c r="A153" s="46">
        <v>3</v>
      </c>
      <c r="B153" s="63" t="str">
        <f>IF('(4).Midterm Results'!B153="","",'(4).Midterm Results'!B153)</f>
        <v/>
      </c>
      <c r="C153" s="62" t="str">
        <f>IF('(4).Midterm Results'!C153="","",'(4).Midterm Results'!C153)</f>
        <v/>
      </c>
      <c r="D153" s="47"/>
      <c r="E153" s="48"/>
      <c r="F153" s="49"/>
      <c r="G153" s="47"/>
      <c r="H153" s="48"/>
      <c r="I153" s="49"/>
      <c r="J153" s="47"/>
      <c r="K153" s="48"/>
      <c r="L153" s="49"/>
      <c r="M153" s="47"/>
      <c r="N153" s="48"/>
      <c r="O153" s="49"/>
      <c r="P153" s="47"/>
      <c r="Q153" s="48"/>
      <c r="R153" s="49"/>
      <c r="S153" s="47"/>
      <c r="T153" s="48"/>
      <c r="U153" s="49"/>
      <c r="V153" s="47"/>
      <c r="W153" s="48"/>
      <c r="X153" s="49"/>
      <c r="Y153" s="47"/>
      <c r="Z153" s="48"/>
      <c r="AA153" s="49"/>
      <c r="AB153" s="47"/>
      <c r="AC153" s="48"/>
      <c r="AD153" s="49"/>
      <c r="AE153" s="47"/>
      <c r="AF153" s="48"/>
      <c r="AG153" s="49"/>
      <c r="AH153" s="50" t="str">
        <f t="shared" si="4"/>
        <v/>
      </c>
    </row>
    <row r="154" spans="1:34" ht="15.95" customHeight="1">
      <c r="A154" s="46">
        <v>4</v>
      </c>
      <c r="B154" s="63" t="str">
        <f>IF('(4).Midterm Results'!B154="","",'(4).Midterm Results'!B154)</f>
        <v/>
      </c>
      <c r="C154" s="62" t="str">
        <f>IF('(4).Midterm Results'!C154="","",'(4).Midterm Results'!C154)</f>
        <v/>
      </c>
      <c r="D154" s="47"/>
      <c r="E154" s="48"/>
      <c r="F154" s="49"/>
      <c r="G154" s="47"/>
      <c r="H154" s="48"/>
      <c r="I154" s="49"/>
      <c r="J154" s="47"/>
      <c r="K154" s="48"/>
      <c r="L154" s="49"/>
      <c r="M154" s="47"/>
      <c r="N154" s="48"/>
      <c r="O154" s="49"/>
      <c r="P154" s="47"/>
      <c r="Q154" s="48"/>
      <c r="R154" s="49"/>
      <c r="S154" s="47"/>
      <c r="T154" s="48"/>
      <c r="U154" s="49"/>
      <c r="V154" s="47"/>
      <c r="W154" s="48"/>
      <c r="X154" s="49"/>
      <c r="Y154" s="47"/>
      <c r="Z154" s="48"/>
      <c r="AA154" s="49"/>
      <c r="AB154" s="47"/>
      <c r="AC154" s="48"/>
      <c r="AD154" s="49"/>
      <c r="AE154" s="47"/>
      <c r="AF154" s="48"/>
      <c r="AG154" s="49"/>
      <c r="AH154" s="50" t="str">
        <f t="shared" si="4"/>
        <v/>
      </c>
    </row>
    <row r="155" spans="1:34" ht="15.95" customHeight="1">
      <c r="A155" s="46">
        <v>5</v>
      </c>
      <c r="B155" s="63" t="str">
        <f>IF('(4).Midterm Results'!B155="","",'(4).Midterm Results'!B155)</f>
        <v/>
      </c>
      <c r="C155" s="62" t="str">
        <f>IF('(4).Midterm Results'!C155="","",'(4).Midterm Results'!C155)</f>
        <v/>
      </c>
      <c r="D155" s="47"/>
      <c r="E155" s="48"/>
      <c r="F155" s="49"/>
      <c r="G155" s="47"/>
      <c r="H155" s="48"/>
      <c r="I155" s="49"/>
      <c r="J155" s="47"/>
      <c r="K155" s="48"/>
      <c r="L155" s="49"/>
      <c r="M155" s="47"/>
      <c r="N155" s="48"/>
      <c r="O155" s="49"/>
      <c r="P155" s="47"/>
      <c r="Q155" s="48"/>
      <c r="R155" s="49"/>
      <c r="S155" s="47"/>
      <c r="T155" s="48"/>
      <c r="U155" s="49"/>
      <c r="V155" s="47"/>
      <c r="W155" s="48"/>
      <c r="X155" s="49"/>
      <c r="Y155" s="47"/>
      <c r="Z155" s="48"/>
      <c r="AA155" s="49"/>
      <c r="AB155" s="47"/>
      <c r="AC155" s="48"/>
      <c r="AD155" s="49"/>
      <c r="AE155" s="47"/>
      <c r="AF155" s="48"/>
      <c r="AG155" s="49"/>
      <c r="AH155" s="50" t="str">
        <f t="shared" si="4"/>
        <v/>
      </c>
    </row>
    <row r="156" spans="1:34" ht="15.95" customHeight="1">
      <c r="A156" s="46">
        <v>6</v>
      </c>
      <c r="B156" s="63" t="str">
        <f>IF('(4).Midterm Results'!B156="","",'(4).Midterm Results'!B156)</f>
        <v/>
      </c>
      <c r="C156" s="62" t="str">
        <f>IF('(4).Midterm Results'!C156="","",'(4).Midterm Results'!C156)</f>
        <v/>
      </c>
      <c r="D156" s="47"/>
      <c r="E156" s="48"/>
      <c r="F156" s="49"/>
      <c r="G156" s="47"/>
      <c r="H156" s="48"/>
      <c r="I156" s="49"/>
      <c r="J156" s="47"/>
      <c r="K156" s="48"/>
      <c r="L156" s="49"/>
      <c r="M156" s="47"/>
      <c r="N156" s="48"/>
      <c r="O156" s="49"/>
      <c r="P156" s="47"/>
      <c r="Q156" s="48"/>
      <c r="R156" s="49"/>
      <c r="S156" s="47"/>
      <c r="T156" s="48"/>
      <c r="U156" s="49"/>
      <c r="V156" s="47"/>
      <c r="W156" s="48"/>
      <c r="X156" s="49"/>
      <c r="Y156" s="47"/>
      <c r="Z156" s="48"/>
      <c r="AA156" s="49"/>
      <c r="AB156" s="47"/>
      <c r="AC156" s="48"/>
      <c r="AD156" s="49"/>
      <c r="AE156" s="47"/>
      <c r="AF156" s="48"/>
      <c r="AG156" s="49"/>
      <c r="AH156" s="50" t="str">
        <f t="shared" si="4"/>
        <v/>
      </c>
    </row>
    <row r="157" spans="1:34" ht="15.95" customHeight="1">
      <c r="A157" s="46">
        <v>7</v>
      </c>
      <c r="B157" s="63" t="str">
        <f>IF('(4).Midterm Results'!B157="","",'(4).Midterm Results'!B157)</f>
        <v/>
      </c>
      <c r="C157" s="62" t="str">
        <f>IF('(4).Midterm Results'!C157="","",'(4).Midterm Results'!C157)</f>
        <v/>
      </c>
      <c r="D157" s="47"/>
      <c r="E157" s="48"/>
      <c r="F157" s="49"/>
      <c r="G157" s="47"/>
      <c r="H157" s="48"/>
      <c r="I157" s="49"/>
      <c r="J157" s="47"/>
      <c r="K157" s="48"/>
      <c r="L157" s="49"/>
      <c r="M157" s="47"/>
      <c r="N157" s="48"/>
      <c r="O157" s="49"/>
      <c r="P157" s="47"/>
      <c r="Q157" s="48"/>
      <c r="R157" s="49"/>
      <c r="S157" s="47"/>
      <c r="T157" s="48"/>
      <c r="U157" s="49"/>
      <c r="V157" s="47"/>
      <c r="W157" s="48"/>
      <c r="X157" s="49"/>
      <c r="Y157" s="47"/>
      <c r="Z157" s="48"/>
      <c r="AA157" s="49"/>
      <c r="AB157" s="47"/>
      <c r="AC157" s="48"/>
      <c r="AD157" s="49"/>
      <c r="AE157" s="47"/>
      <c r="AF157" s="48"/>
      <c r="AG157" s="49"/>
      <c r="AH157" s="50" t="str">
        <f t="shared" si="4"/>
        <v/>
      </c>
    </row>
    <row r="158" spans="1:34" ht="15.95" customHeight="1">
      <c r="A158" s="46">
        <v>8</v>
      </c>
      <c r="B158" s="63" t="str">
        <f>IF('(4).Midterm Results'!B158="","",'(4).Midterm Results'!B158)</f>
        <v/>
      </c>
      <c r="C158" s="62" t="str">
        <f>IF('(4).Midterm Results'!C158="","",'(4).Midterm Results'!C158)</f>
        <v/>
      </c>
      <c r="D158" s="47"/>
      <c r="E158" s="48"/>
      <c r="F158" s="49"/>
      <c r="G158" s="47"/>
      <c r="H158" s="48"/>
      <c r="I158" s="49"/>
      <c r="J158" s="47"/>
      <c r="K158" s="48"/>
      <c r="L158" s="49"/>
      <c r="M158" s="47"/>
      <c r="N158" s="48"/>
      <c r="O158" s="49"/>
      <c r="P158" s="47"/>
      <c r="Q158" s="48"/>
      <c r="R158" s="49"/>
      <c r="S158" s="47"/>
      <c r="T158" s="48"/>
      <c r="U158" s="49"/>
      <c r="V158" s="47"/>
      <c r="W158" s="48"/>
      <c r="X158" s="49"/>
      <c r="Y158" s="47"/>
      <c r="Z158" s="48"/>
      <c r="AA158" s="49"/>
      <c r="AB158" s="47"/>
      <c r="AC158" s="48"/>
      <c r="AD158" s="49"/>
      <c r="AE158" s="47"/>
      <c r="AF158" s="48"/>
      <c r="AG158" s="49"/>
      <c r="AH158" s="50" t="str">
        <f t="shared" si="4"/>
        <v/>
      </c>
    </row>
    <row r="159" spans="1:34" ht="15.95" customHeight="1">
      <c r="A159" s="46">
        <v>9</v>
      </c>
      <c r="B159" s="63" t="str">
        <f>IF('(4).Midterm Results'!B159="","",'(4).Midterm Results'!B159)</f>
        <v/>
      </c>
      <c r="C159" s="62" t="str">
        <f>IF('(4).Midterm Results'!C159="","",'(4).Midterm Results'!C159)</f>
        <v/>
      </c>
      <c r="D159" s="47"/>
      <c r="E159" s="48"/>
      <c r="F159" s="49"/>
      <c r="G159" s="47"/>
      <c r="H159" s="48"/>
      <c r="I159" s="49"/>
      <c r="J159" s="47"/>
      <c r="K159" s="48"/>
      <c r="L159" s="49"/>
      <c r="M159" s="47"/>
      <c r="N159" s="48"/>
      <c r="O159" s="49"/>
      <c r="P159" s="47"/>
      <c r="Q159" s="48"/>
      <c r="R159" s="49"/>
      <c r="S159" s="47"/>
      <c r="T159" s="48"/>
      <c r="U159" s="49"/>
      <c r="V159" s="47"/>
      <c r="W159" s="48"/>
      <c r="X159" s="49"/>
      <c r="Y159" s="47"/>
      <c r="Z159" s="48"/>
      <c r="AA159" s="49"/>
      <c r="AB159" s="47"/>
      <c r="AC159" s="48"/>
      <c r="AD159" s="49"/>
      <c r="AE159" s="47"/>
      <c r="AF159" s="48"/>
      <c r="AG159" s="49"/>
      <c r="AH159" s="50" t="str">
        <f t="shared" si="4"/>
        <v/>
      </c>
    </row>
    <row r="160" spans="1:34" ht="15.95" customHeight="1">
      <c r="A160" s="46">
        <v>10</v>
      </c>
      <c r="B160" s="63" t="str">
        <f>IF('(4).Midterm Results'!B160="","",'(4).Midterm Results'!B160)</f>
        <v/>
      </c>
      <c r="C160" s="62" t="str">
        <f>IF('(4).Midterm Results'!C160="","",'(4).Midterm Results'!C160)</f>
        <v/>
      </c>
      <c r="D160" s="47"/>
      <c r="E160" s="48"/>
      <c r="F160" s="49"/>
      <c r="G160" s="47"/>
      <c r="H160" s="48"/>
      <c r="I160" s="49"/>
      <c r="J160" s="47"/>
      <c r="K160" s="48"/>
      <c r="L160" s="49"/>
      <c r="M160" s="47"/>
      <c r="N160" s="48"/>
      <c r="O160" s="49"/>
      <c r="P160" s="47"/>
      <c r="Q160" s="48"/>
      <c r="R160" s="49"/>
      <c r="S160" s="47"/>
      <c r="T160" s="48"/>
      <c r="U160" s="49"/>
      <c r="V160" s="47"/>
      <c r="W160" s="48"/>
      <c r="X160" s="49"/>
      <c r="Y160" s="47"/>
      <c r="Z160" s="48"/>
      <c r="AA160" s="49"/>
      <c r="AB160" s="47"/>
      <c r="AC160" s="48"/>
      <c r="AD160" s="49"/>
      <c r="AE160" s="47"/>
      <c r="AF160" s="48"/>
      <c r="AG160" s="49"/>
      <c r="AH160" s="50" t="str">
        <f t="shared" si="4"/>
        <v/>
      </c>
    </row>
    <row r="161" spans="1:34" ht="15.95" customHeight="1">
      <c r="A161" s="46">
        <v>11</v>
      </c>
      <c r="B161" s="63" t="str">
        <f>IF('(4).Midterm Results'!B161="","",'(4).Midterm Results'!B161)</f>
        <v/>
      </c>
      <c r="C161" s="62" t="str">
        <f>IF('(4).Midterm Results'!C161="","",'(4).Midterm Results'!C161)</f>
        <v/>
      </c>
      <c r="D161" s="47"/>
      <c r="E161" s="48"/>
      <c r="F161" s="49"/>
      <c r="G161" s="47"/>
      <c r="H161" s="48"/>
      <c r="I161" s="49"/>
      <c r="J161" s="47"/>
      <c r="K161" s="48"/>
      <c r="L161" s="49"/>
      <c r="M161" s="47"/>
      <c r="N161" s="48"/>
      <c r="O161" s="49"/>
      <c r="P161" s="47"/>
      <c r="Q161" s="48"/>
      <c r="R161" s="49"/>
      <c r="S161" s="47"/>
      <c r="T161" s="48"/>
      <c r="U161" s="49"/>
      <c r="V161" s="47"/>
      <c r="W161" s="48"/>
      <c r="X161" s="49"/>
      <c r="Y161" s="47"/>
      <c r="Z161" s="48"/>
      <c r="AA161" s="49"/>
      <c r="AB161" s="47"/>
      <c r="AC161" s="48"/>
      <c r="AD161" s="49"/>
      <c r="AE161" s="47"/>
      <c r="AF161" s="48"/>
      <c r="AG161" s="49"/>
      <c r="AH161" s="50" t="str">
        <f t="shared" si="4"/>
        <v/>
      </c>
    </row>
    <row r="162" spans="1:34" ht="15.95" customHeight="1">
      <c r="A162" s="46">
        <v>12</v>
      </c>
      <c r="B162" s="63" t="str">
        <f>IF('(4).Midterm Results'!B162="","",'(4).Midterm Results'!B162)</f>
        <v/>
      </c>
      <c r="C162" s="62" t="str">
        <f>IF('(4).Midterm Results'!C162="","",'(4).Midterm Results'!C162)</f>
        <v/>
      </c>
      <c r="D162" s="47"/>
      <c r="E162" s="48"/>
      <c r="F162" s="49"/>
      <c r="G162" s="47"/>
      <c r="H162" s="48"/>
      <c r="I162" s="49"/>
      <c r="J162" s="47"/>
      <c r="K162" s="48"/>
      <c r="L162" s="49"/>
      <c r="M162" s="47"/>
      <c r="N162" s="48"/>
      <c r="O162" s="49"/>
      <c r="P162" s="47"/>
      <c r="Q162" s="48"/>
      <c r="R162" s="49"/>
      <c r="S162" s="47"/>
      <c r="T162" s="48"/>
      <c r="U162" s="49"/>
      <c r="V162" s="47"/>
      <c r="W162" s="48"/>
      <c r="X162" s="49"/>
      <c r="Y162" s="47"/>
      <c r="Z162" s="48"/>
      <c r="AA162" s="49"/>
      <c r="AB162" s="47"/>
      <c r="AC162" s="48"/>
      <c r="AD162" s="49"/>
      <c r="AE162" s="47"/>
      <c r="AF162" s="48"/>
      <c r="AG162" s="49"/>
      <c r="AH162" s="50" t="str">
        <f t="shared" si="4"/>
        <v/>
      </c>
    </row>
    <row r="163" spans="1:34" ht="15.95" customHeight="1">
      <c r="A163" s="46">
        <v>13</v>
      </c>
      <c r="B163" s="63" t="str">
        <f>IF('(4).Midterm Results'!B163="","",'(4).Midterm Results'!B163)</f>
        <v/>
      </c>
      <c r="C163" s="62" t="str">
        <f>IF('(4).Midterm Results'!C163="","",'(4).Midterm Results'!C163)</f>
        <v/>
      </c>
      <c r="D163" s="47"/>
      <c r="E163" s="48"/>
      <c r="F163" s="49"/>
      <c r="G163" s="47"/>
      <c r="H163" s="48"/>
      <c r="I163" s="49"/>
      <c r="J163" s="47"/>
      <c r="K163" s="48"/>
      <c r="L163" s="49"/>
      <c r="M163" s="47"/>
      <c r="N163" s="48"/>
      <c r="O163" s="49"/>
      <c r="P163" s="47"/>
      <c r="Q163" s="48"/>
      <c r="R163" s="49"/>
      <c r="S163" s="47"/>
      <c r="T163" s="48"/>
      <c r="U163" s="49"/>
      <c r="V163" s="47"/>
      <c r="W163" s="48"/>
      <c r="X163" s="49"/>
      <c r="Y163" s="47"/>
      <c r="Z163" s="48"/>
      <c r="AA163" s="49"/>
      <c r="AB163" s="47"/>
      <c r="AC163" s="48"/>
      <c r="AD163" s="49"/>
      <c r="AE163" s="47"/>
      <c r="AF163" s="48"/>
      <c r="AG163" s="49"/>
      <c r="AH163" s="50" t="str">
        <f t="shared" si="4"/>
        <v/>
      </c>
    </row>
    <row r="164" spans="1:34" ht="15.95" customHeight="1">
      <c r="A164" s="46">
        <v>14</v>
      </c>
      <c r="B164" s="63" t="str">
        <f>IF('(4).Midterm Results'!B164="","",'(4).Midterm Results'!B164)</f>
        <v/>
      </c>
      <c r="C164" s="62" t="str">
        <f>IF('(4).Midterm Results'!C164="","",'(4).Midterm Results'!C164)</f>
        <v/>
      </c>
      <c r="D164" s="47"/>
      <c r="E164" s="48"/>
      <c r="F164" s="49"/>
      <c r="G164" s="47"/>
      <c r="H164" s="48"/>
      <c r="I164" s="49"/>
      <c r="J164" s="47"/>
      <c r="K164" s="48"/>
      <c r="L164" s="49"/>
      <c r="M164" s="47"/>
      <c r="N164" s="48"/>
      <c r="O164" s="49"/>
      <c r="P164" s="47"/>
      <c r="Q164" s="48"/>
      <c r="R164" s="49"/>
      <c r="S164" s="47"/>
      <c r="T164" s="48"/>
      <c r="U164" s="49"/>
      <c r="V164" s="47"/>
      <c r="W164" s="48"/>
      <c r="X164" s="49"/>
      <c r="Y164" s="47"/>
      <c r="Z164" s="48"/>
      <c r="AA164" s="49"/>
      <c r="AB164" s="47"/>
      <c r="AC164" s="48"/>
      <c r="AD164" s="49"/>
      <c r="AE164" s="47"/>
      <c r="AF164" s="48"/>
      <c r="AG164" s="49"/>
      <c r="AH164" s="50" t="str">
        <f t="shared" si="4"/>
        <v/>
      </c>
    </row>
    <row r="165" spans="1:34" ht="15.95" customHeight="1">
      <c r="A165" s="46">
        <v>15</v>
      </c>
      <c r="B165" s="63" t="str">
        <f>IF('(4).Midterm Results'!B165="","",'(4).Midterm Results'!B165)</f>
        <v/>
      </c>
      <c r="C165" s="62" t="str">
        <f>IF('(4).Midterm Results'!C165="","",'(4).Midterm Results'!C165)</f>
        <v/>
      </c>
      <c r="D165" s="47"/>
      <c r="E165" s="48"/>
      <c r="F165" s="49"/>
      <c r="G165" s="47"/>
      <c r="H165" s="48"/>
      <c r="I165" s="49"/>
      <c r="J165" s="47"/>
      <c r="K165" s="48"/>
      <c r="L165" s="49"/>
      <c r="M165" s="47"/>
      <c r="N165" s="48"/>
      <c r="O165" s="49"/>
      <c r="P165" s="47"/>
      <c r="Q165" s="48"/>
      <c r="R165" s="49"/>
      <c r="S165" s="47"/>
      <c r="T165" s="48"/>
      <c r="U165" s="49"/>
      <c r="V165" s="47"/>
      <c r="W165" s="48"/>
      <c r="X165" s="49"/>
      <c r="Y165" s="47"/>
      <c r="Z165" s="48"/>
      <c r="AA165" s="49"/>
      <c r="AB165" s="47"/>
      <c r="AC165" s="48"/>
      <c r="AD165" s="49"/>
      <c r="AE165" s="47"/>
      <c r="AF165" s="48"/>
      <c r="AG165" s="49"/>
      <c r="AH165" s="50" t="str">
        <f t="shared" si="4"/>
        <v/>
      </c>
    </row>
    <row r="166" spans="1:34" ht="15.95" customHeight="1">
      <c r="A166" s="46">
        <v>16</v>
      </c>
      <c r="B166" s="63" t="str">
        <f>IF('(4).Midterm Results'!B166="","",'(4).Midterm Results'!B166)</f>
        <v/>
      </c>
      <c r="C166" s="62" t="str">
        <f>IF('(4).Midterm Results'!C166="","",'(4).Midterm Results'!C166)</f>
        <v/>
      </c>
      <c r="D166" s="47"/>
      <c r="E166" s="48"/>
      <c r="F166" s="49"/>
      <c r="G166" s="47"/>
      <c r="H166" s="48"/>
      <c r="I166" s="49"/>
      <c r="J166" s="47"/>
      <c r="K166" s="48"/>
      <c r="L166" s="49"/>
      <c r="M166" s="47"/>
      <c r="N166" s="48"/>
      <c r="O166" s="49"/>
      <c r="P166" s="47"/>
      <c r="Q166" s="48"/>
      <c r="R166" s="49"/>
      <c r="S166" s="47"/>
      <c r="T166" s="48"/>
      <c r="U166" s="49"/>
      <c r="V166" s="47"/>
      <c r="W166" s="48"/>
      <c r="X166" s="49"/>
      <c r="Y166" s="47"/>
      <c r="Z166" s="48"/>
      <c r="AA166" s="49"/>
      <c r="AB166" s="47"/>
      <c r="AC166" s="48"/>
      <c r="AD166" s="49"/>
      <c r="AE166" s="47"/>
      <c r="AF166" s="48"/>
      <c r="AG166" s="49"/>
      <c r="AH166" s="50" t="str">
        <f t="shared" si="4"/>
        <v/>
      </c>
    </row>
    <row r="167" spans="1:34" ht="15.95" customHeight="1">
      <c r="A167" s="46">
        <v>17</v>
      </c>
      <c r="B167" s="63" t="str">
        <f>IF('(4).Midterm Results'!B167="","",'(4).Midterm Results'!B167)</f>
        <v/>
      </c>
      <c r="C167" s="62" t="str">
        <f>IF('(4).Midterm Results'!C167="","",'(4).Midterm Results'!C167)</f>
        <v/>
      </c>
      <c r="D167" s="47"/>
      <c r="E167" s="48"/>
      <c r="F167" s="49"/>
      <c r="G167" s="47"/>
      <c r="H167" s="48"/>
      <c r="I167" s="49"/>
      <c r="J167" s="47"/>
      <c r="K167" s="48"/>
      <c r="L167" s="49"/>
      <c r="M167" s="47"/>
      <c r="N167" s="48"/>
      <c r="O167" s="49"/>
      <c r="P167" s="47"/>
      <c r="Q167" s="48"/>
      <c r="R167" s="49"/>
      <c r="S167" s="47"/>
      <c r="T167" s="48"/>
      <c r="U167" s="49"/>
      <c r="V167" s="47"/>
      <c r="W167" s="48"/>
      <c r="X167" s="49"/>
      <c r="Y167" s="47"/>
      <c r="Z167" s="48"/>
      <c r="AA167" s="49"/>
      <c r="AB167" s="47"/>
      <c r="AC167" s="48"/>
      <c r="AD167" s="49"/>
      <c r="AE167" s="47"/>
      <c r="AF167" s="48"/>
      <c r="AG167" s="49"/>
      <c r="AH167" s="50" t="str">
        <f t="shared" si="4"/>
        <v/>
      </c>
    </row>
    <row r="168" spans="1:34" ht="15.95" customHeight="1">
      <c r="A168" s="46">
        <v>18</v>
      </c>
      <c r="B168" s="63" t="str">
        <f>IF('(4).Midterm Results'!B168="","",'(4).Midterm Results'!B168)</f>
        <v/>
      </c>
      <c r="C168" s="62" t="str">
        <f>IF('(4).Midterm Results'!C168="","",'(4).Midterm Results'!C168)</f>
        <v/>
      </c>
      <c r="D168" s="47"/>
      <c r="E168" s="48"/>
      <c r="F168" s="49"/>
      <c r="G168" s="47"/>
      <c r="H168" s="48"/>
      <c r="I168" s="49"/>
      <c r="J168" s="47"/>
      <c r="K168" s="48"/>
      <c r="L168" s="49"/>
      <c r="M168" s="47"/>
      <c r="N168" s="48"/>
      <c r="O168" s="49"/>
      <c r="P168" s="47"/>
      <c r="Q168" s="48"/>
      <c r="R168" s="49"/>
      <c r="S168" s="47"/>
      <c r="T168" s="48"/>
      <c r="U168" s="49"/>
      <c r="V168" s="47"/>
      <c r="W168" s="48"/>
      <c r="X168" s="49"/>
      <c r="Y168" s="47"/>
      <c r="Z168" s="48"/>
      <c r="AA168" s="49"/>
      <c r="AB168" s="47"/>
      <c r="AC168" s="48"/>
      <c r="AD168" s="49"/>
      <c r="AE168" s="47"/>
      <c r="AF168" s="48"/>
      <c r="AG168" s="49"/>
      <c r="AH168" s="50" t="str">
        <f t="shared" si="4"/>
        <v/>
      </c>
    </row>
    <row r="169" spans="1:34" ht="15.95" customHeight="1">
      <c r="A169" s="46">
        <v>19</v>
      </c>
      <c r="B169" s="63" t="str">
        <f>IF('(4).Midterm Results'!B169="","",'(4).Midterm Results'!B169)</f>
        <v/>
      </c>
      <c r="C169" s="62" t="str">
        <f>IF('(4).Midterm Results'!C169="","",'(4).Midterm Results'!C169)</f>
        <v/>
      </c>
      <c r="D169" s="47"/>
      <c r="E169" s="48"/>
      <c r="F169" s="49"/>
      <c r="G169" s="47"/>
      <c r="H169" s="48"/>
      <c r="I169" s="49"/>
      <c r="J169" s="47"/>
      <c r="K169" s="48"/>
      <c r="L169" s="49"/>
      <c r="M169" s="47"/>
      <c r="N169" s="48"/>
      <c r="O169" s="49"/>
      <c r="P169" s="47"/>
      <c r="Q169" s="48"/>
      <c r="R169" s="49"/>
      <c r="S169" s="47"/>
      <c r="T169" s="48"/>
      <c r="U169" s="49"/>
      <c r="V169" s="47"/>
      <c r="W169" s="48"/>
      <c r="X169" s="49"/>
      <c r="Y169" s="47"/>
      <c r="Z169" s="48"/>
      <c r="AA169" s="49"/>
      <c r="AB169" s="47"/>
      <c r="AC169" s="48"/>
      <c r="AD169" s="49"/>
      <c r="AE169" s="47"/>
      <c r="AF169" s="48"/>
      <c r="AG169" s="49"/>
      <c r="AH169" s="50" t="str">
        <f t="shared" si="4"/>
        <v/>
      </c>
    </row>
    <row r="170" spans="1:34" ht="15.95" customHeight="1">
      <c r="A170" s="46">
        <v>20</v>
      </c>
      <c r="B170" s="63" t="str">
        <f>IF('(4).Midterm Results'!B170="","",'(4).Midterm Results'!B170)</f>
        <v/>
      </c>
      <c r="C170" s="62" t="str">
        <f>IF('(4).Midterm Results'!C170="","",'(4).Midterm Results'!C170)</f>
        <v/>
      </c>
      <c r="D170" s="47"/>
      <c r="E170" s="48"/>
      <c r="F170" s="49"/>
      <c r="G170" s="47"/>
      <c r="H170" s="48"/>
      <c r="I170" s="49"/>
      <c r="J170" s="47"/>
      <c r="K170" s="48"/>
      <c r="L170" s="49"/>
      <c r="M170" s="47"/>
      <c r="N170" s="48"/>
      <c r="O170" s="49"/>
      <c r="P170" s="47"/>
      <c r="Q170" s="48"/>
      <c r="R170" s="49"/>
      <c r="S170" s="47"/>
      <c r="T170" s="48"/>
      <c r="U170" s="49"/>
      <c r="V170" s="47"/>
      <c r="W170" s="48"/>
      <c r="X170" s="49"/>
      <c r="Y170" s="47"/>
      <c r="Z170" s="48"/>
      <c r="AA170" s="49"/>
      <c r="AB170" s="47"/>
      <c r="AC170" s="48"/>
      <c r="AD170" s="49"/>
      <c r="AE170" s="47"/>
      <c r="AF170" s="48"/>
      <c r="AG170" s="49"/>
      <c r="AH170" s="50" t="str">
        <f t="shared" si="4"/>
        <v/>
      </c>
    </row>
    <row r="171" spans="1:34" ht="15.95" customHeight="1">
      <c r="A171" s="46">
        <v>21</v>
      </c>
      <c r="B171" s="63" t="str">
        <f>IF('(4).Midterm Results'!B171="","",'(4).Midterm Results'!B171)</f>
        <v/>
      </c>
      <c r="C171" s="62" t="str">
        <f>IF('(4).Midterm Results'!C171="","",'(4).Midterm Results'!C171)</f>
        <v/>
      </c>
      <c r="D171" s="47"/>
      <c r="E171" s="48"/>
      <c r="F171" s="49"/>
      <c r="G171" s="47"/>
      <c r="H171" s="48"/>
      <c r="I171" s="49"/>
      <c r="J171" s="47"/>
      <c r="K171" s="48"/>
      <c r="L171" s="49"/>
      <c r="M171" s="47"/>
      <c r="N171" s="48"/>
      <c r="O171" s="49"/>
      <c r="P171" s="47"/>
      <c r="Q171" s="48"/>
      <c r="R171" s="49"/>
      <c r="S171" s="47"/>
      <c r="T171" s="48"/>
      <c r="U171" s="49"/>
      <c r="V171" s="47"/>
      <c r="W171" s="48"/>
      <c r="X171" s="49"/>
      <c r="Y171" s="47"/>
      <c r="Z171" s="48"/>
      <c r="AA171" s="49"/>
      <c r="AB171" s="47"/>
      <c r="AC171" s="48"/>
      <c r="AD171" s="49"/>
      <c r="AE171" s="47"/>
      <c r="AF171" s="48"/>
      <c r="AG171" s="49"/>
      <c r="AH171" s="50" t="str">
        <f t="shared" si="4"/>
        <v/>
      </c>
    </row>
    <row r="172" spans="1:34" ht="15.95" customHeight="1">
      <c r="A172" s="46">
        <v>22</v>
      </c>
      <c r="B172" s="63" t="str">
        <f>IF('(4).Midterm Results'!B172="","",'(4).Midterm Results'!B172)</f>
        <v/>
      </c>
      <c r="C172" s="62" t="str">
        <f>IF('(4).Midterm Results'!C172="","",'(4).Midterm Results'!C172)</f>
        <v/>
      </c>
      <c r="D172" s="47"/>
      <c r="E172" s="48"/>
      <c r="F172" s="49"/>
      <c r="G172" s="47"/>
      <c r="H172" s="48"/>
      <c r="I172" s="49"/>
      <c r="J172" s="47"/>
      <c r="K172" s="48"/>
      <c r="L172" s="49"/>
      <c r="M172" s="47"/>
      <c r="N172" s="48"/>
      <c r="O172" s="49"/>
      <c r="P172" s="47"/>
      <c r="Q172" s="48"/>
      <c r="R172" s="49"/>
      <c r="S172" s="47"/>
      <c r="T172" s="48"/>
      <c r="U172" s="49"/>
      <c r="V172" s="47"/>
      <c r="W172" s="48"/>
      <c r="X172" s="49"/>
      <c r="Y172" s="47"/>
      <c r="Z172" s="48"/>
      <c r="AA172" s="49"/>
      <c r="AB172" s="47"/>
      <c r="AC172" s="48"/>
      <c r="AD172" s="49"/>
      <c r="AE172" s="47"/>
      <c r="AF172" s="48"/>
      <c r="AG172" s="49"/>
      <c r="AH172" s="50" t="str">
        <f t="shared" si="4"/>
        <v/>
      </c>
    </row>
    <row r="173" spans="1:34" ht="15.95" customHeight="1">
      <c r="A173" s="46">
        <v>23</v>
      </c>
      <c r="B173" s="63" t="str">
        <f>IF('(4).Midterm Results'!B173="","",'(4).Midterm Results'!B173)</f>
        <v/>
      </c>
      <c r="C173" s="62" t="str">
        <f>IF('(4).Midterm Results'!C173="","",'(4).Midterm Results'!C173)</f>
        <v/>
      </c>
      <c r="D173" s="47"/>
      <c r="E173" s="48"/>
      <c r="F173" s="49"/>
      <c r="G173" s="47"/>
      <c r="H173" s="48"/>
      <c r="I173" s="49"/>
      <c r="J173" s="47"/>
      <c r="K173" s="48"/>
      <c r="L173" s="49"/>
      <c r="M173" s="47"/>
      <c r="N173" s="48"/>
      <c r="O173" s="49"/>
      <c r="P173" s="47"/>
      <c r="Q173" s="48"/>
      <c r="R173" s="49"/>
      <c r="S173" s="47"/>
      <c r="T173" s="48"/>
      <c r="U173" s="49"/>
      <c r="V173" s="47"/>
      <c r="W173" s="48"/>
      <c r="X173" s="49"/>
      <c r="Y173" s="47"/>
      <c r="Z173" s="48"/>
      <c r="AA173" s="49"/>
      <c r="AB173" s="47"/>
      <c r="AC173" s="48"/>
      <c r="AD173" s="49"/>
      <c r="AE173" s="47"/>
      <c r="AF173" s="48"/>
      <c r="AG173" s="49"/>
      <c r="AH173" s="50" t="str">
        <f t="shared" si="4"/>
        <v/>
      </c>
    </row>
    <row r="174" spans="1:34" ht="15.95" customHeight="1">
      <c r="A174" s="46">
        <v>24</v>
      </c>
      <c r="B174" s="63" t="str">
        <f>IF('(4).Midterm Results'!B174="","",'(4).Midterm Results'!B174)</f>
        <v/>
      </c>
      <c r="C174" s="62" t="str">
        <f>IF('(4).Midterm Results'!C174="","",'(4).Midterm Results'!C174)</f>
        <v/>
      </c>
      <c r="D174" s="47"/>
      <c r="E174" s="48"/>
      <c r="F174" s="49"/>
      <c r="G174" s="47"/>
      <c r="H174" s="48"/>
      <c r="I174" s="49"/>
      <c r="J174" s="47"/>
      <c r="K174" s="48"/>
      <c r="L174" s="49"/>
      <c r="M174" s="47"/>
      <c r="N174" s="48"/>
      <c r="O174" s="49"/>
      <c r="P174" s="47"/>
      <c r="Q174" s="48"/>
      <c r="R174" s="49"/>
      <c r="S174" s="47"/>
      <c r="T174" s="48"/>
      <c r="U174" s="49"/>
      <c r="V174" s="47"/>
      <c r="W174" s="48"/>
      <c r="X174" s="49"/>
      <c r="Y174" s="47"/>
      <c r="Z174" s="48"/>
      <c r="AA174" s="49"/>
      <c r="AB174" s="47"/>
      <c r="AC174" s="48"/>
      <c r="AD174" s="49"/>
      <c r="AE174" s="47"/>
      <c r="AF174" s="48"/>
      <c r="AG174" s="49"/>
      <c r="AH174" s="50" t="str">
        <f t="shared" si="4"/>
        <v/>
      </c>
    </row>
    <row r="175" spans="1:34" ht="15.95" customHeight="1">
      <c r="A175" s="46">
        <v>25</v>
      </c>
      <c r="B175" s="63" t="str">
        <f>IF('(4).Midterm Results'!B175="","",'(4).Midterm Results'!B175)</f>
        <v/>
      </c>
      <c r="C175" s="62" t="str">
        <f>IF('(4).Midterm Results'!C175="","",'(4).Midterm Results'!C175)</f>
        <v/>
      </c>
      <c r="D175" s="47"/>
      <c r="E175" s="48"/>
      <c r="F175" s="49"/>
      <c r="G175" s="47"/>
      <c r="H175" s="48"/>
      <c r="I175" s="49"/>
      <c r="J175" s="47"/>
      <c r="K175" s="48"/>
      <c r="L175" s="49"/>
      <c r="M175" s="47"/>
      <c r="N175" s="48"/>
      <c r="O175" s="49"/>
      <c r="P175" s="47"/>
      <c r="Q175" s="48"/>
      <c r="R175" s="49"/>
      <c r="S175" s="47"/>
      <c r="T175" s="48"/>
      <c r="U175" s="49"/>
      <c r="V175" s="47"/>
      <c r="W175" s="48"/>
      <c r="X175" s="49"/>
      <c r="Y175" s="47"/>
      <c r="Z175" s="48"/>
      <c r="AA175" s="49"/>
      <c r="AB175" s="47"/>
      <c r="AC175" s="48"/>
      <c r="AD175" s="49"/>
      <c r="AE175" s="47"/>
      <c r="AF175" s="48"/>
      <c r="AG175" s="49"/>
      <c r="AH175" s="50" t="str">
        <f t="shared" si="4"/>
        <v/>
      </c>
    </row>
    <row r="176" spans="1:34" ht="15.95" customHeight="1">
      <c r="A176" s="46">
        <v>26</v>
      </c>
      <c r="B176" s="63" t="str">
        <f>IF('(4).Midterm Results'!B176="","",'(4).Midterm Results'!B176)</f>
        <v/>
      </c>
      <c r="C176" s="62" t="str">
        <f>IF('(4).Midterm Results'!C176="","",'(4).Midterm Results'!C176)</f>
        <v/>
      </c>
      <c r="D176" s="47"/>
      <c r="E176" s="48"/>
      <c r="F176" s="49"/>
      <c r="G176" s="47"/>
      <c r="H176" s="48"/>
      <c r="I176" s="49"/>
      <c r="J176" s="47"/>
      <c r="K176" s="48"/>
      <c r="L176" s="49"/>
      <c r="M176" s="47"/>
      <c r="N176" s="48"/>
      <c r="O176" s="49"/>
      <c r="P176" s="47"/>
      <c r="Q176" s="48"/>
      <c r="R176" s="49"/>
      <c r="S176" s="47"/>
      <c r="T176" s="48"/>
      <c r="U176" s="49"/>
      <c r="V176" s="47"/>
      <c r="W176" s="48"/>
      <c r="X176" s="49"/>
      <c r="Y176" s="47"/>
      <c r="Z176" s="48"/>
      <c r="AA176" s="49"/>
      <c r="AB176" s="47"/>
      <c r="AC176" s="48"/>
      <c r="AD176" s="49"/>
      <c r="AE176" s="47"/>
      <c r="AF176" s="48"/>
      <c r="AG176" s="49"/>
      <c r="AH176" s="50" t="str">
        <f t="shared" si="4"/>
        <v/>
      </c>
    </row>
    <row r="177" spans="1:34" ht="15.95" customHeight="1">
      <c r="A177" s="46">
        <v>27</v>
      </c>
      <c r="B177" s="63" t="str">
        <f>IF('(4).Midterm Results'!B177="","",'(4).Midterm Results'!B177)</f>
        <v/>
      </c>
      <c r="C177" s="62" t="str">
        <f>IF('(4).Midterm Results'!C177="","",'(4).Midterm Results'!C177)</f>
        <v/>
      </c>
      <c r="D177" s="47"/>
      <c r="E177" s="48"/>
      <c r="F177" s="49"/>
      <c r="G177" s="47"/>
      <c r="H177" s="48"/>
      <c r="I177" s="49"/>
      <c r="J177" s="47"/>
      <c r="K177" s="48"/>
      <c r="L177" s="49"/>
      <c r="M177" s="47"/>
      <c r="N177" s="48"/>
      <c r="O177" s="49"/>
      <c r="P177" s="47"/>
      <c r="Q177" s="48"/>
      <c r="R177" s="49"/>
      <c r="S177" s="47"/>
      <c r="T177" s="48"/>
      <c r="U177" s="49"/>
      <c r="V177" s="47"/>
      <c r="W177" s="48"/>
      <c r="X177" s="49"/>
      <c r="Y177" s="47"/>
      <c r="Z177" s="48"/>
      <c r="AA177" s="49"/>
      <c r="AB177" s="47"/>
      <c r="AC177" s="48"/>
      <c r="AD177" s="49"/>
      <c r="AE177" s="47"/>
      <c r="AF177" s="48"/>
      <c r="AG177" s="49"/>
      <c r="AH177" s="50" t="str">
        <f t="shared" si="4"/>
        <v/>
      </c>
    </row>
    <row r="178" spans="1:34" ht="15.95" customHeight="1">
      <c r="A178" s="46">
        <v>28</v>
      </c>
      <c r="B178" s="63" t="str">
        <f>IF('(4).Midterm Results'!B178="","",'(4).Midterm Results'!B178)</f>
        <v/>
      </c>
      <c r="C178" s="62" t="str">
        <f>IF('(4).Midterm Results'!C178="","",'(4).Midterm Results'!C178)</f>
        <v/>
      </c>
      <c r="D178" s="47"/>
      <c r="E178" s="48"/>
      <c r="F178" s="49"/>
      <c r="G178" s="47"/>
      <c r="H178" s="48"/>
      <c r="I178" s="49"/>
      <c r="J178" s="47"/>
      <c r="K178" s="48"/>
      <c r="L178" s="49"/>
      <c r="M178" s="47"/>
      <c r="N178" s="48"/>
      <c r="O178" s="49"/>
      <c r="P178" s="47"/>
      <c r="Q178" s="48"/>
      <c r="R178" s="49"/>
      <c r="S178" s="47"/>
      <c r="T178" s="48"/>
      <c r="U178" s="49"/>
      <c r="V178" s="47"/>
      <c r="W178" s="48"/>
      <c r="X178" s="49"/>
      <c r="Y178" s="47"/>
      <c r="Z178" s="48"/>
      <c r="AA178" s="49"/>
      <c r="AB178" s="47"/>
      <c r="AC178" s="48"/>
      <c r="AD178" s="49"/>
      <c r="AE178" s="47"/>
      <c r="AF178" s="48"/>
      <c r="AG178" s="49"/>
      <c r="AH178" s="50" t="str">
        <f t="shared" si="4"/>
        <v/>
      </c>
    </row>
    <row r="179" spans="1:34" ht="15.95" customHeight="1">
      <c r="A179" s="46">
        <v>29</v>
      </c>
      <c r="B179" s="63" t="str">
        <f>IF('(4).Midterm Results'!B179="","",'(4).Midterm Results'!B179)</f>
        <v/>
      </c>
      <c r="C179" s="62" t="str">
        <f>IF('(4).Midterm Results'!C179="","",'(4).Midterm Results'!C179)</f>
        <v/>
      </c>
      <c r="D179" s="47"/>
      <c r="E179" s="48"/>
      <c r="F179" s="49"/>
      <c r="G179" s="47"/>
      <c r="H179" s="48"/>
      <c r="I179" s="49"/>
      <c r="J179" s="47"/>
      <c r="K179" s="48"/>
      <c r="L179" s="49"/>
      <c r="M179" s="47"/>
      <c r="N179" s="48"/>
      <c r="O179" s="49"/>
      <c r="P179" s="47"/>
      <c r="Q179" s="48"/>
      <c r="R179" s="49"/>
      <c r="S179" s="47"/>
      <c r="T179" s="48"/>
      <c r="U179" s="49"/>
      <c r="V179" s="47"/>
      <c r="W179" s="48"/>
      <c r="X179" s="49"/>
      <c r="Y179" s="47"/>
      <c r="Z179" s="48"/>
      <c r="AA179" s="49"/>
      <c r="AB179" s="47"/>
      <c r="AC179" s="48"/>
      <c r="AD179" s="49"/>
      <c r="AE179" s="47"/>
      <c r="AF179" s="48"/>
      <c r="AG179" s="49"/>
      <c r="AH179" s="50" t="str">
        <f t="shared" si="4"/>
        <v/>
      </c>
    </row>
    <row r="180" spans="1:34" ht="15.95" customHeight="1">
      <c r="A180" s="46">
        <v>30</v>
      </c>
      <c r="B180" s="63" t="str">
        <f>IF('(4).Midterm Results'!B180="","",'(4).Midterm Results'!B180)</f>
        <v/>
      </c>
      <c r="C180" s="62" t="str">
        <f>IF('(4).Midterm Results'!C180="","",'(4).Midterm Results'!C180)</f>
        <v/>
      </c>
      <c r="D180" s="47"/>
      <c r="E180" s="48"/>
      <c r="F180" s="49"/>
      <c r="G180" s="47"/>
      <c r="H180" s="48"/>
      <c r="I180" s="49"/>
      <c r="J180" s="47"/>
      <c r="K180" s="48"/>
      <c r="L180" s="49"/>
      <c r="M180" s="47"/>
      <c r="N180" s="48"/>
      <c r="O180" s="49"/>
      <c r="P180" s="47"/>
      <c r="Q180" s="48"/>
      <c r="R180" s="49"/>
      <c r="S180" s="47"/>
      <c r="T180" s="48"/>
      <c r="U180" s="49"/>
      <c r="V180" s="47"/>
      <c r="W180" s="48"/>
      <c r="X180" s="49"/>
      <c r="Y180" s="47"/>
      <c r="Z180" s="48"/>
      <c r="AA180" s="49"/>
      <c r="AB180" s="47"/>
      <c r="AC180" s="48"/>
      <c r="AD180" s="49"/>
      <c r="AE180" s="47"/>
      <c r="AF180" s="48"/>
      <c r="AG180" s="49"/>
      <c r="AH180" s="50" t="str">
        <f t="shared" si="4"/>
        <v/>
      </c>
    </row>
    <row r="181" spans="1:34" ht="15.95" customHeight="1">
      <c r="A181" s="18" t="s">
        <v>0</v>
      </c>
      <c r="B181" s="19">
        <f>'(4).Midterm Results'!B181</f>
        <v>0</v>
      </c>
      <c r="C181" s="60"/>
      <c r="D181" s="222" t="s">
        <v>91</v>
      </c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</row>
    <row r="182" spans="1:34" ht="15.95" customHeight="1">
      <c r="A182" s="18" t="s">
        <v>1</v>
      </c>
      <c r="B182" s="19">
        <f>'(4).Midterm Results'!B182</f>
        <v>0</v>
      </c>
      <c r="C182" s="60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</row>
    <row r="183" spans="1:34" ht="15.95" customHeight="1">
      <c r="A183" s="18" t="s">
        <v>2</v>
      </c>
      <c r="B183" s="19">
        <f>'(4).Midterm Results'!B183</f>
        <v>0</v>
      </c>
      <c r="C183" s="60"/>
      <c r="D183" s="223" t="str">
        <f>'(4).Midterm Results'!D182</f>
        <v>FEBRUARY - JULY 2026</v>
      </c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  <c r="AA183" s="223"/>
      <c r="AB183" s="223"/>
      <c r="AC183" s="223"/>
      <c r="AD183" s="223"/>
      <c r="AE183" s="223"/>
      <c r="AF183" s="223"/>
      <c r="AG183" s="223"/>
      <c r="AH183" s="223"/>
    </row>
    <row r="184" spans="1:34" ht="15.95" customHeight="1">
      <c r="A184" s="18" t="s">
        <v>3</v>
      </c>
      <c r="B184" s="19">
        <f>'(4).Midterm Results'!B184</f>
        <v>0</v>
      </c>
      <c r="C184" s="60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  <c r="AG184" s="224"/>
      <c r="AH184" s="224"/>
    </row>
    <row r="185" spans="1:34" ht="15.95" customHeight="1">
      <c r="A185" s="18" t="s">
        <v>4</v>
      </c>
      <c r="B185" s="19">
        <f>'(4).Midterm Results'!B185</f>
        <v>0</v>
      </c>
      <c r="C185" s="61"/>
      <c r="D185" s="220" t="str">
        <f>IF(OR($B182="K5",$B182="K6",$B182="K7",$B182="K8",$B182="K9",$B182="K10"),"Listening","Up-Low C")</f>
        <v>Up-Low C</v>
      </c>
      <c r="E185" s="220"/>
      <c r="F185" s="220"/>
      <c r="G185" s="220" t="str">
        <f>IF(OR($B182="K5",$B182="K6",$B182="K7",$B182="K8",$B182="K9",$B182="K10"),"Speaking","Alphabet N")</f>
        <v>Alphabet N</v>
      </c>
      <c r="H185" s="220"/>
      <c r="I185" s="220"/>
      <c r="J185" s="220" t="str">
        <f>IF(OR($B182="K5",$B182="K6",$B182="K7",$B182="K8",$B182="K9",$B182="K10"),"Reading","Alphabet S")</f>
        <v>Alphabet S</v>
      </c>
      <c r="K185" s="220"/>
      <c r="L185" s="220"/>
      <c r="M185" s="220" t="str">
        <f>IF(OR($B182="K5",$B182="K6",$B182="K7",$B182="K8",$B182="K9",$B182="K10"),"Writing","Vocabulary")</f>
        <v>Vocabulary</v>
      </c>
      <c r="N185" s="220"/>
      <c r="O185" s="220"/>
      <c r="P185" s="220" t="str">
        <f>IF(OR($B182="K5",$B182="K6",$B182="K7",$B182="K8",$B182="K9",$B182="K10"),"Gram/Vocab","Sprouts")</f>
        <v>Sprouts</v>
      </c>
      <c r="Q185" s="220"/>
      <c r="R185" s="220"/>
      <c r="S185" s="220" t="str">
        <f>IF(OR($B182="K5",$B182="K6",$B182="K7",$B182="K8",$B182="K9",$B182="K10"),"Roots","Phonics")</f>
        <v>Phonics</v>
      </c>
      <c r="T185" s="220"/>
      <c r="U185" s="220"/>
      <c r="V185" s="220" t="str">
        <f>IF(OR($B182="K5",$B182="K6",$B182="K7",$B182="K8",$B182="K9",$B182="K10"),"Phonics","Math")</f>
        <v>Math</v>
      </c>
      <c r="W185" s="220"/>
      <c r="X185" s="220"/>
      <c r="Y185" s="220" t="str">
        <f>IF(OR($B182="K5",$B182="K6",$B182="K7",$B182="K8",$B182="K9",$B182="K10"),"Math","Shape")</f>
        <v>Shape</v>
      </c>
      <c r="Z185" s="220"/>
      <c r="AA185" s="220"/>
      <c r="AB185" s="220" t="s">
        <v>10</v>
      </c>
      <c r="AC185" s="220"/>
      <c r="AD185" s="220"/>
      <c r="AE185" s="220" t="str">
        <f>IF(OR($B182="K5",$B182="K6",$B182="K7",$B182="K8",$B182="K9",$B182="K10"),"Homework","Tracing")</f>
        <v>Tracing</v>
      </c>
      <c r="AF185" s="220"/>
      <c r="AG185" s="220"/>
      <c r="AH185" s="90" t="s">
        <v>11</v>
      </c>
    </row>
    <row r="186" spans="1:34" ht="15.95" customHeight="1" thickBot="1">
      <c r="A186" s="73" t="s">
        <v>5</v>
      </c>
      <c r="B186" s="74" t="s">
        <v>6</v>
      </c>
      <c r="C186" s="75" t="s">
        <v>7</v>
      </c>
      <c r="D186" s="221" t="s">
        <v>9</v>
      </c>
      <c r="E186" s="221"/>
      <c r="F186" s="221"/>
      <c r="G186" s="221" t="s">
        <v>9</v>
      </c>
      <c r="H186" s="221"/>
      <c r="I186" s="221"/>
      <c r="J186" s="221" t="s">
        <v>9</v>
      </c>
      <c r="K186" s="221"/>
      <c r="L186" s="221"/>
      <c r="M186" s="221" t="s">
        <v>9</v>
      </c>
      <c r="N186" s="221"/>
      <c r="O186" s="221"/>
      <c r="P186" s="221" t="s">
        <v>9</v>
      </c>
      <c r="Q186" s="221"/>
      <c r="R186" s="221"/>
      <c r="S186" s="221" t="s">
        <v>9</v>
      </c>
      <c r="T186" s="221"/>
      <c r="U186" s="221"/>
      <c r="V186" s="221" t="s">
        <v>9</v>
      </c>
      <c r="W186" s="221"/>
      <c r="X186" s="221"/>
      <c r="Y186" s="221" t="s">
        <v>9</v>
      </c>
      <c r="Z186" s="221"/>
      <c r="AA186" s="221"/>
      <c r="AB186" s="221" t="s">
        <v>9</v>
      </c>
      <c r="AC186" s="221"/>
      <c r="AD186" s="221"/>
      <c r="AE186" s="221" t="s">
        <v>9</v>
      </c>
      <c r="AF186" s="221"/>
      <c r="AG186" s="221"/>
      <c r="AH186" s="77" t="s">
        <v>12</v>
      </c>
    </row>
    <row r="187" spans="1:34" ht="15.95" customHeight="1">
      <c r="A187" s="14">
        <v>1</v>
      </c>
      <c r="B187" s="68" t="str">
        <f>IF('(4).Midterm Results'!B187="","",'(4).Midterm Results'!B187)</f>
        <v/>
      </c>
      <c r="C187" s="16" t="str">
        <f>IF('(4).Midterm Results'!C187="","",'(4).Midterm Results'!C187)</f>
        <v/>
      </c>
      <c r="D187" s="69"/>
      <c r="E187" s="70"/>
      <c r="F187" s="71"/>
      <c r="G187" s="69"/>
      <c r="H187" s="70"/>
      <c r="I187" s="71"/>
      <c r="J187" s="69"/>
      <c r="K187" s="70"/>
      <c r="L187" s="71"/>
      <c r="M187" s="69"/>
      <c r="N187" s="70"/>
      <c r="O187" s="71"/>
      <c r="P187" s="69"/>
      <c r="Q187" s="70"/>
      <c r="R187" s="71"/>
      <c r="S187" s="69"/>
      <c r="T187" s="70"/>
      <c r="U187" s="71"/>
      <c r="V187" s="69"/>
      <c r="W187" s="70"/>
      <c r="X187" s="71"/>
      <c r="Y187" s="69"/>
      <c r="Z187" s="70"/>
      <c r="AA187" s="71"/>
      <c r="AB187" s="69"/>
      <c r="AC187" s="70"/>
      <c r="AD187" s="71"/>
      <c r="AE187" s="69"/>
      <c r="AF187" s="70"/>
      <c r="AG187" s="71"/>
      <c r="AH187" s="72" t="str">
        <f>IF(B187="","",IF(COUNT(D187:F187)=0,"Incomplete",IF(COUNT(G187:I187)=0,"Incomplete",IF(COUNT(J187:L187)=0,"Incomplete",IF(COUNT(M187:O187)=0,"Incomplete",IF(COUNT(P187:R187)=0,"Incomplete",IF(COUNT(S187:U187)=0,"Incomplete",IF(COUNT(V187:X187)=0,"Incomplete",IF(COUNT(Y187:AA187)=0,"Incomplete",IF(COUNT(AB187:AD187)=0,"Incomplete",IF(COUNT(AE187:AG187)=0,"Incomplete",AVERAGEIF(D187:F187,"&gt;=0")+AVERAGEIF(G187:I187,"&gt;=0")+AVERAGEIF(J187:L187,"&gt;=0")+AVERAGEIF(M187:O187,"&gt;=0")+AVERAGEIF(P187:R187,"&gt;=0")+AVERAGEIF(S187:U187,"&gt;=0")+AVERAGEIF(V187:X187,"&gt;=0")+AVERAGEIF(Y187:AA187,"&gt;=0")+AVERAGEIF(AB187:AD187,"&gt;=0")+AVERAGEIF(AE187:AG187,"&gt;=0"))))))))))))</f>
        <v/>
      </c>
    </row>
    <row r="188" spans="1:34" ht="15.95" customHeight="1">
      <c r="A188" s="46">
        <v>2</v>
      </c>
      <c r="B188" s="63" t="str">
        <f>IF('(4).Midterm Results'!B188="","",'(4).Midterm Results'!B188)</f>
        <v/>
      </c>
      <c r="C188" s="62" t="str">
        <f>IF('(4).Midterm Results'!C188="","",'(4).Midterm Results'!C188)</f>
        <v/>
      </c>
      <c r="D188" s="47"/>
      <c r="E188" s="48"/>
      <c r="F188" s="49"/>
      <c r="G188" s="47"/>
      <c r="H188" s="48"/>
      <c r="I188" s="49"/>
      <c r="J188" s="47"/>
      <c r="K188" s="48"/>
      <c r="L188" s="49"/>
      <c r="M188" s="47"/>
      <c r="N188" s="48"/>
      <c r="O188" s="49"/>
      <c r="P188" s="47"/>
      <c r="Q188" s="48"/>
      <c r="R188" s="49"/>
      <c r="S188" s="47"/>
      <c r="T188" s="48"/>
      <c r="U188" s="49"/>
      <c r="V188" s="47"/>
      <c r="W188" s="48"/>
      <c r="X188" s="49"/>
      <c r="Y188" s="47"/>
      <c r="Z188" s="48"/>
      <c r="AA188" s="49"/>
      <c r="AB188" s="47"/>
      <c r="AC188" s="48"/>
      <c r="AD188" s="49"/>
      <c r="AE188" s="47"/>
      <c r="AF188" s="48"/>
      <c r="AG188" s="49"/>
      <c r="AH188" s="50" t="str">
        <f t="shared" ref="AH188:AH216" si="5">IF(B188="","",IF(COUNT(D188:F188)=0,"Incomplete",IF(COUNT(G188:I188)=0,"Incomplete",IF(COUNT(J188:L188)=0,"Incomplete",IF(COUNT(M188:O188)=0,"Incomplete",IF(COUNT(P188:R188)=0,"Incomplete",IF(COUNT(S188:U188)=0,"Incomplete",IF(COUNT(V188:X188)=0,"Incomplete",IF(COUNT(Y188:AA188)=0,"Incomplete",IF(COUNT(AB188:AD188)=0,"Incomplete",IF(COUNT(AE188:AG188)=0,"Incomplete",AVERAGEIF(D188:F188,"&gt;=0")+AVERAGEIF(G188:I188,"&gt;=0")+AVERAGEIF(J188:L188,"&gt;=0")+AVERAGEIF(M188:O188,"&gt;=0")+AVERAGEIF(P188:R188,"&gt;=0")+AVERAGEIF(S188:U188,"&gt;=0")+AVERAGEIF(V188:X188,"&gt;=0")+AVERAGEIF(Y188:AA188,"&gt;=0")+AVERAGEIF(AB188:AD188,"&gt;=0")+AVERAGEIF(AE188:AG188,"&gt;=0"))))))))))))</f>
        <v/>
      </c>
    </row>
    <row r="189" spans="1:34" ht="15.95" customHeight="1">
      <c r="A189" s="46">
        <v>3</v>
      </c>
      <c r="B189" s="63" t="str">
        <f>IF('(4).Midterm Results'!B189="","",'(4).Midterm Results'!B189)</f>
        <v/>
      </c>
      <c r="C189" s="62" t="str">
        <f>IF('(4).Midterm Results'!C189="","",'(4).Midterm Results'!C189)</f>
        <v/>
      </c>
      <c r="D189" s="47"/>
      <c r="E189" s="48"/>
      <c r="F189" s="49"/>
      <c r="G189" s="47"/>
      <c r="H189" s="48"/>
      <c r="I189" s="49"/>
      <c r="J189" s="47"/>
      <c r="K189" s="48"/>
      <c r="L189" s="49"/>
      <c r="M189" s="47"/>
      <c r="N189" s="48"/>
      <c r="O189" s="49"/>
      <c r="P189" s="47"/>
      <c r="Q189" s="48"/>
      <c r="R189" s="49"/>
      <c r="S189" s="47"/>
      <c r="T189" s="48"/>
      <c r="U189" s="49"/>
      <c r="V189" s="47"/>
      <c r="W189" s="48"/>
      <c r="X189" s="49"/>
      <c r="Y189" s="47"/>
      <c r="Z189" s="48"/>
      <c r="AA189" s="49"/>
      <c r="AB189" s="47"/>
      <c r="AC189" s="48"/>
      <c r="AD189" s="49"/>
      <c r="AE189" s="47"/>
      <c r="AF189" s="48"/>
      <c r="AG189" s="49"/>
      <c r="AH189" s="50" t="str">
        <f t="shared" si="5"/>
        <v/>
      </c>
    </row>
    <row r="190" spans="1:34" ht="15.95" customHeight="1">
      <c r="A190" s="46">
        <v>4</v>
      </c>
      <c r="B190" s="63" t="str">
        <f>IF('(4).Midterm Results'!B190="","",'(4).Midterm Results'!B190)</f>
        <v/>
      </c>
      <c r="C190" s="62" t="str">
        <f>IF('(4).Midterm Results'!C190="","",'(4).Midterm Results'!C190)</f>
        <v/>
      </c>
      <c r="D190" s="47"/>
      <c r="E190" s="48"/>
      <c r="F190" s="49"/>
      <c r="G190" s="47"/>
      <c r="H190" s="48"/>
      <c r="I190" s="49"/>
      <c r="J190" s="47"/>
      <c r="K190" s="48"/>
      <c r="L190" s="49"/>
      <c r="M190" s="47"/>
      <c r="N190" s="48"/>
      <c r="O190" s="49"/>
      <c r="P190" s="47"/>
      <c r="Q190" s="48"/>
      <c r="R190" s="49"/>
      <c r="S190" s="47"/>
      <c r="T190" s="48"/>
      <c r="U190" s="49"/>
      <c r="V190" s="47"/>
      <c r="W190" s="48"/>
      <c r="X190" s="49"/>
      <c r="Y190" s="47"/>
      <c r="Z190" s="48"/>
      <c r="AA190" s="49"/>
      <c r="AB190" s="47"/>
      <c r="AC190" s="48"/>
      <c r="AD190" s="49"/>
      <c r="AE190" s="47"/>
      <c r="AF190" s="48"/>
      <c r="AG190" s="49"/>
      <c r="AH190" s="50" t="str">
        <f t="shared" si="5"/>
        <v/>
      </c>
    </row>
    <row r="191" spans="1:34" ht="15.95" customHeight="1">
      <c r="A191" s="46">
        <v>5</v>
      </c>
      <c r="B191" s="63" t="str">
        <f>IF('(4).Midterm Results'!B191="","",'(4).Midterm Results'!B191)</f>
        <v/>
      </c>
      <c r="C191" s="62" t="str">
        <f>IF('(4).Midterm Results'!C191="","",'(4).Midterm Results'!C191)</f>
        <v/>
      </c>
      <c r="D191" s="47"/>
      <c r="E191" s="48"/>
      <c r="F191" s="49"/>
      <c r="G191" s="47"/>
      <c r="H191" s="48"/>
      <c r="I191" s="49"/>
      <c r="J191" s="47"/>
      <c r="K191" s="48"/>
      <c r="L191" s="49"/>
      <c r="M191" s="47"/>
      <c r="N191" s="48"/>
      <c r="O191" s="49"/>
      <c r="P191" s="47"/>
      <c r="Q191" s="48"/>
      <c r="R191" s="49"/>
      <c r="S191" s="47"/>
      <c r="T191" s="48"/>
      <c r="U191" s="49"/>
      <c r="V191" s="47"/>
      <c r="W191" s="48"/>
      <c r="X191" s="49"/>
      <c r="Y191" s="47"/>
      <c r="Z191" s="48"/>
      <c r="AA191" s="49"/>
      <c r="AB191" s="47"/>
      <c r="AC191" s="48"/>
      <c r="AD191" s="49"/>
      <c r="AE191" s="47"/>
      <c r="AF191" s="48"/>
      <c r="AG191" s="49"/>
      <c r="AH191" s="50" t="str">
        <f t="shared" si="5"/>
        <v/>
      </c>
    </row>
    <row r="192" spans="1:34" ht="15.95" customHeight="1">
      <c r="A192" s="46">
        <v>6</v>
      </c>
      <c r="B192" s="63" t="str">
        <f>IF('(4).Midterm Results'!B192="","",'(4).Midterm Results'!B192)</f>
        <v/>
      </c>
      <c r="C192" s="62" t="str">
        <f>IF('(4).Midterm Results'!C192="","",'(4).Midterm Results'!C192)</f>
        <v/>
      </c>
      <c r="D192" s="47"/>
      <c r="E192" s="48"/>
      <c r="F192" s="49"/>
      <c r="G192" s="47"/>
      <c r="H192" s="48"/>
      <c r="I192" s="49"/>
      <c r="J192" s="47"/>
      <c r="K192" s="48"/>
      <c r="L192" s="49"/>
      <c r="M192" s="47"/>
      <c r="N192" s="48"/>
      <c r="O192" s="49"/>
      <c r="P192" s="47"/>
      <c r="Q192" s="48"/>
      <c r="R192" s="49"/>
      <c r="S192" s="47"/>
      <c r="T192" s="48"/>
      <c r="U192" s="49"/>
      <c r="V192" s="47"/>
      <c r="W192" s="48"/>
      <c r="X192" s="49"/>
      <c r="Y192" s="47"/>
      <c r="Z192" s="48"/>
      <c r="AA192" s="49"/>
      <c r="AB192" s="47"/>
      <c r="AC192" s="48"/>
      <c r="AD192" s="49"/>
      <c r="AE192" s="47"/>
      <c r="AF192" s="48"/>
      <c r="AG192" s="49"/>
      <c r="AH192" s="50" t="str">
        <f t="shared" si="5"/>
        <v/>
      </c>
    </row>
    <row r="193" spans="1:34" ht="15.95" customHeight="1">
      <c r="A193" s="46">
        <v>7</v>
      </c>
      <c r="B193" s="63" t="str">
        <f>IF('(4).Midterm Results'!B193="","",'(4).Midterm Results'!B193)</f>
        <v/>
      </c>
      <c r="C193" s="62" t="str">
        <f>IF('(4).Midterm Results'!C193="","",'(4).Midterm Results'!C193)</f>
        <v/>
      </c>
      <c r="D193" s="47"/>
      <c r="E193" s="48"/>
      <c r="F193" s="49"/>
      <c r="G193" s="47"/>
      <c r="H193" s="48"/>
      <c r="I193" s="49"/>
      <c r="J193" s="47"/>
      <c r="K193" s="48"/>
      <c r="L193" s="49"/>
      <c r="M193" s="47"/>
      <c r="N193" s="48"/>
      <c r="O193" s="49"/>
      <c r="P193" s="47"/>
      <c r="Q193" s="48"/>
      <c r="R193" s="49"/>
      <c r="S193" s="47"/>
      <c r="T193" s="48"/>
      <c r="U193" s="49"/>
      <c r="V193" s="47"/>
      <c r="W193" s="48"/>
      <c r="X193" s="49"/>
      <c r="Y193" s="47"/>
      <c r="Z193" s="48"/>
      <c r="AA193" s="49"/>
      <c r="AB193" s="47"/>
      <c r="AC193" s="48"/>
      <c r="AD193" s="49"/>
      <c r="AE193" s="47"/>
      <c r="AF193" s="48"/>
      <c r="AG193" s="49"/>
      <c r="AH193" s="50" t="str">
        <f t="shared" si="5"/>
        <v/>
      </c>
    </row>
    <row r="194" spans="1:34" ht="15.95" customHeight="1">
      <c r="A194" s="46">
        <v>8</v>
      </c>
      <c r="B194" s="63" t="str">
        <f>IF('(4).Midterm Results'!B194="","",'(4).Midterm Results'!B194)</f>
        <v/>
      </c>
      <c r="C194" s="62" t="str">
        <f>IF('(4).Midterm Results'!C194="","",'(4).Midterm Results'!C194)</f>
        <v/>
      </c>
      <c r="D194" s="47"/>
      <c r="E194" s="48"/>
      <c r="F194" s="49"/>
      <c r="G194" s="47"/>
      <c r="H194" s="48"/>
      <c r="I194" s="49"/>
      <c r="J194" s="47"/>
      <c r="K194" s="48"/>
      <c r="L194" s="49"/>
      <c r="M194" s="47"/>
      <c r="N194" s="48"/>
      <c r="O194" s="49"/>
      <c r="P194" s="47"/>
      <c r="Q194" s="48"/>
      <c r="R194" s="49"/>
      <c r="S194" s="47"/>
      <c r="T194" s="48"/>
      <c r="U194" s="49"/>
      <c r="V194" s="47"/>
      <c r="W194" s="48"/>
      <c r="X194" s="49"/>
      <c r="Y194" s="47"/>
      <c r="Z194" s="48"/>
      <c r="AA194" s="49"/>
      <c r="AB194" s="47"/>
      <c r="AC194" s="48"/>
      <c r="AD194" s="49"/>
      <c r="AE194" s="47"/>
      <c r="AF194" s="48"/>
      <c r="AG194" s="49"/>
      <c r="AH194" s="50" t="str">
        <f t="shared" si="5"/>
        <v/>
      </c>
    </row>
    <row r="195" spans="1:34" ht="15.95" customHeight="1">
      <c r="A195" s="46">
        <v>9</v>
      </c>
      <c r="B195" s="63" t="str">
        <f>IF('(4).Midterm Results'!B195="","",'(4).Midterm Results'!B195)</f>
        <v/>
      </c>
      <c r="C195" s="62" t="str">
        <f>IF('(4).Midterm Results'!C195="","",'(4).Midterm Results'!C195)</f>
        <v/>
      </c>
      <c r="D195" s="47"/>
      <c r="E195" s="48"/>
      <c r="F195" s="49"/>
      <c r="G195" s="47"/>
      <c r="H195" s="48"/>
      <c r="I195" s="49"/>
      <c r="J195" s="47"/>
      <c r="K195" s="48"/>
      <c r="L195" s="49"/>
      <c r="M195" s="47"/>
      <c r="N195" s="48"/>
      <c r="O195" s="49"/>
      <c r="P195" s="47"/>
      <c r="Q195" s="48"/>
      <c r="R195" s="49"/>
      <c r="S195" s="47"/>
      <c r="T195" s="48"/>
      <c r="U195" s="49"/>
      <c r="V195" s="47"/>
      <c r="W195" s="48"/>
      <c r="X195" s="49"/>
      <c r="Y195" s="47"/>
      <c r="Z195" s="48"/>
      <c r="AA195" s="49"/>
      <c r="AB195" s="47"/>
      <c r="AC195" s="48"/>
      <c r="AD195" s="49"/>
      <c r="AE195" s="47"/>
      <c r="AF195" s="48"/>
      <c r="AG195" s="49"/>
      <c r="AH195" s="50" t="str">
        <f t="shared" si="5"/>
        <v/>
      </c>
    </row>
    <row r="196" spans="1:34" ht="15.95" customHeight="1">
      <c r="A196" s="46">
        <v>10</v>
      </c>
      <c r="B196" s="63" t="str">
        <f>IF('(4).Midterm Results'!B196="","",'(4).Midterm Results'!B196)</f>
        <v/>
      </c>
      <c r="C196" s="62" t="str">
        <f>IF('(4).Midterm Results'!C196="","",'(4).Midterm Results'!C196)</f>
        <v/>
      </c>
      <c r="D196" s="47"/>
      <c r="E196" s="48"/>
      <c r="F196" s="49"/>
      <c r="G196" s="47"/>
      <c r="H196" s="48"/>
      <c r="I196" s="49"/>
      <c r="J196" s="47"/>
      <c r="K196" s="48"/>
      <c r="L196" s="49"/>
      <c r="M196" s="47"/>
      <c r="N196" s="48"/>
      <c r="O196" s="49"/>
      <c r="P196" s="47"/>
      <c r="Q196" s="48"/>
      <c r="R196" s="49"/>
      <c r="S196" s="47"/>
      <c r="T196" s="48"/>
      <c r="U196" s="49"/>
      <c r="V196" s="47"/>
      <c r="W196" s="48"/>
      <c r="X196" s="49"/>
      <c r="Y196" s="47"/>
      <c r="Z196" s="48"/>
      <c r="AA196" s="49"/>
      <c r="AB196" s="47"/>
      <c r="AC196" s="48"/>
      <c r="AD196" s="49"/>
      <c r="AE196" s="47"/>
      <c r="AF196" s="48"/>
      <c r="AG196" s="49"/>
      <c r="AH196" s="50" t="str">
        <f t="shared" si="5"/>
        <v/>
      </c>
    </row>
    <row r="197" spans="1:34" ht="15.95" customHeight="1">
      <c r="A197" s="46">
        <v>11</v>
      </c>
      <c r="B197" s="63" t="str">
        <f>IF('(4).Midterm Results'!B197="","",'(4).Midterm Results'!B197)</f>
        <v/>
      </c>
      <c r="C197" s="62" t="str">
        <f>IF('(4).Midterm Results'!C197="","",'(4).Midterm Results'!C197)</f>
        <v/>
      </c>
      <c r="D197" s="47"/>
      <c r="E197" s="48"/>
      <c r="F197" s="49"/>
      <c r="G197" s="47"/>
      <c r="H197" s="48"/>
      <c r="I197" s="49"/>
      <c r="J197" s="47"/>
      <c r="K197" s="48"/>
      <c r="L197" s="49"/>
      <c r="M197" s="47"/>
      <c r="N197" s="48"/>
      <c r="O197" s="49"/>
      <c r="P197" s="47"/>
      <c r="Q197" s="48"/>
      <c r="R197" s="49"/>
      <c r="S197" s="47"/>
      <c r="T197" s="48"/>
      <c r="U197" s="49"/>
      <c r="V197" s="47"/>
      <c r="W197" s="48"/>
      <c r="X197" s="49"/>
      <c r="Y197" s="47"/>
      <c r="Z197" s="48"/>
      <c r="AA197" s="49"/>
      <c r="AB197" s="47"/>
      <c r="AC197" s="48"/>
      <c r="AD197" s="49"/>
      <c r="AE197" s="47"/>
      <c r="AF197" s="48"/>
      <c r="AG197" s="49"/>
      <c r="AH197" s="50" t="str">
        <f t="shared" si="5"/>
        <v/>
      </c>
    </row>
    <row r="198" spans="1:34" ht="15.95" customHeight="1">
      <c r="A198" s="46">
        <v>12</v>
      </c>
      <c r="B198" s="63" t="str">
        <f>IF('(4).Midterm Results'!B198="","",'(4).Midterm Results'!B198)</f>
        <v/>
      </c>
      <c r="C198" s="62" t="str">
        <f>IF('(4).Midterm Results'!C198="","",'(4).Midterm Results'!C198)</f>
        <v/>
      </c>
      <c r="D198" s="47"/>
      <c r="E198" s="48"/>
      <c r="F198" s="49"/>
      <c r="G198" s="47"/>
      <c r="H198" s="48"/>
      <c r="I198" s="49"/>
      <c r="J198" s="47"/>
      <c r="K198" s="48"/>
      <c r="L198" s="49"/>
      <c r="M198" s="47"/>
      <c r="N198" s="48"/>
      <c r="O198" s="49"/>
      <c r="P198" s="47"/>
      <c r="Q198" s="48"/>
      <c r="R198" s="49"/>
      <c r="S198" s="47"/>
      <c r="T198" s="48"/>
      <c r="U198" s="49"/>
      <c r="V198" s="47"/>
      <c r="W198" s="48"/>
      <c r="X198" s="49"/>
      <c r="Y198" s="47"/>
      <c r="Z198" s="48"/>
      <c r="AA198" s="49"/>
      <c r="AB198" s="47"/>
      <c r="AC198" s="48"/>
      <c r="AD198" s="49"/>
      <c r="AE198" s="47"/>
      <c r="AF198" s="48"/>
      <c r="AG198" s="49"/>
      <c r="AH198" s="50" t="str">
        <f t="shared" si="5"/>
        <v/>
      </c>
    </row>
    <row r="199" spans="1:34" ht="15.95" customHeight="1">
      <c r="A199" s="46">
        <v>13</v>
      </c>
      <c r="B199" s="63" t="str">
        <f>IF('(4).Midterm Results'!B199="","",'(4).Midterm Results'!B199)</f>
        <v/>
      </c>
      <c r="C199" s="62" t="str">
        <f>IF('(4).Midterm Results'!C199="","",'(4).Midterm Results'!C199)</f>
        <v/>
      </c>
      <c r="D199" s="47"/>
      <c r="E199" s="48"/>
      <c r="F199" s="49"/>
      <c r="G199" s="47"/>
      <c r="H199" s="48"/>
      <c r="I199" s="49"/>
      <c r="J199" s="47"/>
      <c r="K199" s="48"/>
      <c r="L199" s="49"/>
      <c r="M199" s="47"/>
      <c r="N199" s="48"/>
      <c r="O199" s="49"/>
      <c r="P199" s="47"/>
      <c r="Q199" s="48"/>
      <c r="R199" s="49"/>
      <c r="S199" s="47"/>
      <c r="T199" s="48"/>
      <c r="U199" s="49"/>
      <c r="V199" s="47"/>
      <c r="W199" s="48"/>
      <c r="X199" s="49"/>
      <c r="Y199" s="47"/>
      <c r="Z199" s="48"/>
      <c r="AA199" s="49"/>
      <c r="AB199" s="47"/>
      <c r="AC199" s="48"/>
      <c r="AD199" s="49"/>
      <c r="AE199" s="47"/>
      <c r="AF199" s="48"/>
      <c r="AG199" s="49"/>
      <c r="AH199" s="50" t="str">
        <f t="shared" si="5"/>
        <v/>
      </c>
    </row>
    <row r="200" spans="1:34" ht="15.95" customHeight="1">
      <c r="A200" s="46">
        <v>14</v>
      </c>
      <c r="B200" s="63" t="str">
        <f>IF('(4).Midterm Results'!B200="","",'(4).Midterm Results'!B200)</f>
        <v/>
      </c>
      <c r="C200" s="62" t="str">
        <f>IF('(4).Midterm Results'!C200="","",'(4).Midterm Results'!C200)</f>
        <v/>
      </c>
      <c r="D200" s="47"/>
      <c r="E200" s="48"/>
      <c r="F200" s="49"/>
      <c r="G200" s="47"/>
      <c r="H200" s="48"/>
      <c r="I200" s="49"/>
      <c r="J200" s="47"/>
      <c r="K200" s="48"/>
      <c r="L200" s="49"/>
      <c r="M200" s="47"/>
      <c r="N200" s="48"/>
      <c r="O200" s="49"/>
      <c r="P200" s="47"/>
      <c r="Q200" s="48"/>
      <c r="R200" s="49"/>
      <c r="S200" s="47"/>
      <c r="T200" s="48"/>
      <c r="U200" s="49"/>
      <c r="V200" s="47"/>
      <c r="W200" s="48"/>
      <c r="X200" s="49"/>
      <c r="Y200" s="47"/>
      <c r="Z200" s="48"/>
      <c r="AA200" s="49"/>
      <c r="AB200" s="47"/>
      <c r="AC200" s="48"/>
      <c r="AD200" s="49"/>
      <c r="AE200" s="47"/>
      <c r="AF200" s="48"/>
      <c r="AG200" s="49"/>
      <c r="AH200" s="50" t="str">
        <f t="shared" si="5"/>
        <v/>
      </c>
    </row>
    <row r="201" spans="1:34" ht="15.95" customHeight="1">
      <c r="A201" s="46">
        <v>15</v>
      </c>
      <c r="B201" s="63" t="str">
        <f>IF('(4).Midterm Results'!B201="","",'(4).Midterm Results'!B201)</f>
        <v/>
      </c>
      <c r="C201" s="62" t="str">
        <f>IF('(4).Midterm Results'!C201="","",'(4).Midterm Results'!C201)</f>
        <v/>
      </c>
      <c r="D201" s="47"/>
      <c r="E201" s="48"/>
      <c r="F201" s="49"/>
      <c r="G201" s="47"/>
      <c r="H201" s="48"/>
      <c r="I201" s="49"/>
      <c r="J201" s="47"/>
      <c r="K201" s="48"/>
      <c r="L201" s="49"/>
      <c r="M201" s="47"/>
      <c r="N201" s="48"/>
      <c r="O201" s="49"/>
      <c r="P201" s="47"/>
      <c r="Q201" s="48"/>
      <c r="R201" s="49"/>
      <c r="S201" s="47"/>
      <c r="T201" s="48"/>
      <c r="U201" s="49"/>
      <c r="V201" s="47"/>
      <c r="W201" s="48"/>
      <c r="X201" s="49"/>
      <c r="Y201" s="47"/>
      <c r="Z201" s="48"/>
      <c r="AA201" s="49"/>
      <c r="AB201" s="47"/>
      <c r="AC201" s="48"/>
      <c r="AD201" s="49"/>
      <c r="AE201" s="47"/>
      <c r="AF201" s="48"/>
      <c r="AG201" s="49"/>
      <c r="AH201" s="50" t="str">
        <f t="shared" si="5"/>
        <v/>
      </c>
    </row>
    <row r="202" spans="1:34" ht="15.95" customHeight="1">
      <c r="A202" s="46">
        <v>16</v>
      </c>
      <c r="B202" s="63" t="str">
        <f>IF('(4).Midterm Results'!B202="","",'(4).Midterm Results'!B202)</f>
        <v/>
      </c>
      <c r="C202" s="62" t="str">
        <f>IF('(4).Midterm Results'!C202="","",'(4).Midterm Results'!C202)</f>
        <v/>
      </c>
      <c r="D202" s="47"/>
      <c r="E202" s="48"/>
      <c r="F202" s="49"/>
      <c r="G202" s="47"/>
      <c r="H202" s="48"/>
      <c r="I202" s="49"/>
      <c r="J202" s="47"/>
      <c r="K202" s="48"/>
      <c r="L202" s="49"/>
      <c r="M202" s="47"/>
      <c r="N202" s="48"/>
      <c r="O202" s="49"/>
      <c r="P202" s="47"/>
      <c r="Q202" s="48"/>
      <c r="R202" s="49"/>
      <c r="S202" s="47"/>
      <c r="T202" s="48"/>
      <c r="U202" s="49"/>
      <c r="V202" s="47"/>
      <c r="W202" s="48"/>
      <c r="X202" s="49"/>
      <c r="Y202" s="47"/>
      <c r="Z202" s="48"/>
      <c r="AA202" s="49"/>
      <c r="AB202" s="47"/>
      <c r="AC202" s="48"/>
      <c r="AD202" s="49"/>
      <c r="AE202" s="47"/>
      <c r="AF202" s="48"/>
      <c r="AG202" s="49"/>
      <c r="AH202" s="50" t="str">
        <f t="shared" si="5"/>
        <v/>
      </c>
    </row>
    <row r="203" spans="1:34" ht="15.95" customHeight="1">
      <c r="A203" s="46">
        <v>17</v>
      </c>
      <c r="B203" s="63" t="str">
        <f>IF('(4).Midterm Results'!B203="","",'(4).Midterm Results'!B203)</f>
        <v/>
      </c>
      <c r="C203" s="62" t="str">
        <f>IF('(4).Midterm Results'!C203="","",'(4).Midterm Results'!C203)</f>
        <v/>
      </c>
      <c r="D203" s="47"/>
      <c r="E203" s="48"/>
      <c r="F203" s="49"/>
      <c r="G203" s="47"/>
      <c r="H203" s="48"/>
      <c r="I203" s="49"/>
      <c r="J203" s="47"/>
      <c r="K203" s="48"/>
      <c r="L203" s="49"/>
      <c r="M203" s="47"/>
      <c r="N203" s="48"/>
      <c r="O203" s="49"/>
      <c r="P203" s="47"/>
      <c r="Q203" s="48"/>
      <c r="R203" s="49"/>
      <c r="S203" s="47"/>
      <c r="T203" s="48"/>
      <c r="U203" s="49"/>
      <c r="V203" s="47"/>
      <c r="W203" s="48"/>
      <c r="X203" s="49"/>
      <c r="Y203" s="47"/>
      <c r="Z203" s="48"/>
      <c r="AA203" s="49"/>
      <c r="AB203" s="47"/>
      <c r="AC203" s="48"/>
      <c r="AD203" s="49"/>
      <c r="AE203" s="47"/>
      <c r="AF203" s="48"/>
      <c r="AG203" s="49"/>
      <c r="AH203" s="50" t="str">
        <f t="shared" si="5"/>
        <v/>
      </c>
    </row>
    <row r="204" spans="1:34" ht="15.95" customHeight="1">
      <c r="A204" s="46">
        <v>18</v>
      </c>
      <c r="B204" s="63" t="str">
        <f>IF('(4).Midterm Results'!B204="","",'(4).Midterm Results'!B204)</f>
        <v/>
      </c>
      <c r="C204" s="62" t="str">
        <f>IF('(4).Midterm Results'!C204="","",'(4).Midterm Results'!C204)</f>
        <v/>
      </c>
      <c r="D204" s="47"/>
      <c r="E204" s="48"/>
      <c r="F204" s="49"/>
      <c r="G204" s="47"/>
      <c r="H204" s="48"/>
      <c r="I204" s="49"/>
      <c r="J204" s="47"/>
      <c r="K204" s="48"/>
      <c r="L204" s="49"/>
      <c r="M204" s="47"/>
      <c r="N204" s="48"/>
      <c r="O204" s="49"/>
      <c r="P204" s="47"/>
      <c r="Q204" s="48"/>
      <c r="R204" s="49"/>
      <c r="S204" s="47"/>
      <c r="T204" s="48"/>
      <c r="U204" s="49"/>
      <c r="V204" s="47"/>
      <c r="W204" s="48"/>
      <c r="X204" s="49"/>
      <c r="Y204" s="47"/>
      <c r="Z204" s="48"/>
      <c r="AA204" s="49"/>
      <c r="AB204" s="47"/>
      <c r="AC204" s="48"/>
      <c r="AD204" s="49"/>
      <c r="AE204" s="47"/>
      <c r="AF204" s="48"/>
      <c r="AG204" s="49"/>
      <c r="AH204" s="50" t="str">
        <f t="shared" si="5"/>
        <v/>
      </c>
    </row>
    <row r="205" spans="1:34" ht="15.95" customHeight="1">
      <c r="A205" s="46">
        <v>19</v>
      </c>
      <c r="B205" s="63" t="str">
        <f>IF('(4).Midterm Results'!B205="","",'(4).Midterm Results'!B205)</f>
        <v/>
      </c>
      <c r="C205" s="62" t="str">
        <f>IF('(4).Midterm Results'!C205="","",'(4).Midterm Results'!C205)</f>
        <v/>
      </c>
      <c r="D205" s="47"/>
      <c r="E205" s="48"/>
      <c r="F205" s="49"/>
      <c r="G205" s="47"/>
      <c r="H205" s="48"/>
      <c r="I205" s="49"/>
      <c r="J205" s="47"/>
      <c r="K205" s="48"/>
      <c r="L205" s="49"/>
      <c r="M205" s="47"/>
      <c r="N205" s="48"/>
      <c r="O205" s="49"/>
      <c r="P205" s="47"/>
      <c r="Q205" s="48"/>
      <c r="R205" s="49"/>
      <c r="S205" s="47"/>
      <c r="T205" s="48"/>
      <c r="U205" s="49"/>
      <c r="V205" s="47"/>
      <c r="W205" s="48"/>
      <c r="X205" s="49"/>
      <c r="Y205" s="47"/>
      <c r="Z205" s="48"/>
      <c r="AA205" s="49"/>
      <c r="AB205" s="47"/>
      <c r="AC205" s="48"/>
      <c r="AD205" s="49"/>
      <c r="AE205" s="47"/>
      <c r="AF205" s="48"/>
      <c r="AG205" s="49"/>
      <c r="AH205" s="50" t="str">
        <f t="shared" si="5"/>
        <v/>
      </c>
    </row>
    <row r="206" spans="1:34" ht="15.95" customHeight="1">
      <c r="A206" s="46">
        <v>20</v>
      </c>
      <c r="B206" s="63" t="str">
        <f>IF('(4).Midterm Results'!B206="","",'(4).Midterm Results'!B206)</f>
        <v/>
      </c>
      <c r="C206" s="62" t="str">
        <f>IF('(4).Midterm Results'!C206="","",'(4).Midterm Results'!C206)</f>
        <v/>
      </c>
      <c r="D206" s="47"/>
      <c r="E206" s="48"/>
      <c r="F206" s="49"/>
      <c r="G206" s="47"/>
      <c r="H206" s="48"/>
      <c r="I206" s="49"/>
      <c r="J206" s="47"/>
      <c r="K206" s="48"/>
      <c r="L206" s="49"/>
      <c r="M206" s="47"/>
      <c r="N206" s="48"/>
      <c r="O206" s="49"/>
      <c r="P206" s="47"/>
      <c r="Q206" s="48"/>
      <c r="R206" s="49"/>
      <c r="S206" s="47"/>
      <c r="T206" s="48"/>
      <c r="U206" s="49"/>
      <c r="V206" s="47"/>
      <c r="W206" s="48"/>
      <c r="X206" s="49"/>
      <c r="Y206" s="47"/>
      <c r="Z206" s="48"/>
      <c r="AA206" s="49"/>
      <c r="AB206" s="47"/>
      <c r="AC206" s="48"/>
      <c r="AD206" s="49"/>
      <c r="AE206" s="47"/>
      <c r="AF206" s="48"/>
      <c r="AG206" s="49"/>
      <c r="AH206" s="50" t="str">
        <f t="shared" si="5"/>
        <v/>
      </c>
    </row>
    <row r="207" spans="1:34" ht="15.95" customHeight="1">
      <c r="A207" s="46">
        <v>21</v>
      </c>
      <c r="B207" s="63" t="str">
        <f>IF('(4).Midterm Results'!B207="","",'(4).Midterm Results'!B207)</f>
        <v/>
      </c>
      <c r="C207" s="62" t="str">
        <f>IF('(4).Midterm Results'!C207="","",'(4).Midterm Results'!C207)</f>
        <v/>
      </c>
      <c r="D207" s="47"/>
      <c r="E207" s="48"/>
      <c r="F207" s="49"/>
      <c r="G207" s="47"/>
      <c r="H207" s="48"/>
      <c r="I207" s="49"/>
      <c r="J207" s="47"/>
      <c r="K207" s="48"/>
      <c r="L207" s="49"/>
      <c r="M207" s="47"/>
      <c r="N207" s="48"/>
      <c r="O207" s="49"/>
      <c r="P207" s="47"/>
      <c r="Q207" s="48"/>
      <c r="R207" s="49"/>
      <c r="S207" s="47"/>
      <c r="T207" s="48"/>
      <c r="U207" s="49"/>
      <c r="V207" s="47"/>
      <c r="W207" s="48"/>
      <c r="X207" s="49"/>
      <c r="Y207" s="47"/>
      <c r="Z207" s="48"/>
      <c r="AA207" s="49"/>
      <c r="AB207" s="47"/>
      <c r="AC207" s="48"/>
      <c r="AD207" s="49"/>
      <c r="AE207" s="47"/>
      <c r="AF207" s="48"/>
      <c r="AG207" s="49"/>
      <c r="AH207" s="50" t="str">
        <f t="shared" si="5"/>
        <v/>
      </c>
    </row>
    <row r="208" spans="1:34" ht="15.95" customHeight="1">
      <c r="A208" s="46">
        <v>22</v>
      </c>
      <c r="B208" s="63" t="str">
        <f>IF('(4).Midterm Results'!B208="","",'(4).Midterm Results'!B208)</f>
        <v/>
      </c>
      <c r="C208" s="62" t="str">
        <f>IF('(4).Midterm Results'!C208="","",'(4).Midterm Results'!C208)</f>
        <v/>
      </c>
      <c r="D208" s="47"/>
      <c r="E208" s="48"/>
      <c r="F208" s="49"/>
      <c r="G208" s="47"/>
      <c r="H208" s="48"/>
      <c r="I208" s="49"/>
      <c r="J208" s="47"/>
      <c r="K208" s="48"/>
      <c r="L208" s="49"/>
      <c r="M208" s="47"/>
      <c r="N208" s="48"/>
      <c r="O208" s="49"/>
      <c r="P208" s="47"/>
      <c r="Q208" s="48"/>
      <c r="R208" s="49"/>
      <c r="S208" s="47"/>
      <c r="T208" s="48"/>
      <c r="U208" s="49"/>
      <c r="V208" s="47"/>
      <c r="W208" s="48"/>
      <c r="X208" s="49"/>
      <c r="Y208" s="47"/>
      <c r="Z208" s="48"/>
      <c r="AA208" s="49"/>
      <c r="AB208" s="47"/>
      <c r="AC208" s="48"/>
      <c r="AD208" s="49"/>
      <c r="AE208" s="47"/>
      <c r="AF208" s="48"/>
      <c r="AG208" s="49"/>
      <c r="AH208" s="50" t="str">
        <f t="shared" si="5"/>
        <v/>
      </c>
    </row>
    <row r="209" spans="1:34" ht="15.95" customHeight="1">
      <c r="A209" s="46">
        <v>23</v>
      </c>
      <c r="B209" s="63" t="str">
        <f>IF('(4).Midterm Results'!B209="","",'(4).Midterm Results'!B209)</f>
        <v/>
      </c>
      <c r="C209" s="62" t="str">
        <f>IF('(4).Midterm Results'!C209="","",'(4).Midterm Results'!C209)</f>
        <v/>
      </c>
      <c r="D209" s="47"/>
      <c r="E209" s="48"/>
      <c r="F209" s="49"/>
      <c r="G209" s="47"/>
      <c r="H209" s="48"/>
      <c r="I209" s="49"/>
      <c r="J209" s="47"/>
      <c r="K209" s="48"/>
      <c r="L209" s="49"/>
      <c r="M209" s="47"/>
      <c r="N209" s="48"/>
      <c r="O209" s="49"/>
      <c r="P209" s="47"/>
      <c r="Q209" s="48"/>
      <c r="R209" s="49"/>
      <c r="S209" s="47"/>
      <c r="T209" s="48"/>
      <c r="U209" s="49"/>
      <c r="V209" s="47"/>
      <c r="W209" s="48"/>
      <c r="X209" s="49"/>
      <c r="Y209" s="47"/>
      <c r="Z209" s="48"/>
      <c r="AA209" s="49"/>
      <c r="AB209" s="47"/>
      <c r="AC209" s="48"/>
      <c r="AD209" s="49"/>
      <c r="AE209" s="47"/>
      <c r="AF209" s="48"/>
      <c r="AG209" s="49"/>
      <c r="AH209" s="50" t="str">
        <f t="shared" si="5"/>
        <v/>
      </c>
    </row>
    <row r="210" spans="1:34" ht="15.95" customHeight="1">
      <c r="A210" s="46">
        <v>24</v>
      </c>
      <c r="B210" s="63" t="str">
        <f>IF('(4).Midterm Results'!B210="","",'(4).Midterm Results'!B210)</f>
        <v/>
      </c>
      <c r="C210" s="62" t="str">
        <f>IF('(4).Midterm Results'!C210="","",'(4).Midterm Results'!C210)</f>
        <v/>
      </c>
      <c r="D210" s="47"/>
      <c r="E210" s="48"/>
      <c r="F210" s="49"/>
      <c r="G210" s="47"/>
      <c r="H210" s="48"/>
      <c r="I210" s="49"/>
      <c r="J210" s="47"/>
      <c r="K210" s="48"/>
      <c r="L210" s="49"/>
      <c r="M210" s="47"/>
      <c r="N210" s="48"/>
      <c r="O210" s="49"/>
      <c r="P210" s="47"/>
      <c r="Q210" s="48"/>
      <c r="R210" s="49"/>
      <c r="S210" s="47"/>
      <c r="T210" s="48"/>
      <c r="U210" s="49"/>
      <c r="V210" s="47"/>
      <c r="W210" s="48"/>
      <c r="X210" s="49"/>
      <c r="Y210" s="47"/>
      <c r="Z210" s="48"/>
      <c r="AA210" s="49"/>
      <c r="AB210" s="47"/>
      <c r="AC210" s="48"/>
      <c r="AD210" s="49"/>
      <c r="AE210" s="47"/>
      <c r="AF210" s="48"/>
      <c r="AG210" s="49"/>
      <c r="AH210" s="50" t="str">
        <f t="shared" si="5"/>
        <v/>
      </c>
    </row>
    <row r="211" spans="1:34" ht="15.95" customHeight="1">
      <c r="A211" s="46">
        <v>25</v>
      </c>
      <c r="B211" s="63" t="str">
        <f>IF('(4).Midterm Results'!B211="","",'(4).Midterm Results'!B211)</f>
        <v/>
      </c>
      <c r="C211" s="62" t="str">
        <f>IF('(4).Midterm Results'!C211="","",'(4).Midterm Results'!C211)</f>
        <v/>
      </c>
      <c r="D211" s="47"/>
      <c r="E211" s="48"/>
      <c r="F211" s="49"/>
      <c r="G211" s="47"/>
      <c r="H211" s="48"/>
      <c r="I211" s="49"/>
      <c r="J211" s="47"/>
      <c r="K211" s="48"/>
      <c r="L211" s="49"/>
      <c r="M211" s="47"/>
      <c r="N211" s="48"/>
      <c r="O211" s="49"/>
      <c r="P211" s="47"/>
      <c r="Q211" s="48"/>
      <c r="R211" s="49"/>
      <c r="S211" s="47"/>
      <c r="T211" s="48"/>
      <c r="U211" s="49"/>
      <c r="V211" s="47"/>
      <c r="W211" s="48"/>
      <c r="X211" s="49"/>
      <c r="Y211" s="47"/>
      <c r="Z211" s="48"/>
      <c r="AA211" s="49"/>
      <c r="AB211" s="47"/>
      <c r="AC211" s="48"/>
      <c r="AD211" s="49"/>
      <c r="AE211" s="47"/>
      <c r="AF211" s="48"/>
      <c r="AG211" s="49"/>
      <c r="AH211" s="50" t="str">
        <f t="shared" si="5"/>
        <v/>
      </c>
    </row>
    <row r="212" spans="1:34" ht="15.95" customHeight="1">
      <c r="A212" s="46">
        <v>26</v>
      </c>
      <c r="B212" s="63" t="str">
        <f>IF('(4).Midterm Results'!B212="","",'(4).Midterm Results'!B212)</f>
        <v/>
      </c>
      <c r="C212" s="62" t="str">
        <f>IF('(4).Midterm Results'!C212="","",'(4).Midterm Results'!C212)</f>
        <v/>
      </c>
      <c r="D212" s="47"/>
      <c r="E212" s="48"/>
      <c r="F212" s="49"/>
      <c r="G212" s="47"/>
      <c r="H212" s="48"/>
      <c r="I212" s="49"/>
      <c r="J212" s="47"/>
      <c r="K212" s="48"/>
      <c r="L212" s="49"/>
      <c r="M212" s="47"/>
      <c r="N212" s="48"/>
      <c r="O212" s="49"/>
      <c r="P212" s="47"/>
      <c r="Q212" s="48"/>
      <c r="R212" s="49"/>
      <c r="S212" s="47"/>
      <c r="T212" s="48"/>
      <c r="U212" s="49"/>
      <c r="V212" s="47"/>
      <c r="W212" s="48"/>
      <c r="X212" s="49"/>
      <c r="Y212" s="47"/>
      <c r="Z212" s="48"/>
      <c r="AA212" s="49"/>
      <c r="AB212" s="47"/>
      <c r="AC212" s="48"/>
      <c r="AD212" s="49"/>
      <c r="AE212" s="47"/>
      <c r="AF212" s="48"/>
      <c r="AG212" s="49"/>
      <c r="AH212" s="50" t="str">
        <f t="shared" si="5"/>
        <v/>
      </c>
    </row>
    <row r="213" spans="1:34" ht="15.95" customHeight="1">
      <c r="A213" s="46">
        <v>27</v>
      </c>
      <c r="B213" s="63" t="str">
        <f>IF('(4).Midterm Results'!B213="","",'(4).Midterm Results'!B213)</f>
        <v/>
      </c>
      <c r="C213" s="62" t="str">
        <f>IF('(4).Midterm Results'!C213="","",'(4).Midterm Results'!C213)</f>
        <v/>
      </c>
      <c r="D213" s="47"/>
      <c r="E213" s="48"/>
      <c r="F213" s="49"/>
      <c r="G213" s="47"/>
      <c r="H213" s="48"/>
      <c r="I213" s="49"/>
      <c r="J213" s="47"/>
      <c r="K213" s="48"/>
      <c r="L213" s="49"/>
      <c r="M213" s="47"/>
      <c r="N213" s="48"/>
      <c r="O213" s="49"/>
      <c r="P213" s="47"/>
      <c r="Q213" s="48"/>
      <c r="R213" s="49"/>
      <c r="S213" s="47"/>
      <c r="T213" s="48"/>
      <c r="U213" s="49"/>
      <c r="V213" s="47"/>
      <c r="W213" s="48"/>
      <c r="X213" s="49"/>
      <c r="Y213" s="47"/>
      <c r="Z213" s="48"/>
      <c r="AA213" s="49"/>
      <c r="AB213" s="47"/>
      <c r="AC213" s="48"/>
      <c r="AD213" s="49"/>
      <c r="AE213" s="47"/>
      <c r="AF213" s="48"/>
      <c r="AG213" s="49"/>
      <c r="AH213" s="50" t="str">
        <f t="shared" si="5"/>
        <v/>
      </c>
    </row>
    <row r="214" spans="1:34" ht="15.95" customHeight="1">
      <c r="A214" s="46">
        <v>28</v>
      </c>
      <c r="B214" s="63" t="str">
        <f>IF('(4).Midterm Results'!B214="","",'(4).Midterm Results'!B214)</f>
        <v/>
      </c>
      <c r="C214" s="62" t="str">
        <f>IF('(4).Midterm Results'!C214="","",'(4).Midterm Results'!C214)</f>
        <v/>
      </c>
      <c r="D214" s="47"/>
      <c r="E214" s="48"/>
      <c r="F214" s="49"/>
      <c r="G214" s="47"/>
      <c r="H214" s="48"/>
      <c r="I214" s="49"/>
      <c r="J214" s="47"/>
      <c r="K214" s="48"/>
      <c r="L214" s="49"/>
      <c r="M214" s="47"/>
      <c r="N214" s="48"/>
      <c r="O214" s="49"/>
      <c r="P214" s="47"/>
      <c r="Q214" s="48"/>
      <c r="R214" s="49"/>
      <c r="S214" s="47"/>
      <c r="T214" s="48"/>
      <c r="U214" s="49"/>
      <c r="V214" s="47"/>
      <c r="W214" s="48"/>
      <c r="X214" s="49"/>
      <c r="Y214" s="47"/>
      <c r="Z214" s="48"/>
      <c r="AA214" s="49"/>
      <c r="AB214" s="47"/>
      <c r="AC214" s="48"/>
      <c r="AD214" s="49"/>
      <c r="AE214" s="47"/>
      <c r="AF214" s="48"/>
      <c r="AG214" s="49"/>
      <c r="AH214" s="50" t="str">
        <f t="shared" si="5"/>
        <v/>
      </c>
    </row>
    <row r="215" spans="1:34" ht="15.95" customHeight="1">
      <c r="A215" s="46">
        <v>29</v>
      </c>
      <c r="B215" s="63" t="str">
        <f>IF('(4).Midterm Results'!B215="","",'(4).Midterm Results'!B215)</f>
        <v/>
      </c>
      <c r="C215" s="62" t="str">
        <f>IF('(4).Midterm Results'!C215="","",'(4).Midterm Results'!C215)</f>
        <v/>
      </c>
      <c r="D215" s="47"/>
      <c r="E215" s="48"/>
      <c r="F215" s="49"/>
      <c r="G215" s="47"/>
      <c r="H215" s="48"/>
      <c r="I215" s="49"/>
      <c r="J215" s="47"/>
      <c r="K215" s="48"/>
      <c r="L215" s="49"/>
      <c r="M215" s="47"/>
      <c r="N215" s="48"/>
      <c r="O215" s="49"/>
      <c r="P215" s="47"/>
      <c r="Q215" s="48"/>
      <c r="R215" s="49"/>
      <c r="S215" s="47"/>
      <c r="T215" s="48"/>
      <c r="U215" s="49"/>
      <c r="V215" s="47"/>
      <c r="W215" s="48"/>
      <c r="X215" s="49"/>
      <c r="Y215" s="47"/>
      <c r="Z215" s="48"/>
      <c r="AA215" s="49"/>
      <c r="AB215" s="47"/>
      <c r="AC215" s="48"/>
      <c r="AD215" s="49"/>
      <c r="AE215" s="47"/>
      <c r="AF215" s="48"/>
      <c r="AG215" s="49"/>
      <c r="AH215" s="50" t="str">
        <f t="shared" si="5"/>
        <v/>
      </c>
    </row>
    <row r="216" spans="1:34" ht="15.95" customHeight="1">
      <c r="A216" s="46">
        <v>30</v>
      </c>
      <c r="B216" s="63" t="str">
        <f>IF('(4).Midterm Results'!B216="","",'(4).Midterm Results'!B216)</f>
        <v/>
      </c>
      <c r="C216" s="62" t="str">
        <f>IF('(4).Midterm Results'!C216="","",'(4).Midterm Results'!C216)</f>
        <v/>
      </c>
      <c r="D216" s="47"/>
      <c r="E216" s="48"/>
      <c r="F216" s="49"/>
      <c r="G216" s="47"/>
      <c r="H216" s="48"/>
      <c r="I216" s="49"/>
      <c r="J216" s="47"/>
      <c r="K216" s="48"/>
      <c r="L216" s="49"/>
      <c r="M216" s="47"/>
      <c r="N216" s="48"/>
      <c r="O216" s="49"/>
      <c r="P216" s="47"/>
      <c r="Q216" s="48"/>
      <c r="R216" s="49"/>
      <c r="S216" s="47"/>
      <c r="T216" s="48"/>
      <c r="U216" s="49"/>
      <c r="V216" s="47"/>
      <c r="W216" s="48"/>
      <c r="X216" s="49"/>
      <c r="Y216" s="47"/>
      <c r="Z216" s="48"/>
      <c r="AA216" s="49"/>
      <c r="AB216" s="47"/>
      <c r="AC216" s="48"/>
      <c r="AD216" s="49"/>
      <c r="AE216" s="47"/>
      <c r="AF216" s="48"/>
      <c r="AG216" s="49"/>
      <c r="AH216" s="50" t="str">
        <f t="shared" si="5"/>
        <v/>
      </c>
    </row>
  </sheetData>
  <mergeCells count="132">
    <mergeCell ref="D109:AH110"/>
    <mergeCell ref="D111:AH112"/>
    <mergeCell ref="D145:AH146"/>
    <mergeCell ref="D147:AH148"/>
    <mergeCell ref="D181:AH182"/>
    <mergeCell ref="D183:AH184"/>
    <mergeCell ref="AE5:AG5"/>
    <mergeCell ref="D5:F5"/>
    <mergeCell ref="D1:AH2"/>
    <mergeCell ref="D3:AH4"/>
    <mergeCell ref="M6:O6"/>
    <mergeCell ref="P6:R6"/>
    <mergeCell ref="S6:U6"/>
    <mergeCell ref="V6:X6"/>
    <mergeCell ref="Y6:AA6"/>
    <mergeCell ref="AB6:AD6"/>
    <mergeCell ref="AE42:AG42"/>
    <mergeCell ref="M42:O42"/>
    <mergeCell ref="P42:R42"/>
    <mergeCell ref="S42:U42"/>
    <mergeCell ref="V42:X42"/>
    <mergeCell ref="Y42:AA42"/>
    <mergeCell ref="AB42:AD42"/>
    <mergeCell ref="D37:AH38"/>
    <mergeCell ref="G5:I5"/>
    <mergeCell ref="J5:L5"/>
    <mergeCell ref="M5:O5"/>
    <mergeCell ref="P5:R5"/>
    <mergeCell ref="S5:U5"/>
    <mergeCell ref="V5:X5"/>
    <mergeCell ref="Y5:AA5"/>
    <mergeCell ref="AB5:AD5"/>
    <mergeCell ref="D42:F42"/>
    <mergeCell ref="G42:I42"/>
    <mergeCell ref="J42:L42"/>
    <mergeCell ref="D41:F41"/>
    <mergeCell ref="G41:I41"/>
    <mergeCell ref="J41:L41"/>
    <mergeCell ref="M41:O41"/>
    <mergeCell ref="P41:R41"/>
    <mergeCell ref="S41:U41"/>
    <mergeCell ref="V41:X41"/>
    <mergeCell ref="Y41:AA41"/>
    <mergeCell ref="AB41:AD41"/>
    <mergeCell ref="D6:F6"/>
    <mergeCell ref="G6:I6"/>
    <mergeCell ref="J6:L6"/>
    <mergeCell ref="D77:F77"/>
    <mergeCell ref="G77:I77"/>
    <mergeCell ref="J77:L77"/>
    <mergeCell ref="M77:O77"/>
    <mergeCell ref="P77:R77"/>
    <mergeCell ref="S77:U77"/>
    <mergeCell ref="D39:AH40"/>
    <mergeCell ref="D73:AH74"/>
    <mergeCell ref="AE6:AG6"/>
    <mergeCell ref="AE41:AG41"/>
    <mergeCell ref="V77:X77"/>
    <mergeCell ref="Y77:AA77"/>
    <mergeCell ref="AB77:AD77"/>
    <mergeCell ref="AE77:AG77"/>
    <mergeCell ref="D75:AH76"/>
    <mergeCell ref="AE78:AG78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113:AG113"/>
    <mergeCell ref="AE114:AG114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D113:F113"/>
    <mergeCell ref="G113:I113"/>
    <mergeCell ref="J113:L113"/>
    <mergeCell ref="M113:O113"/>
    <mergeCell ref="P113:R113"/>
    <mergeCell ref="S113:U113"/>
    <mergeCell ref="V113:X113"/>
    <mergeCell ref="Y113:AA113"/>
    <mergeCell ref="AB113:AD113"/>
    <mergeCell ref="AE149:AG149"/>
    <mergeCell ref="AE150:AG150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D149:F149"/>
    <mergeCell ref="G149:I149"/>
    <mergeCell ref="J149:L149"/>
    <mergeCell ref="M149:O149"/>
    <mergeCell ref="P149:R149"/>
    <mergeCell ref="S149:U149"/>
    <mergeCell ref="V149:X149"/>
    <mergeCell ref="Y149:AA149"/>
    <mergeCell ref="AB149:AD149"/>
    <mergeCell ref="AE185:AG185"/>
    <mergeCell ref="AE186:AG186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D185:F185"/>
    <mergeCell ref="G185:I185"/>
    <mergeCell ref="J185:L185"/>
    <mergeCell ref="M185:O185"/>
    <mergeCell ref="P185:R185"/>
    <mergeCell ref="S185:U185"/>
    <mergeCell ref="V185:X185"/>
    <mergeCell ref="Y185:AA185"/>
    <mergeCell ref="AB185:AD185"/>
  </mergeCells>
  <conditionalFormatting sqref="A7:AH36">
    <cfRule type="expression" dxfId="71" priority="52">
      <formula>$AH7="Change"</formula>
    </cfRule>
    <cfRule type="expression" dxfId="70" priority="53">
      <formula>$AH7="Stop"</formula>
    </cfRule>
    <cfRule type="expression" dxfId="69" priority="54">
      <formula>$AH7="Incomplete"</formula>
    </cfRule>
  </conditionalFormatting>
  <conditionalFormatting sqref="A43:AH72">
    <cfRule type="expression" dxfId="68" priority="22">
      <formula>$AH43="Change"</formula>
    </cfRule>
    <cfRule type="expression" dxfId="67" priority="23">
      <formula>$AH43="Stop"</formula>
    </cfRule>
    <cfRule type="expression" dxfId="66" priority="24">
      <formula>$AH43="Incomplete"</formula>
    </cfRule>
  </conditionalFormatting>
  <conditionalFormatting sqref="A79:AH108">
    <cfRule type="expression" dxfId="65" priority="17">
      <formula>$AH79="Change"</formula>
    </cfRule>
    <cfRule type="expression" dxfId="64" priority="18">
      <formula>$AH79="Stop"</formula>
    </cfRule>
    <cfRule type="expression" dxfId="63" priority="19">
      <formula>$AH79="Incomplete"</formula>
    </cfRule>
  </conditionalFormatting>
  <conditionalFormatting sqref="A115:AH144">
    <cfRule type="expression" dxfId="62" priority="12">
      <formula>$AH115="Change"</formula>
    </cfRule>
    <cfRule type="expression" dxfId="61" priority="13">
      <formula>$AH115="Stop"</formula>
    </cfRule>
    <cfRule type="expression" dxfId="60" priority="14">
      <formula>$AH115="Incomplete"</formula>
    </cfRule>
  </conditionalFormatting>
  <conditionalFormatting sqref="A151:AH180">
    <cfRule type="expression" dxfId="59" priority="7">
      <formula>$AH151="Change"</formula>
    </cfRule>
    <cfRule type="expression" dxfId="58" priority="8">
      <formula>$AH151="Stop"</formula>
    </cfRule>
    <cfRule type="expression" dxfId="57" priority="9">
      <formula>$AH151="Incomplete"</formula>
    </cfRule>
  </conditionalFormatting>
  <conditionalFormatting sqref="A187:AH216">
    <cfRule type="expression" dxfId="56" priority="2">
      <formula>$AH187="Change"</formula>
    </cfRule>
    <cfRule type="expression" dxfId="55" priority="3">
      <formula>$AH187="Stop"</formula>
    </cfRule>
    <cfRule type="expression" dxfId="54" priority="4">
      <formula>$AH187="Incomplete"</formula>
    </cfRule>
  </conditionalFormatting>
  <conditionalFormatting sqref="D7:AG36">
    <cfRule type="cellIs" dxfId="53" priority="51" operator="equal">
      <formula>0</formula>
    </cfRule>
  </conditionalFormatting>
  <conditionalFormatting sqref="D43:AG72">
    <cfRule type="cellIs" dxfId="52" priority="21" operator="equal">
      <formula>0</formula>
    </cfRule>
  </conditionalFormatting>
  <conditionalFormatting sqref="D79:AG108">
    <cfRule type="cellIs" dxfId="51" priority="16" operator="equal">
      <formula>0</formula>
    </cfRule>
  </conditionalFormatting>
  <conditionalFormatting sqref="D115:AG144">
    <cfRule type="cellIs" dxfId="50" priority="11" operator="equal">
      <formula>0</formula>
    </cfRule>
  </conditionalFormatting>
  <conditionalFormatting sqref="D151:AG180">
    <cfRule type="cellIs" dxfId="49" priority="6" operator="equal">
      <formula>0</formula>
    </cfRule>
  </conditionalFormatting>
  <conditionalFormatting sqref="D187:AG216">
    <cfRule type="cellIs" dxfId="48" priority="1" operator="equal">
      <formula>0</formula>
    </cfRule>
  </conditionalFormatting>
  <conditionalFormatting sqref="AH7:AH36">
    <cfRule type="containsText" dxfId="47" priority="55" operator="containsText" text="Incomplete">
      <formula>NOT(ISERROR(SEARCH("Incomplete",AH7)))</formula>
    </cfRule>
  </conditionalFormatting>
  <conditionalFormatting sqref="AH43:AH72">
    <cfRule type="containsText" dxfId="46" priority="25" operator="containsText" text="Incomplete">
      <formula>NOT(ISERROR(SEARCH("Incomplete",AH43)))</formula>
    </cfRule>
  </conditionalFormatting>
  <conditionalFormatting sqref="AH79:AH108">
    <cfRule type="containsText" dxfId="45" priority="20" operator="containsText" text="Incomplete">
      <formula>NOT(ISERROR(SEARCH("Incomplete",AH79)))</formula>
    </cfRule>
  </conditionalFormatting>
  <conditionalFormatting sqref="AH115:AH144">
    <cfRule type="containsText" dxfId="44" priority="15" operator="containsText" text="Incomplete">
      <formula>NOT(ISERROR(SEARCH("Incomplete",AH115)))</formula>
    </cfRule>
  </conditionalFormatting>
  <conditionalFormatting sqref="AH151:AH180">
    <cfRule type="containsText" dxfId="43" priority="10" operator="containsText" text="Incomplete">
      <formula>NOT(ISERROR(SEARCH("Incomplete",AH151)))</formula>
    </cfRule>
  </conditionalFormatting>
  <conditionalFormatting sqref="AH187:AH216">
    <cfRule type="containsText" dxfId="42" priority="5" operator="containsText" text="Incomplete">
      <formula>NOT(ISERROR(SEARCH("Incomplete",AH187)))</formula>
    </cfRule>
  </conditionalFormatting>
  <dataValidations count="1">
    <dataValidation type="decimal" allowBlank="1" showErrorMessage="1" errorTitle="Impossible!" error="Cancel it and then type the correct score." sqref="D7:AG36 D43:AG72 D79:AG108 D115:AG144 D151:AG180 D187:AG216" xr:uid="{D3753508-6715-4A94-892D-BE27E06B75DB}">
      <formula1>0</formula1>
      <formula2>10</formula2>
    </dataValidation>
  </dataValidations>
  <printOptions horizontalCentered="1" verticalCentered="1"/>
  <pageMargins left="0" right="0" top="0.25" bottom="0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6600-48A5-431D-9B15-816269D94C95}">
  <sheetPr>
    <tabColor rgb="FFFFC000"/>
  </sheetPr>
  <dimension ref="A1:N216"/>
  <sheetViews>
    <sheetView workbookViewId="0">
      <selection activeCell="S3" sqref="S3"/>
    </sheetView>
  </sheetViews>
  <sheetFormatPr defaultColWidth="10.28515625" defaultRowHeight="15.95" customHeight="1"/>
  <cols>
    <col min="1" max="1" width="5.7109375" style="5" customWidth="1"/>
    <col min="2" max="2" width="18.7109375" style="5" customWidth="1"/>
    <col min="3" max="3" width="4.7109375" style="5" customWidth="1"/>
    <col min="4" max="14" width="10.28515625" style="42"/>
    <col min="15" max="16384" width="10.28515625" style="5"/>
  </cols>
  <sheetData>
    <row r="1" spans="1:14" ht="15.95" customHeight="1">
      <c r="A1" s="18" t="s">
        <v>0</v>
      </c>
      <c r="B1" s="19" t="str">
        <f>'(5).Promotion Daily'!B1</f>
        <v>C2</v>
      </c>
      <c r="C1" s="60"/>
      <c r="D1" s="222" t="s">
        <v>120</v>
      </c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2" spans="1:14" ht="15.95" customHeight="1">
      <c r="A2" s="18" t="s">
        <v>1</v>
      </c>
      <c r="B2" s="19" t="str">
        <f>'(5).Promotion Daily'!B2</f>
        <v>K1B</v>
      </c>
      <c r="C2" s="60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14" ht="15.95" customHeight="1">
      <c r="A3" s="18" t="s">
        <v>2</v>
      </c>
      <c r="B3" s="19" t="str">
        <f>'(5).Promotion Daily'!B3</f>
        <v>3:00-5:30</v>
      </c>
      <c r="C3" s="60"/>
      <c r="D3" s="223" t="str">
        <f>'(5).Promotion Daily'!D3</f>
        <v>FEBRUARY - JULY 2026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</row>
    <row r="4" spans="1:14" ht="15.95" customHeight="1">
      <c r="A4" s="18" t="s">
        <v>3</v>
      </c>
      <c r="B4" s="19">
        <f>'(5).Promotion Daily'!B4</f>
        <v>5</v>
      </c>
      <c r="C4" s="60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</row>
    <row r="5" spans="1:14" ht="15.95" customHeight="1">
      <c r="A5" s="18" t="s">
        <v>4</v>
      </c>
      <c r="B5" s="19" t="str">
        <f>'(5).Promotion Daily'!B5</f>
        <v>Hong Leeheng</v>
      </c>
      <c r="C5" s="61"/>
      <c r="D5" s="91" t="str">
        <f>IF(OR($B2="K5",$B2="K6",$B2="K7",$B2="K8",$B2="K9",$B2="K10"),"Listening","Up-Low C")</f>
        <v>Up-Low C</v>
      </c>
      <c r="E5" s="91" t="str">
        <f>IF(OR($B2="K5",$B2="K6",$B2="K7",$B2="K8",$B2="K9",$B2="K10"),"Speaking","Alphabet N")</f>
        <v>Alphabet N</v>
      </c>
      <c r="F5" s="91" t="str">
        <f>IF(OR($B2="K5",$B2="K6",$B2="K7",$B2="K8",$B2="K9",$B2="K10"),"Reading","Alphabet S")</f>
        <v>Alphabet S</v>
      </c>
      <c r="G5" s="91" t="str">
        <f>IF(OR($B2="K5",$B2="K6",$B2="K7",$B2="K8",$B2="K9",$B2="K10"),"Writing","Vocabulary")</f>
        <v>Vocabulary</v>
      </c>
      <c r="H5" s="91" t="str">
        <f>IF(OR($B2="K5",$B2="K6",$B2="K7",$B2="K8",$B2="K9",$B2="K10"),"Grammar","Sprouts")</f>
        <v>Sprouts</v>
      </c>
      <c r="I5" s="91" t="str">
        <f>IF(OR($B2="K5",$B2="K6",$B2="K7",$B2="K8",$B2="K9",$B2="K10"),"Vocabulary","Phonics")</f>
        <v>Phonics</v>
      </c>
      <c r="J5" s="91" t="str">
        <f>IF(OR($B2="K5",$B2="K6",$B2="K7",$B2="K8",$B2="K9",$B2="K10"),"Roots","Math")</f>
        <v>Math</v>
      </c>
      <c r="K5" s="91" t="str">
        <f>IF(OR($B2="K5",$B2="K6",$B2="K7",$B2="K8",$B2="K9",$B2="K10"),"Phonics","Shape")</f>
        <v>Shape</v>
      </c>
      <c r="L5" s="91" t="str">
        <f>IF(OR($B2="K5",$B2="K6",$B2="K7",$B2="K8",$B2="K9",$B2="K10"),"Math","Science")</f>
        <v>Science</v>
      </c>
      <c r="M5" s="91" t="str">
        <f>IF(OR($B2="K5",$B2="K6",$B2="K7",$B2="K8",$B2="K9",$B2="K10"),"Science","Tracing")</f>
        <v>Tracing</v>
      </c>
      <c r="N5" s="90" t="s">
        <v>12</v>
      </c>
    </row>
    <row r="6" spans="1:14" ht="15.95" customHeight="1" thickBot="1">
      <c r="A6" s="80" t="s">
        <v>5</v>
      </c>
      <c r="B6" s="74" t="s">
        <v>6</v>
      </c>
      <c r="C6" s="81" t="s">
        <v>7</v>
      </c>
      <c r="D6" s="76" t="s">
        <v>9</v>
      </c>
      <c r="E6" s="76" t="s">
        <v>9</v>
      </c>
      <c r="F6" s="76" t="s">
        <v>9</v>
      </c>
      <c r="G6" s="76" t="s">
        <v>9</v>
      </c>
      <c r="H6" s="76" t="s">
        <v>9</v>
      </c>
      <c r="I6" s="76" t="s">
        <v>9</v>
      </c>
      <c r="J6" s="76" t="s">
        <v>9</v>
      </c>
      <c r="K6" s="76" t="s">
        <v>9</v>
      </c>
      <c r="L6" s="76" t="s">
        <v>9</v>
      </c>
      <c r="M6" s="76" t="s">
        <v>9</v>
      </c>
      <c r="N6" s="77" t="s">
        <v>13</v>
      </c>
    </row>
    <row r="7" spans="1:14" s="12" customFormat="1" ht="15.95" customHeight="1">
      <c r="A7" s="78">
        <v>1</v>
      </c>
      <c r="B7" s="68" t="str">
        <f>IF('(5).Promotion Daily'!B7="","",'(5).Promotion Daily'!B7)</f>
        <v>Chhim Chansithika</v>
      </c>
      <c r="C7" s="79" t="str">
        <f>IF('(5).Promotion Daily'!C7="","",'(5).Promotion Daily'!C7)</f>
        <v>F</v>
      </c>
      <c r="D7" s="69"/>
      <c r="E7" s="70"/>
      <c r="F7" s="70"/>
      <c r="G7" s="70"/>
      <c r="H7" s="70"/>
      <c r="I7" s="70"/>
      <c r="J7" s="70"/>
      <c r="K7" s="70"/>
      <c r="L7" s="70"/>
      <c r="M7" s="70"/>
      <c r="N7" s="71" t="str">
        <f>IF('(5).Promotion Daily'!AH7="Change","Change",IF('(5).Promotion Daily'!AH7="Stop","Stop",IF(B7="","",IF(COUNTA(D7:M7)&lt;10,"Incomplete",""))))</f>
        <v>Incomplete</v>
      </c>
    </row>
    <row r="8" spans="1:14" ht="15.95" customHeight="1">
      <c r="A8" s="66">
        <v>2</v>
      </c>
      <c r="B8" s="63" t="str">
        <f>IF('(5).Promotion Daily'!B8="","",'(5).Promotion Daily'!B8)</f>
        <v>Chhout Senghour</v>
      </c>
      <c r="C8" s="67" t="str">
        <f>IF('(5).Promotion Daily'!C8="","",'(5).Promotion Daily'!C8)</f>
        <v>M</v>
      </c>
      <c r="D8" s="47"/>
      <c r="E8" s="48"/>
      <c r="F8" s="48"/>
      <c r="G8" s="48"/>
      <c r="H8" s="48"/>
      <c r="I8" s="48"/>
      <c r="J8" s="48"/>
      <c r="K8" s="48"/>
      <c r="L8" s="48"/>
      <c r="M8" s="48"/>
      <c r="N8" s="49" t="str">
        <f>IF('(5).Promotion Daily'!AH8="Change","Change",IF('(5).Promotion Daily'!AH8="Stop","Stop",IF(B8="","",IF(COUNTA(D8:M8)&lt;10,"Incomplete",""))))</f>
        <v>Incomplete</v>
      </c>
    </row>
    <row r="9" spans="1:14" ht="15.95" customHeight="1">
      <c r="A9" s="66">
        <v>3</v>
      </c>
      <c r="B9" s="63" t="str">
        <f>IF('(5).Promotion Daily'!B9="","",'(5).Promotion Daily'!B9)</f>
        <v>Det Phouri</v>
      </c>
      <c r="C9" s="67" t="str">
        <f>IF('(5).Promotion Daily'!C9="","",'(5).Promotion Daily'!C9)</f>
        <v>M</v>
      </c>
      <c r="D9" s="47"/>
      <c r="E9" s="48"/>
      <c r="F9" s="48"/>
      <c r="G9" s="48"/>
      <c r="H9" s="48"/>
      <c r="I9" s="48"/>
      <c r="J9" s="48"/>
      <c r="K9" s="48"/>
      <c r="L9" s="48"/>
      <c r="M9" s="48"/>
      <c r="N9" s="49" t="str">
        <f>IF('(5).Promotion Daily'!AH9="Change","Change",IF('(5).Promotion Daily'!AH9="Stop","Stop",IF(B9="","",IF(COUNTA(D9:M9)&lt;10,"Incomplete",""))))</f>
        <v>Incomplete</v>
      </c>
    </row>
    <row r="10" spans="1:14" ht="15.95" customHeight="1">
      <c r="A10" s="66">
        <v>4</v>
      </c>
      <c r="B10" s="63" t="str">
        <f>IF('(5).Promotion Daily'!B10="","",'(5).Promotion Daily'!B10)</f>
        <v>Dy Chanto</v>
      </c>
      <c r="C10" s="67" t="str">
        <f>IF('(5).Promotion Daily'!C10="","",'(5).Promotion Daily'!C10)</f>
        <v>M</v>
      </c>
      <c r="D10" s="47"/>
      <c r="E10" s="48"/>
      <c r="F10" s="48"/>
      <c r="G10" s="48"/>
      <c r="H10" s="48"/>
      <c r="I10" s="48"/>
      <c r="J10" s="48"/>
      <c r="K10" s="48"/>
      <c r="L10" s="48"/>
      <c r="M10" s="48"/>
      <c r="N10" s="49" t="str">
        <f>IF('(5).Promotion Daily'!AH10="Change","Change",IF('(5).Promotion Daily'!AH10="Stop","Stop",IF(B10="","",IF(COUNTA(D10:M10)&lt;10,"Incomplete",""))))</f>
        <v>Incomplete</v>
      </c>
    </row>
    <row r="11" spans="1:14" ht="15.95" customHeight="1">
      <c r="A11" s="66">
        <v>5</v>
      </c>
      <c r="B11" s="63" t="str">
        <f>IF('(5).Promotion Daily'!B11="","",'(5).Promotion Daily'!B11)</f>
        <v>Dy Meyly</v>
      </c>
      <c r="C11" s="67" t="str">
        <f>IF('(5).Promotion Daily'!C11="","",'(5).Promotion Daily'!C11)</f>
        <v>F</v>
      </c>
      <c r="D11" s="47"/>
      <c r="E11" s="48"/>
      <c r="F11" s="48"/>
      <c r="G11" s="48"/>
      <c r="H11" s="48"/>
      <c r="I11" s="48"/>
      <c r="J11" s="48"/>
      <c r="K11" s="48"/>
      <c r="L11" s="48"/>
      <c r="M11" s="48"/>
      <c r="N11" s="49" t="str">
        <f>IF('(5).Promotion Daily'!AH11="Change","Change",IF('(5).Promotion Daily'!AH11="Stop","Stop",IF(B11="","",IF(COUNTA(D11:M11)&lt;10,"Incomplete",""))))</f>
        <v>Incomplete</v>
      </c>
    </row>
    <row r="12" spans="1:14" ht="15.95" customHeight="1">
      <c r="A12" s="66">
        <v>6</v>
      </c>
      <c r="B12" s="63" t="str">
        <f>IF('(5).Promotion Daily'!B12="","",'(5).Promotion Daily'!B12)</f>
        <v>Heang Limhak</v>
      </c>
      <c r="C12" s="67" t="str">
        <f>IF('(5).Promotion Daily'!C12="","",'(5).Promotion Daily'!C12)</f>
        <v>M</v>
      </c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49" t="str">
        <f>IF('(5).Promotion Daily'!AH12="Change","Change",IF('(5).Promotion Daily'!AH12="Stop","Stop",IF(B12="","",IF(COUNTA(D12:M12)&lt;10,"Incomplete",""))))</f>
        <v>Incomplete</v>
      </c>
    </row>
    <row r="13" spans="1:14" ht="15.95" customHeight="1">
      <c r="A13" s="66">
        <v>7</v>
      </c>
      <c r="B13" s="63" t="str">
        <f>IF('(5).Promotion Daily'!B13="","",'(5).Promotion Daily'!B13)</f>
        <v>Keo Tepsatsjak</v>
      </c>
      <c r="C13" s="67" t="str">
        <f>IF('(5).Promotion Daily'!C13="","",'(5).Promotion Daily'!C13)</f>
        <v>M</v>
      </c>
      <c r="D13" s="47"/>
      <c r="E13" s="48"/>
      <c r="F13" s="48"/>
      <c r="G13" s="48"/>
      <c r="H13" s="48"/>
      <c r="I13" s="48"/>
      <c r="J13" s="48"/>
      <c r="K13" s="48"/>
      <c r="L13" s="48"/>
      <c r="M13" s="48"/>
      <c r="N13" s="49" t="str">
        <f>IF('(5).Promotion Daily'!AH13="Change","Change",IF('(5).Promotion Daily'!AH13="Stop","Stop",IF(B13="","",IF(COUNTA(D13:M13)&lt;10,"Incomplete",""))))</f>
        <v>Incomplete</v>
      </c>
    </row>
    <row r="14" spans="1:14" ht="15.95" customHeight="1">
      <c r="A14" s="66">
        <v>8</v>
      </c>
      <c r="B14" s="63" t="str">
        <f>IF('(5).Promotion Daily'!B14="","",'(5).Promotion Daily'!B14)</f>
        <v>Kong Yonghae</v>
      </c>
      <c r="C14" s="67" t="str">
        <f>IF('(5).Promotion Daily'!C14="","",'(5).Promotion Daily'!C14)</f>
        <v>M</v>
      </c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9" t="str">
        <f>IF('(5).Promotion Daily'!AH14="Change","Change",IF('(5).Promotion Daily'!AH14="Stop","Stop",IF(B14="","",IF(COUNTA(D14:M14)&lt;10,"Incomplete",""))))</f>
        <v>Incomplete</v>
      </c>
    </row>
    <row r="15" spans="1:14" ht="15.95" customHeight="1">
      <c r="A15" s="66">
        <v>9</v>
      </c>
      <c r="B15" s="63" t="str">
        <f>IF('(5).Promotion Daily'!B15="","",'(5).Promotion Daily'!B15)</f>
        <v>Lim Davymulika</v>
      </c>
      <c r="C15" s="67" t="str">
        <f>IF('(5).Promotion Daily'!C15="","",'(5).Promotion Daily'!C15)</f>
        <v>F</v>
      </c>
      <c r="D15" s="47"/>
      <c r="E15" s="48"/>
      <c r="F15" s="48"/>
      <c r="G15" s="48"/>
      <c r="H15" s="48"/>
      <c r="I15" s="48"/>
      <c r="J15" s="48"/>
      <c r="K15" s="48"/>
      <c r="L15" s="48"/>
      <c r="M15" s="48"/>
      <c r="N15" s="49" t="str">
        <f>IF('(5).Promotion Daily'!AH15="Change","Change",IF('(5).Promotion Daily'!AH15="Stop","Stop",IF(B15="","",IF(COUNTA(D15:M15)&lt;10,"Incomplete",""))))</f>
        <v>Incomplete</v>
      </c>
    </row>
    <row r="16" spans="1:14" ht="15.95" customHeight="1">
      <c r="A16" s="66">
        <v>10</v>
      </c>
      <c r="B16" s="63" t="str">
        <f>IF('(5).Promotion Daily'!B16="","",'(5).Promotion Daily'!B16)</f>
        <v>Lot SamAngvichara</v>
      </c>
      <c r="C16" s="67" t="str">
        <f>IF('(5).Promotion Daily'!C16="","",'(5).Promotion Daily'!C16)</f>
        <v>F</v>
      </c>
      <c r="D16" s="47"/>
      <c r="E16" s="48"/>
      <c r="F16" s="48"/>
      <c r="G16" s="48"/>
      <c r="H16" s="48"/>
      <c r="I16" s="48"/>
      <c r="J16" s="48"/>
      <c r="K16" s="48"/>
      <c r="L16" s="48"/>
      <c r="M16" s="48"/>
      <c r="N16" s="49" t="str">
        <f>IF('(5).Promotion Daily'!AH16="Change","Change",IF('(5).Promotion Daily'!AH16="Stop","Stop",IF(B16="","",IF(COUNTA(D16:M16)&lt;10,"Incomplete",""))))</f>
        <v>Incomplete</v>
      </c>
    </row>
    <row r="17" spans="1:14" ht="15.95" customHeight="1">
      <c r="A17" s="66">
        <v>11</v>
      </c>
      <c r="B17" s="63" t="str">
        <f>IF('(5).Promotion Daily'!B17="","",'(5).Promotion Daily'!B17)</f>
        <v>Lot Vichheka</v>
      </c>
      <c r="C17" s="67" t="str">
        <f>IF('(5).Promotion Daily'!C17="","",'(5).Promotion Daily'!C17)</f>
        <v>M</v>
      </c>
      <c r="D17" s="47"/>
      <c r="E17" s="48"/>
      <c r="F17" s="48"/>
      <c r="G17" s="48"/>
      <c r="H17" s="48"/>
      <c r="I17" s="48"/>
      <c r="J17" s="48"/>
      <c r="K17" s="48"/>
      <c r="L17" s="48"/>
      <c r="M17" s="48"/>
      <c r="N17" s="49" t="str">
        <f>IF('(5).Promotion Daily'!AH17="Change","Change",IF('(5).Promotion Daily'!AH17="Stop","Stop",IF(B17="","",IF(COUNTA(D17:M17)&lt;10,"Incomplete",""))))</f>
        <v>Incomplete</v>
      </c>
    </row>
    <row r="18" spans="1:14" ht="15.95" customHeight="1">
      <c r="A18" s="66">
        <v>12</v>
      </c>
      <c r="B18" s="63" t="str">
        <f>IF('(5).Promotion Daily'!B18="","",'(5).Promotion Daily'!B18)</f>
        <v>Ly Kanha</v>
      </c>
      <c r="C18" s="67" t="str">
        <f>IF('(5).Promotion Daily'!C18="","",'(5).Promotion Daily'!C18)</f>
        <v>F</v>
      </c>
      <c r="D18" s="47"/>
      <c r="E18" s="48"/>
      <c r="F18" s="48"/>
      <c r="G18" s="48"/>
      <c r="H18" s="48"/>
      <c r="I18" s="48"/>
      <c r="J18" s="48"/>
      <c r="K18" s="48"/>
      <c r="L18" s="48"/>
      <c r="M18" s="48"/>
      <c r="N18" s="49" t="str">
        <f>IF('(5).Promotion Daily'!AH18="Change","Change",IF('(5).Promotion Daily'!AH18="Stop","Stop",IF(B18="","",IF(COUNTA(D18:M18)&lt;10,"Incomplete",""))))</f>
        <v>Incomplete</v>
      </c>
    </row>
    <row r="19" spans="1:14" ht="15.95" customHeight="1">
      <c r="A19" s="66">
        <v>13</v>
      </c>
      <c r="B19" s="63" t="str">
        <f>IF('(5).Promotion Daily'!B19="","",'(5).Promotion Daily'!B19)</f>
        <v>Ly Sanmoniroth</v>
      </c>
      <c r="C19" s="67" t="str">
        <f>IF('(5).Promotion Daily'!C19="","",'(5).Promotion Daily'!C19)</f>
        <v>F</v>
      </c>
      <c r="D19" s="47"/>
      <c r="E19" s="48"/>
      <c r="F19" s="48"/>
      <c r="G19" s="48"/>
      <c r="H19" s="48"/>
      <c r="I19" s="48"/>
      <c r="J19" s="48"/>
      <c r="K19" s="48"/>
      <c r="L19" s="48"/>
      <c r="M19" s="48"/>
      <c r="N19" s="49" t="str">
        <f>IF('(5).Promotion Daily'!AH19="Change","Change",IF('(5).Promotion Daily'!AH19="Stop","Stop",IF(B19="","",IF(COUNTA(D19:M19)&lt;10,"Incomplete",""))))</f>
        <v>Incomplete</v>
      </c>
    </row>
    <row r="20" spans="1:14" ht="15.95" customHeight="1">
      <c r="A20" s="66">
        <v>14</v>
      </c>
      <c r="B20" s="63" t="str">
        <f>IF('(5).Promotion Daily'!B20="","",'(5).Promotion Daily'!B20)</f>
        <v>Noun Thoreakrith</v>
      </c>
      <c r="C20" s="67" t="str">
        <f>IF('(5).Promotion Daily'!C20="","",'(5).Promotion Daily'!C20)</f>
        <v>M</v>
      </c>
      <c r="D20" s="47"/>
      <c r="E20" s="48"/>
      <c r="F20" s="48"/>
      <c r="G20" s="48"/>
      <c r="H20" s="48"/>
      <c r="I20" s="48"/>
      <c r="J20" s="48"/>
      <c r="K20" s="48"/>
      <c r="L20" s="48"/>
      <c r="M20" s="48"/>
      <c r="N20" s="49" t="str">
        <f>IF('(5).Promotion Daily'!AH20="Change","Change",IF('(5).Promotion Daily'!AH20="Stop","Stop",IF(B20="","",IF(COUNTA(D20:M20)&lt;10,"Incomplete",""))))</f>
        <v>Incomplete</v>
      </c>
    </row>
    <row r="21" spans="1:14" ht="15.95" customHeight="1">
      <c r="A21" s="66">
        <v>15</v>
      </c>
      <c r="B21" s="63" t="str">
        <f>IF('(5).Promotion Daily'!B21="","",'(5).Promotion Daily'!B21)</f>
        <v>OL Amara</v>
      </c>
      <c r="C21" s="67" t="str">
        <f>IF('(5).Promotion Daily'!C21="","",'(5).Promotion Daily'!C21)</f>
        <v>F</v>
      </c>
      <c r="D21" s="47"/>
      <c r="E21" s="48"/>
      <c r="F21" s="48"/>
      <c r="G21" s="48"/>
      <c r="H21" s="48"/>
      <c r="I21" s="48"/>
      <c r="J21" s="48"/>
      <c r="K21" s="48"/>
      <c r="L21" s="48"/>
      <c r="M21" s="48"/>
      <c r="N21" s="49" t="str">
        <f>IF('(5).Promotion Daily'!AH21="Change","Change",IF('(5).Promotion Daily'!AH21="Stop","Stop",IF(B21="","",IF(COUNTA(D21:M21)&lt;10,"Incomplete",""))))</f>
        <v>Incomplete</v>
      </c>
    </row>
    <row r="22" spans="1:14" ht="15.95" customHeight="1">
      <c r="A22" s="66">
        <v>16</v>
      </c>
      <c r="B22" s="63" t="str">
        <f>IF('(5).Promotion Daily'!B22="","",'(5).Promotion Daily'!B22)</f>
        <v>Prom Monometa</v>
      </c>
      <c r="C22" s="67" t="str">
        <f>IF('(5).Promotion Daily'!C22="","",'(5).Promotion Daily'!C22)</f>
        <v>M</v>
      </c>
      <c r="D22" s="47"/>
      <c r="E22" s="48"/>
      <c r="F22" s="48"/>
      <c r="G22" s="48"/>
      <c r="H22" s="48"/>
      <c r="I22" s="48"/>
      <c r="J22" s="48"/>
      <c r="K22" s="48"/>
      <c r="L22" s="48"/>
      <c r="M22" s="48"/>
      <c r="N22" s="49" t="str">
        <f>IF('(5).Promotion Daily'!AH22="Change","Change",IF('(5).Promotion Daily'!AH22="Stop","Stop",IF(B22="","",IF(COUNTA(D22:M22)&lt;10,"Incomplete",""))))</f>
        <v>Incomplete</v>
      </c>
    </row>
    <row r="23" spans="1:14" ht="15.95" customHeight="1">
      <c r="A23" s="66">
        <v>17</v>
      </c>
      <c r="B23" s="63" t="str">
        <f>IF('(5).Promotion Daily'!B23="","",'(5).Promotion Daily'!B23)</f>
        <v>Seng Moamunyriangsey</v>
      </c>
      <c r="C23" s="67" t="str">
        <f>IF('(5).Promotion Daily'!C23="","",'(5).Promotion Daily'!C23)</f>
        <v>F</v>
      </c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49" t="str">
        <f>IF('(5).Promotion Daily'!AH23="Change","Change",IF('(5).Promotion Daily'!AH23="Stop","Stop",IF(B23="","",IF(COUNTA(D23:M23)&lt;10,"Incomplete",""))))</f>
        <v>Incomplete</v>
      </c>
    </row>
    <row r="24" spans="1:14" ht="15.95" customHeight="1">
      <c r="A24" s="66">
        <v>18</v>
      </c>
      <c r="B24" s="63" t="str">
        <f>IF('(5).Promotion Daily'!B24="","",'(5).Promotion Daily'!B24)</f>
        <v>Thuy Chanmeylinh</v>
      </c>
      <c r="C24" s="67" t="str">
        <f>IF('(5).Promotion Daily'!C24="","",'(5).Promotion Daily'!C24)</f>
        <v>F</v>
      </c>
      <c r="D24" s="47"/>
      <c r="E24" s="48"/>
      <c r="F24" s="48"/>
      <c r="G24" s="48"/>
      <c r="H24" s="48"/>
      <c r="I24" s="48"/>
      <c r="J24" s="48"/>
      <c r="K24" s="48"/>
      <c r="L24" s="48"/>
      <c r="M24" s="48"/>
      <c r="N24" s="49" t="str">
        <f>IF('(5).Promotion Daily'!AH24="Change","Change",IF('(5).Promotion Daily'!AH24="Stop","Stop",IF(B24="","",IF(COUNTA(D24:M24)&lt;10,"Incomplete",""))))</f>
        <v>Incomplete</v>
      </c>
    </row>
    <row r="25" spans="1:14" ht="15.95" customHeight="1">
      <c r="A25" s="66">
        <v>19</v>
      </c>
      <c r="B25" s="63" t="str">
        <f>IF('(5).Promotion Daily'!B25="","",'(5).Promotion Daily'!B25)</f>
        <v>Vy Monineath</v>
      </c>
      <c r="C25" s="67" t="str">
        <f>IF('(5).Promotion Daily'!C25="","",'(5).Promotion Daily'!C25)</f>
        <v>F</v>
      </c>
      <c r="D25" s="47"/>
      <c r="E25" s="48"/>
      <c r="F25" s="48"/>
      <c r="G25" s="48"/>
      <c r="H25" s="48"/>
      <c r="I25" s="48"/>
      <c r="J25" s="48"/>
      <c r="K25" s="48"/>
      <c r="L25" s="48"/>
      <c r="M25" s="48"/>
      <c r="N25" s="49" t="str">
        <f>IF('(5).Promotion Daily'!AH25="Change","Change",IF('(5).Promotion Daily'!AH25="Stop","Stop",IF(B25="","",IF(COUNTA(D25:M25)&lt;10,"Incomplete",""))))</f>
        <v>Incomplete</v>
      </c>
    </row>
    <row r="26" spans="1:14" ht="15.95" customHeight="1">
      <c r="A26" s="66">
        <v>20</v>
      </c>
      <c r="B26" s="63" t="str">
        <f>IF('(5).Promotion Daily'!B26="","",'(5).Promotion Daily'!B26)</f>
        <v/>
      </c>
      <c r="C26" s="67" t="str">
        <f>IF('(5).Promotion Daily'!C26="","",'(5).Promotion Daily'!C26)</f>
        <v/>
      </c>
      <c r="D26" s="47"/>
      <c r="E26" s="48"/>
      <c r="F26" s="48"/>
      <c r="G26" s="48"/>
      <c r="H26" s="48"/>
      <c r="I26" s="48"/>
      <c r="J26" s="48"/>
      <c r="K26" s="48"/>
      <c r="L26" s="48"/>
      <c r="M26" s="48"/>
      <c r="N26" s="49" t="str">
        <f>IF('(5).Promotion Daily'!AH26="Change","Change",IF('(5).Promotion Daily'!AH26="Stop","Stop",IF(B26="","",IF(COUNTA(D26:M26)&lt;10,"Incomplete",""))))</f>
        <v/>
      </c>
    </row>
    <row r="27" spans="1:14" ht="15.95" customHeight="1">
      <c r="A27" s="66">
        <v>21</v>
      </c>
      <c r="B27" s="63" t="str">
        <f>IF('(5).Promotion Daily'!B27="","",'(5).Promotion Daily'!B27)</f>
        <v/>
      </c>
      <c r="C27" s="67" t="str">
        <f>IF('(5).Promotion Daily'!C27="","",'(5).Promotion Daily'!C27)</f>
        <v/>
      </c>
      <c r="D27" s="47"/>
      <c r="E27" s="48"/>
      <c r="F27" s="48"/>
      <c r="G27" s="48"/>
      <c r="H27" s="48"/>
      <c r="I27" s="48"/>
      <c r="J27" s="48"/>
      <c r="K27" s="48"/>
      <c r="L27" s="48"/>
      <c r="M27" s="48"/>
      <c r="N27" s="49" t="str">
        <f>IF('(5).Promotion Daily'!AH27="Change","Change",IF('(5).Promotion Daily'!AH27="Stop","Stop",IF(B27="","",IF(COUNTA(D27:M27)&lt;10,"Incomplete",""))))</f>
        <v/>
      </c>
    </row>
    <row r="28" spans="1:14" ht="15.95" customHeight="1">
      <c r="A28" s="66">
        <v>22</v>
      </c>
      <c r="B28" s="63" t="str">
        <f>IF('(5).Promotion Daily'!B28="","",'(5).Promotion Daily'!B28)</f>
        <v/>
      </c>
      <c r="C28" s="67" t="str">
        <f>IF('(5).Promotion Daily'!C28="","",'(5).Promotion Daily'!C28)</f>
        <v/>
      </c>
      <c r="D28" s="47"/>
      <c r="E28" s="48"/>
      <c r="F28" s="48"/>
      <c r="G28" s="48"/>
      <c r="H28" s="48"/>
      <c r="I28" s="48"/>
      <c r="J28" s="48"/>
      <c r="K28" s="48"/>
      <c r="L28" s="48"/>
      <c r="M28" s="48"/>
      <c r="N28" s="49" t="str">
        <f>IF('(5).Promotion Daily'!AH28="Change","Change",IF('(5).Promotion Daily'!AH28="Stop","Stop",IF(B28="","",IF(COUNTA(D28:M28)&lt;10,"Incomplete",""))))</f>
        <v/>
      </c>
    </row>
    <row r="29" spans="1:14" ht="15.95" customHeight="1">
      <c r="A29" s="66">
        <v>23</v>
      </c>
      <c r="B29" s="63" t="str">
        <f>IF('(5).Promotion Daily'!B29="","",'(5).Promotion Daily'!B29)</f>
        <v/>
      </c>
      <c r="C29" s="67" t="str">
        <f>IF('(5).Promotion Daily'!C29="","",'(5).Promotion Daily'!C29)</f>
        <v/>
      </c>
      <c r="D29" s="47"/>
      <c r="E29" s="48"/>
      <c r="F29" s="48"/>
      <c r="G29" s="48"/>
      <c r="H29" s="48"/>
      <c r="I29" s="48"/>
      <c r="J29" s="48"/>
      <c r="K29" s="48"/>
      <c r="L29" s="48"/>
      <c r="M29" s="48"/>
      <c r="N29" s="49" t="str">
        <f>IF('(5).Promotion Daily'!AH29="Change","Change",IF('(5).Promotion Daily'!AH29="Stop","Stop",IF(B29="","",IF(COUNTA(D29:M29)&lt;10,"Incomplete",""))))</f>
        <v/>
      </c>
    </row>
    <row r="30" spans="1:14" ht="15.95" customHeight="1">
      <c r="A30" s="66">
        <v>24</v>
      </c>
      <c r="B30" s="63" t="str">
        <f>IF('(5).Promotion Daily'!B30="","",'(5).Promotion Daily'!B30)</f>
        <v/>
      </c>
      <c r="C30" s="67" t="str">
        <f>IF('(5).Promotion Daily'!C30="","",'(5).Promotion Daily'!C30)</f>
        <v/>
      </c>
      <c r="D30" s="47"/>
      <c r="E30" s="48"/>
      <c r="F30" s="48"/>
      <c r="G30" s="48"/>
      <c r="H30" s="48"/>
      <c r="I30" s="48"/>
      <c r="J30" s="48"/>
      <c r="K30" s="48"/>
      <c r="L30" s="48"/>
      <c r="M30" s="48"/>
      <c r="N30" s="49" t="str">
        <f>IF('(5).Promotion Daily'!AH30="Change","Change",IF('(5).Promotion Daily'!AH30="Stop","Stop",IF(B30="","",IF(COUNTA(D30:M30)&lt;10,"Incomplete",""))))</f>
        <v/>
      </c>
    </row>
    <row r="31" spans="1:14" ht="15.95" customHeight="1">
      <c r="A31" s="66">
        <v>25</v>
      </c>
      <c r="B31" s="63" t="str">
        <f>IF('(5).Promotion Daily'!B31="","",'(5).Promotion Daily'!B31)</f>
        <v/>
      </c>
      <c r="C31" s="67" t="str">
        <f>IF('(5).Promotion Daily'!C31="","",'(5).Promotion Daily'!C31)</f>
        <v/>
      </c>
      <c r="D31" s="47"/>
      <c r="E31" s="48"/>
      <c r="F31" s="48"/>
      <c r="G31" s="48"/>
      <c r="H31" s="48"/>
      <c r="I31" s="48"/>
      <c r="J31" s="48"/>
      <c r="K31" s="48"/>
      <c r="L31" s="48"/>
      <c r="M31" s="48"/>
      <c r="N31" s="49" t="str">
        <f>IF('(5).Promotion Daily'!AH31="Change","Change",IF('(5).Promotion Daily'!AH31="Stop","Stop",IF(B31="","",IF(COUNTA(D31:M31)&lt;10,"Incomplete",""))))</f>
        <v/>
      </c>
    </row>
    <row r="32" spans="1:14" ht="15.95" customHeight="1">
      <c r="A32" s="66">
        <v>26</v>
      </c>
      <c r="B32" s="63" t="str">
        <f>IF('(5).Promotion Daily'!B32="","",'(5).Promotion Daily'!B32)</f>
        <v/>
      </c>
      <c r="C32" s="67" t="str">
        <f>IF('(5).Promotion Daily'!C32="","",'(5).Promotion Daily'!C32)</f>
        <v/>
      </c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9" t="str">
        <f>IF('(5).Promotion Daily'!AH32="Change","Change",IF('(5).Promotion Daily'!AH32="Stop","Stop",IF(B32="","",IF(COUNTA(D32:M32)&lt;10,"Incomplete",""))))</f>
        <v/>
      </c>
    </row>
    <row r="33" spans="1:14" ht="15.95" customHeight="1">
      <c r="A33" s="66">
        <v>27</v>
      </c>
      <c r="B33" s="63" t="str">
        <f>IF('(5).Promotion Daily'!B33="","",'(5).Promotion Daily'!B33)</f>
        <v/>
      </c>
      <c r="C33" s="67" t="str">
        <f>IF('(5).Promotion Daily'!C33="","",'(5).Promotion Daily'!C33)</f>
        <v/>
      </c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9" t="str">
        <f>IF('(5).Promotion Daily'!AH33="Change","Change",IF('(5).Promotion Daily'!AH33="Stop","Stop",IF(B33="","",IF(COUNTA(D33:M33)&lt;10,"Incomplete",""))))</f>
        <v/>
      </c>
    </row>
    <row r="34" spans="1:14" ht="15.95" customHeight="1">
      <c r="A34" s="66">
        <v>28</v>
      </c>
      <c r="B34" s="63" t="str">
        <f>IF('(5).Promotion Daily'!B34="","",'(5).Promotion Daily'!B34)</f>
        <v/>
      </c>
      <c r="C34" s="67" t="str">
        <f>IF('(5).Promotion Daily'!C34="","",'(5).Promotion Daily'!C34)</f>
        <v/>
      </c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9" t="str">
        <f>IF('(5).Promotion Daily'!AH34="Change","Change",IF('(5).Promotion Daily'!AH34="Stop","Stop",IF(B34="","",IF(COUNTA(D34:M34)&lt;10,"Incomplete",""))))</f>
        <v/>
      </c>
    </row>
    <row r="35" spans="1:14" ht="15.95" customHeight="1">
      <c r="A35" s="66">
        <v>29</v>
      </c>
      <c r="B35" s="63" t="str">
        <f>IF('(5).Promotion Daily'!B35="","",'(5).Promotion Daily'!B35)</f>
        <v/>
      </c>
      <c r="C35" s="67" t="str">
        <f>IF('(5).Promotion Daily'!C35="","",'(5).Promotion Daily'!C35)</f>
        <v/>
      </c>
      <c r="D35" s="47"/>
      <c r="E35" s="48"/>
      <c r="F35" s="48"/>
      <c r="G35" s="48"/>
      <c r="H35" s="48"/>
      <c r="I35" s="48"/>
      <c r="J35" s="48"/>
      <c r="K35" s="48"/>
      <c r="L35" s="48"/>
      <c r="M35" s="48"/>
      <c r="N35" s="49" t="str">
        <f>IF('(5).Promotion Daily'!AH35="Change","Change",IF('(5).Promotion Daily'!AH35="Stop","Stop",IF(B35="","",IF(COUNTA(D35:M35)&lt;10,"Incomplete",""))))</f>
        <v/>
      </c>
    </row>
    <row r="36" spans="1:14" ht="15.95" customHeight="1">
      <c r="A36" s="66">
        <v>30</v>
      </c>
      <c r="B36" s="63" t="str">
        <f>IF('(5).Promotion Daily'!B36="","",'(5).Promotion Daily'!B36)</f>
        <v/>
      </c>
      <c r="C36" s="67" t="str">
        <f>IF('(5).Promotion Daily'!C36="","",'(5).Promotion Daily'!C36)</f>
        <v/>
      </c>
      <c r="D36" s="47"/>
      <c r="E36" s="48"/>
      <c r="F36" s="48"/>
      <c r="G36" s="48"/>
      <c r="H36" s="48"/>
      <c r="I36" s="48"/>
      <c r="J36" s="48"/>
      <c r="K36" s="48"/>
      <c r="L36" s="48"/>
      <c r="M36" s="48"/>
      <c r="N36" s="49" t="str">
        <f>IF('(5).Promotion Daily'!AH36="Change","Change",IF('(5).Promotion Daily'!AH36="Stop","Stop",IF(B36="","",IF(COUNTA(D36:M36)&lt;10,"Incomplete",""))))</f>
        <v/>
      </c>
    </row>
    <row r="37" spans="1:14" ht="15.95" customHeight="1">
      <c r="A37" s="18" t="s">
        <v>0</v>
      </c>
      <c r="B37" s="19">
        <f>'(5).Promotion Daily'!B37</f>
        <v>0</v>
      </c>
      <c r="C37" s="60"/>
      <c r="D37" s="222" t="s">
        <v>120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22"/>
    </row>
    <row r="38" spans="1:14" ht="15.95" customHeight="1">
      <c r="A38" s="18" t="s">
        <v>1</v>
      </c>
      <c r="B38" s="19">
        <f>'(5).Promotion Daily'!B38</f>
        <v>0</v>
      </c>
      <c r="C38" s="60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</row>
    <row r="39" spans="1:14" ht="15.95" customHeight="1">
      <c r="A39" s="18" t="s">
        <v>2</v>
      </c>
      <c r="B39" s="19">
        <f>'(5).Promotion Daily'!B39</f>
        <v>0</v>
      </c>
      <c r="C39" s="60"/>
      <c r="D39" s="223" t="str">
        <f>'(5).Promotion Daily'!D39</f>
        <v>FEBRUARY - JULY 2026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3"/>
    </row>
    <row r="40" spans="1:14" ht="15.95" customHeight="1">
      <c r="A40" s="18" t="s">
        <v>3</v>
      </c>
      <c r="B40" s="19">
        <f>'(5).Promotion Daily'!B40</f>
        <v>0</v>
      </c>
      <c r="C40" s="60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</row>
    <row r="41" spans="1:14" ht="15.95" customHeight="1">
      <c r="A41" s="18" t="s">
        <v>4</v>
      </c>
      <c r="B41" s="19">
        <f>'(5).Promotion Daily'!B41</f>
        <v>0</v>
      </c>
      <c r="C41" s="61"/>
      <c r="D41" s="91" t="str">
        <f>IF(OR($B38="K5",$B38="K6",$B38="K7",$B38="K8",$B38="K9",$B38="K10"),"Listening","Up-Low C")</f>
        <v>Up-Low C</v>
      </c>
      <c r="E41" s="91" t="str">
        <f>IF(OR($B38="K5",$B38="K6",$B38="K7",$B38="K8",$B38="K9",$B38="K10"),"Speaking","Alphabet N")</f>
        <v>Alphabet N</v>
      </c>
      <c r="F41" s="91" t="str">
        <f>IF(OR($B38="K5",$B38="K6",$B38="K7",$B38="K8",$B38="K9",$B38="K10"),"Reading","Alphabet S")</f>
        <v>Alphabet S</v>
      </c>
      <c r="G41" s="91" t="str">
        <f>IF(OR($B38="K5",$B38="K6",$B38="K7",$B38="K8",$B38="K9",$B38="K10"),"Writing","Vocabulary")</f>
        <v>Vocabulary</v>
      </c>
      <c r="H41" s="91" t="str">
        <f>IF(OR($B38="K5",$B38="K6",$B38="K7",$B38="K8",$B38="K9",$B38="K10"),"Grammar","Sprouts")</f>
        <v>Sprouts</v>
      </c>
      <c r="I41" s="91" t="str">
        <f>IF(OR($B38="K5",$B38="K6",$B38="K7",$B38="K8",$B38="K9",$B38="K10"),"Vocabulary","Phonics")</f>
        <v>Phonics</v>
      </c>
      <c r="J41" s="91" t="str">
        <f>IF(OR($B38="K5",$B38="K6",$B38="K7",$B38="K8",$B38="K9",$B38="K10"),"Roots","Math")</f>
        <v>Math</v>
      </c>
      <c r="K41" s="91" t="str">
        <f>IF(OR($B38="K5",$B38="K6",$B38="K7",$B38="K8",$B38="K9",$B38="K10"),"Phonics","Shape")</f>
        <v>Shape</v>
      </c>
      <c r="L41" s="91" t="str">
        <f>IF(OR($B38="K5",$B38="K6",$B38="K7",$B38="K8",$B38="K9",$B38="K10"),"Math","Science")</f>
        <v>Science</v>
      </c>
      <c r="M41" s="91" t="str">
        <f>IF(OR($B38="K5",$B38="K6",$B38="K7",$B38="K8",$B38="K9",$B38="K10"),"Science","Tracing")</f>
        <v>Tracing</v>
      </c>
      <c r="N41" s="90" t="s">
        <v>12</v>
      </c>
    </row>
    <row r="42" spans="1:14" ht="15.95" customHeight="1" thickBot="1">
      <c r="A42" s="80" t="s">
        <v>5</v>
      </c>
      <c r="B42" s="74" t="s">
        <v>6</v>
      </c>
      <c r="C42" s="81" t="s">
        <v>7</v>
      </c>
      <c r="D42" s="76" t="s">
        <v>9</v>
      </c>
      <c r="E42" s="76" t="s">
        <v>9</v>
      </c>
      <c r="F42" s="76" t="s">
        <v>9</v>
      </c>
      <c r="G42" s="76" t="s">
        <v>9</v>
      </c>
      <c r="H42" s="76" t="s">
        <v>9</v>
      </c>
      <c r="I42" s="76" t="s">
        <v>9</v>
      </c>
      <c r="J42" s="76" t="s">
        <v>9</v>
      </c>
      <c r="K42" s="76" t="s">
        <v>9</v>
      </c>
      <c r="L42" s="76" t="s">
        <v>9</v>
      </c>
      <c r="M42" s="76" t="s">
        <v>9</v>
      </c>
      <c r="N42" s="77" t="s">
        <v>13</v>
      </c>
    </row>
    <row r="43" spans="1:14" ht="15.95" customHeight="1">
      <c r="A43" s="78">
        <v>1</v>
      </c>
      <c r="B43" s="68" t="str">
        <f>IF('(5).Promotion Daily'!B43="","",'(5).Promotion Daily'!B43)</f>
        <v/>
      </c>
      <c r="C43" s="79" t="str">
        <f>IF('(5).Promotion Daily'!C43="","",'(5).Promotion Daily'!C43)</f>
        <v/>
      </c>
      <c r="D43" s="69"/>
      <c r="E43" s="70"/>
      <c r="F43" s="70"/>
      <c r="G43" s="70"/>
      <c r="H43" s="70"/>
      <c r="I43" s="70"/>
      <c r="J43" s="70"/>
      <c r="K43" s="70"/>
      <c r="L43" s="70"/>
      <c r="M43" s="70"/>
      <c r="N43" s="71" t="str">
        <f>IF('(5).Promotion Daily'!AH43="Change","Change",IF('(5).Promotion Daily'!AH43="Stop","Stop",IF(B43="","",IF(COUNTA(D43:M43)&lt;10,"Incomplete",""))))</f>
        <v/>
      </c>
    </row>
    <row r="44" spans="1:14" ht="15.95" customHeight="1">
      <c r="A44" s="66">
        <v>2</v>
      </c>
      <c r="B44" s="63" t="str">
        <f>IF('(5).Promotion Daily'!B44="","",'(5).Promotion Daily'!B44)</f>
        <v/>
      </c>
      <c r="C44" s="67" t="str">
        <f>IF('(5).Promotion Daily'!C44="","",'(5).Promotion Daily'!C44)</f>
        <v/>
      </c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9" t="str">
        <f>IF('(5).Promotion Daily'!AH44="Change","Change",IF('(5).Promotion Daily'!AH44="Stop","Stop",IF(B44="","",IF(COUNTA(D44:M44)&lt;10,"Incomplete",""))))</f>
        <v/>
      </c>
    </row>
    <row r="45" spans="1:14" ht="15.95" customHeight="1">
      <c r="A45" s="66">
        <v>3</v>
      </c>
      <c r="B45" s="63" t="str">
        <f>IF('(5).Promotion Daily'!B45="","",'(5).Promotion Daily'!B45)</f>
        <v/>
      </c>
      <c r="C45" s="67" t="str">
        <f>IF('(5).Promotion Daily'!C45="","",'(5).Promotion Daily'!C45)</f>
        <v/>
      </c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9" t="str">
        <f>IF('(5).Promotion Daily'!AH45="Change","Change",IF('(5).Promotion Daily'!AH45="Stop","Stop",IF(B45="","",IF(COUNTA(D45:M45)&lt;10,"Incomplete",""))))</f>
        <v/>
      </c>
    </row>
    <row r="46" spans="1:14" ht="15.95" customHeight="1">
      <c r="A46" s="66">
        <v>4</v>
      </c>
      <c r="B46" s="63" t="str">
        <f>IF('(5).Promotion Daily'!B46="","",'(5).Promotion Daily'!B46)</f>
        <v/>
      </c>
      <c r="C46" s="67" t="str">
        <f>IF('(5).Promotion Daily'!C46="","",'(5).Promotion Daily'!C46)</f>
        <v/>
      </c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9" t="str">
        <f>IF('(5).Promotion Daily'!AH46="Change","Change",IF('(5).Promotion Daily'!AH46="Stop","Stop",IF(B46="","",IF(COUNTA(D46:M46)&lt;10,"Incomplete",""))))</f>
        <v/>
      </c>
    </row>
    <row r="47" spans="1:14" ht="15.95" customHeight="1">
      <c r="A47" s="66">
        <v>5</v>
      </c>
      <c r="B47" s="63" t="str">
        <f>IF('(5).Promotion Daily'!B47="","",'(5).Promotion Daily'!B47)</f>
        <v/>
      </c>
      <c r="C47" s="67" t="str">
        <f>IF('(5).Promotion Daily'!C47="","",'(5).Promotion Daily'!C47)</f>
        <v/>
      </c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9" t="str">
        <f>IF('(5).Promotion Daily'!AH47="Change","Change",IF('(5).Promotion Daily'!AH47="Stop","Stop",IF(B47="","",IF(COUNTA(D47:M47)&lt;10,"Incomplete",""))))</f>
        <v/>
      </c>
    </row>
    <row r="48" spans="1:14" ht="15.95" customHeight="1">
      <c r="A48" s="66">
        <v>6</v>
      </c>
      <c r="B48" s="63" t="str">
        <f>IF('(5).Promotion Daily'!B48="","",'(5).Promotion Daily'!B48)</f>
        <v/>
      </c>
      <c r="C48" s="67" t="str">
        <f>IF('(5).Promotion Daily'!C48="","",'(5).Promotion Daily'!C48)</f>
        <v/>
      </c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9" t="str">
        <f>IF('(5).Promotion Daily'!AH48="Change","Change",IF('(5).Promotion Daily'!AH48="Stop","Stop",IF(B48="","",IF(COUNTA(D48:M48)&lt;10,"Incomplete",""))))</f>
        <v/>
      </c>
    </row>
    <row r="49" spans="1:14" ht="15.95" customHeight="1">
      <c r="A49" s="66">
        <v>7</v>
      </c>
      <c r="B49" s="63" t="str">
        <f>IF('(5).Promotion Daily'!B49="","",'(5).Promotion Daily'!B49)</f>
        <v/>
      </c>
      <c r="C49" s="67" t="str">
        <f>IF('(5).Promotion Daily'!C49="","",'(5).Promotion Daily'!C49)</f>
        <v/>
      </c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9" t="str">
        <f>IF('(5).Promotion Daily'!AH49="Change","Change",IF('(5).Promotion Daily'!AH49="Stop","Stop",IF(B49="","",IF(COUNTA(D49:M49)&lt;10,"Incomplete",""))))</f>
        <v/>
      </c>
    </row>
    <row r="50" spans="1:14" ht="15.95" customHeight="1">
      <c r="A50" s="66">
        <v>8</v>
      </c>
      <c r="B50" s="63" t="str">
        <f>IF('(5).Promotion Daily'!B50="","",'(5).Promotion Daily'!B50)</f>
        <v/>
      </c>
      <c r="C50" s="67" t="str">
        <f>IF('(5).Promotion Daily'!C50="","",'(5).Promotion Daily'!C50)</f>
        <v/>
      </c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9" t="str">
        <f>IF('(5).Promotion Daily'!AH50="Change","Change",IF('(5).Promotion Daily'!AH50="Stop","Stop",IF(B50="","",IF(COUNTA(D50:M50)&lt;10,"Incomplete",""))))</f>
        <v/>
      </c>
    </row>
    <row r="51" spans="1:14" ht="15.95" customHeight="1">
      <c r="A51" s="66">
        <v>9</v>
      </c>
      <c r="B51" s="63" t="str">
        <f>IF('(5).Promotion Daily'!B51="","",'(5).Promotion Daily'!B51)</f>
        <v/>
      </c>
      <c r="C51" s="67" t="str">
        <f>IF('(5).Promotion Daily'!C51="","",'(5).Promotion Daily'!C51)</f>
        <v/>
      </c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9" t="str">
        <f>IF('(5).Promotion Daily'!AH51="Change","Change",IF('(5).Promotion Daily'!AH51="Stop","Stop",IF(B51="","",IF(COUNTA(D51:M51)&lt;10,"Incomplete",""))))</f>
        <v/>
      </c>
    </row>
    <row r="52" spans="1:14" ht="15.95" customHeight="1">
      <c r="A52" s="66">
        <v>10</v>
      </c>
      <c r="B52" s="63" t="str">
        <f>IF('(5).Promotion Daily'!B52="","",'(5).Promotion Daily'!B52)</f>
        <v/>
      </c>
      <c r="C52" s="67" t="str">
        <f>IF('(5).Promotion Daily'!C52="","",'(5).Promotion Daily'!C52)</f>
        <v/>
      </c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9" t="str">
        <f>IF('(5).Promotion Daily'!AH52="Change","Change",IF('(5).Promotion Daily'!AH52="Stop","Stop",IF(B52="","",IF(COUNTA(D52:M52)&lt;10,"Incomplete",""))))</f>
        <v/>
      </c>
    </row>
    <row r="53" spans="1:14" ht="15.95" customHeight="1">
      <c r="A53" s="66">
        <v>11</v>
      </c>
      <c r="B53" s="63" t="str">
        <f>IF('(5).Promotion Daily'!B53="","",'(5).Promotion Daily'!B53)</f>
        <v/>
      </c>
      <c r="C53" s="67" t="str">
        <f>IF('(5).Promotion Daily'!C53="","",'(5).Promotion Daily'!C53)</f>
        <v/>
      </c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9" t="str">
        <f>IF('(5).Promotion Daily'!AH53="Change","Change",IF('(5).Promotion Daily'!AH53="Stop","Stop",IF(B53="","",IF(COUNTA(D53:M53)&lt;10,"Incomplete",""))))</f>
        <v/>
      </c>
    </row>
    <row r="54" spans="1:14" ht="15.95" customHeight="1">
      <c r="A54" s="66">
        <v>12</v>
      </c>
      <c r="B54" s="63" t="str">
        <f>IF('(5).Promotion Daily'!B54="","",'(5).Promotion Daily'!B54)</f>
        <v/>
      </c>
      <c r="C54" s="67" t="str">
        <f>IF('(5).Promotion Daily'!C54="","",'(5).Promotion Daily'!C54)</f>
        <v/>
      </c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9" t="str">
        <f>IF('(5).Promotion Daily'!AH54="Change","Change",IF('(5).Promotion Daily'!AH54="Stop","Stop",IF(B54="","",IF(COUNTA(D54:M54)&lt;10,"Incomplete",""))))</f>
        <v/>
      </c>
    </row>
    <row r="55" spans="1:14" ht="15.95" customHeight="1">
      <c r="A55" s="66">
        <v>13</v>
      </c>
      <c r="B55" s="63" t="str">
        <f>IF('(5).Promotion Daily'!B55="","",'(5).Promotion Daily'!B55)</f>
        <v/>
      </c>
      <c r="C55" s="67" t="str">
        <f>IF('(5).Promotion Daily'!C55="","",'(5).Promotion Daily'!C55)</f>
        <v/>
      </c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9" t="str">
        <f>IF('(5).Promotion Daily'!AH55="Change","Change",IF('(5).Promotion Daily'!AH55="Stop","Stop",IF(B55="","",IF(COUNTA(D55:M55)&lt;10,"Incomplete",""))))</f>
        <v/>
      </c>
    </row>
    <row r="56" spans="1:14" ht="15.95" customHeight="1">
      <c r="A56" s="66">
        <v>14</v>
      </c>
      <c r="B56" s="63" t="str">
        <f>IF('(5).Promotion Daily'!B56="","",'(5).Promotion Daily'!B56)</f>
        <v/>
      </c>
      <c r="C56" s="67" t="str">
        <f>IF('(5).Promotion Daily'!C56="","",'(5).Promotion Daily'!C56)</f>
        <v/>
      </c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9" t="str">
        <f>IF('(5).Promotion Daily'!AH56="Change","Change",IF('(5).Promotion Daily'!AH56="Stop","Stop",IF(B56="","",IF(COUNTA(D56:M56)&lt;10,"Incomplete",""))))</f>
        <v/>
      </c>
    </row>
    <row r="57" spans="1:14" ht="15.95" customHeight="1">
      <c r="A57" s="66">
        <v>15</v>
      </c>
      <c r="B57" s="63" t="str">
        <f>IF('(5).Promotion Daily'!B57="","",'(5).Promotion Daily'!B57)</f>
        <v/>
      </c>
      <c r="C57" s="67" t="str">
        <f>IF('(5).Promotion Daily'!C57="","",'(5).Promotion Daily'!C57)</f>
        <v/>
      </c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9" t="str">
        <f>IF('(5).Promotion Daily'!AH57="Change","Change",IF('(5).Promotion Daily'!AH57="Stop","Stop",IF(B57="","",IF(COUNTA(D57:M57)&lt;10,"Incomplete",""))))</f>
        <v/>
      </c>
    </row>
    <row r="58" spans="1:14" ht="15.95" customHeight="1">
      <c r="A58" s="66">
        <v>16</v>
      </c>
      <c r="B58" s="63" t="str">
        <f>IF('(5).Promotion Daily'!B58="","",'(5).Promotion Daily'!B58)</f>
        <v/>
      </c>
      <c r="C58" s="67" t="str">
        <f>IF('(5).Promotion Daily'!C58="","",'(5).Promotion Daily'!C58)</f>
        <v/>
      </c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9" t="str">
        <f>IF('(5).Promotion Daily'!AH58="Change","Change",IF('(5).Promotion Daily'!AH58="Stop","Stop",IF(B58="","",IF(COUNTA(D58:M58)&lt;10,"Incomplete",""))))</f>
        <v/>
      </c>
    </row>
    <row r="59" spans="1:14" ht="15.95" customHeight="1">
      <c r="A59" s="66">
        <v>17</v>
      </c>
      <c r="B59" s="63" t="str">
        <f>IF('(5).Promotion Daily'!B59="","",'(5).Promotion Daily'!B59)</f>
        <v/>
      </c>
      <c r="C59" s="67" t="str">
        <f>IF('(5).Promotion Daily'!C59="","",'(5).Promotion Daily'!C59)</f>
        <v/>
      </c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9" t="str">
        <f>IF('(5).Promotion Daily'!AH59="Change","Change",IF('(5).Promotion Daily'!AH59="Stop","Stop",IF(B59="","",IF(COUNTA(D59:M59)&lt;10,"Incomplete",""))))</f>
        <v/>
      </c>
    </row>
    <row r="60" spans="1:14" ht="15.95" customHeight="1">
      <c r="A60" s="66">
        <v>18</v>
      </c>
      <c r="B60" s="63" t="str">
        <f>IF('(5).Promotion Daily'!B60="","",'(5).Promotion Daily'!B60)</f>
        <v/>
      </c>
      <c r="C60" s="67" t="str">
        <f>IF('(5).Promotion Daily'!C60="","",'(5).Promotion Daily'!C60)</f>
        <v/>
      </c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9" t="str">
        <f>IF('(5).Promotion Daily'!AH60="Change","Change",IF('(5).Promotion Daily'!AH60="Stop","Stop",IF(B60="","",IF(COUNTA(D60:M60)&lt;10,"Incomplete",""))))</f>
        <v/>
      </c>
    </row>
    <row r="61" spans="1:14" ht="15.95" customHeight="1">
      <c r="A61" s="66">
        <v>19</v>
      </c>
      <c r="B61" s="63" t="str">
        <f>IF('(5).Promotion Daily'!B61="","",'(5).Promotion Daily'!B61)</f>
        <v/>
      </c>
      <c r="C61" s="67" t="str">
        <f>IF('(5).Promotion Daily'!C61="","",'(5).Promotion Daily'!C61)</f>
        <v/>
      </c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9" t="str">
        <f>IF('(5).Promotion Daily'!AH61="Change","Change",IF('(5).Promotion Daily'!AH61="Stop","Stop",IF(B61="","",IF(COUNTA(D61:M61)&lt;10,"Incomplete",""))))</f>
        <v/>
      </c>
    </row>
    <row r="62" spans="1:14" ht="15.95" customHeight="1">
      <c r="A62" s="66">
        <v>20</v>
      </c>
      <c r="B62" s="63" t="str">
        <f>IF('(5).Promotion Daily'!B62="","",'(5).Promotion Daily'!B62)</f>
        <v/>
      </c>
      <c r="C62" s="67" t="str">
        <f>IF('(5).Promotion Daily'!C62="","",'(5).Promotion Daily'!C62)</f>
        <v/>
      </c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9" t="str">
        <f>IF('(5).Promotion Daily'!AH62="Change","Change",IF('(5).Promotion Daily'!AH62="Stop","Stop",IF(B62="","",IF(COUNTA(D62:M62)&lt;10,"Incomplete",""))))</f>
        <v/>
      </c>
    </row>
    <row r="63" spans="1:14" ht="15.95" customHeight="1">
      <c r="A63" s="66">
        <v>21</v>
      </c>
      <c r="B63" s="63" t="str">
        <f>IF('(5).Promotion Daily'!B63="","",'(5).Promotion Daily'!B63)</f>
        <v/>
      </c>
      <c r="C63" s="67" t="str">
        <f>IF('(5).Promotion Daily'!C63="","",'(5).Promotion Daily'!C63)</f>
        <v/>
      </c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9" t="str">
        <f>IF('(5).Promotion Daily'!AH63="Change","Change",IF('(5).Promotion Daily'!AH63="Stop","Stop",IF(B63="","",IF(COUNTA(D63:M63)&lt;10,"Incomplete",""))))</f>
        <v/>
      </c>
    </row>
    <row r="64" spans="1:14" ht="15.95" customHeight="1">
      <c r="A64" s="66">
        <v>22</v>
      </c>
      <c r="B64" s="63" t="str">
        <f>IF('(5).Promotion Daily'!B64="","",'(5).Promotion Daily'!B64)</f>
        <v/>
      </c>
      <c r="C64" s="67" t="str">
        <f>IF('(5).Promotion Daily'!C64="","",'(5).Promotion Daily'!C64)</f>
        <v/>
      </c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9" t="str">
        <f>IF('(5).Promotion Daily'!AH64="Change","Change",IF('(5).Promotion Daily'!AH64="Stop","Stop",IF(B64="","",IF(COUNTA(D64:M64)&lt;10,"Incomplete",""))))</f>
        <v/>
      </c>
    </row>
    <row r="65" spans="1:14" ht="15.95" customHeight="1">
      <c r="A65" s="66">
        <v>23</v>
      </c>
      <c r="B65" s="63" t="str">
        <f>IF('(5).Promotion Daily'!B65="","",'(5).Promotion Daily'!B65)</f>
        <v/>
      </c>
      <c r="C65" s="67" t="str">
        <f>IF('(5).Promotion Daily'!C65="","",'(5).Promotion Daily'!C65)</f>
        <v/>
      </c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9" t="str">
        <f>IF('(5).Promotion Daily'!AH65="Change","Change",IF('(5).Promotion Daily'!AH65="Stop","Stop",IF(B65="","",IF(COUNTA(D65:M65)&lt;10,"Incomplete",""))))</f>
        <v/>
      </c>
    </row>
    <row r="66" spans="1:14" ht="15.95" customHeight="1">
      <c r="A66" s="66">
        <v>24</v>
      </c>
      <c r="B66" s="63" t="str">
        <f>IF('(5).Promotion Daily'!B66="","",'(5).Promotion Daily'!B66)</f>
        <v/>
      </c>
      <c r="C66" s="67" t="str">
        <f>IF('(5).Promotion Daily'!C66="","",'(5).Promotion Daily'!C66)</f>
        <v/>
      </c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9" t="str">
        <f>IF('(5).Promotion Daily'!AH66="Change","Change",IF('(5).Promotion Daily'!AH66="Stop","Stop",IF(B66="","",IF(COUNTA(D66:M66)&lt;10,"Incomplete",""))))</f>
        <v/>
      </c>
    </row>
    <row r="67" spans="1:14" ht="15.95" customHeight="1">
      <c r="A67" s="66">
        <v>25</v>
      </c>
      <c r="B67" s="63" t="str">
        <f>IF('(5).Promotion Daily'!B67="","",'(5).Promotion Daily'!B67)</f>
        <v/>
      </c>
      <c r="C67" s="67" t="str">
        <f>IF('(5).Promotion Daily'!C67="","",'(5).Promotion Daily'!C67)</f>
        <v/>
      </c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9" t="str">
        <f>IF('(5).Promotion Daily'!AH67="Change","Change",IF('(5).Promotion Daily'!AH67="Stop","Stop",IF(B67="","",IF(COUNTA(D67:M67)&lt;10,"Incomplete",""))))</f>
        <v/>
      </c>
    </row>
    <row r="68" spans="1:14" ht="15.95" customHeight="1">
      <c r="A68" s="66">
        <v>26</v>
      </c>
      <c r="B68" s="63" t="str">
        <f>IF('(5).Promotion Daily'!B68="","",'(5).Promotion Daily'!B68)</f>
        <v/>
      </c>
      <c r="C68" s="67" t="str">
        <f>IF('(5).Promotion Daily'!C68="","",'(5).Promotion Daily'!C68)</f>
        <v/>
      </c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9" t="str">
        <f>IF('(5).Promotion Daily'!AH68="Change","Change",IF('(5).Promotion Daily'!AH68="Stop","Stop",IF(B68="","",IF(COUNTA(D68:M68)&lt;10,"Incomplete",""))))</f>
        <v/>
      </c>
    </row>
    <row r="69" spans="1:14" ht="15.95" customHeight="1">
      <c r="A69" s="66">
        <v>27</v>
      </c>
      <c r="B69" s="63" t="str">
        <f>IF('(5).Promotion Daily'!B69="","",'(5).Promotion Daily'!B69)</f>
        <v/>
      </c>
      <c r="C69" s="67" t="str">
        <f>IF('(5).Promotion Daily'!C69="","",'(5).Promotion Daily'!C69)</f>
        <v/>
      </c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9" t="str">
        <f>IF('(5).Promotion Daily'!AH69="Change","Change",IF('(5).Promotion Daily'!AH69="Stop","Stop",IF(B69="","",IF(COUNTA(D69:M69)&lt;10,"Incomplete",""))))</f>
        <v/>
      </c>
    </row>
    <row r="70" spans="1:14" ht="15.95" customHeight="1">
      <c r="A70" s="66">
        <v>28</v>
      </c>
      <c r="B70" s="63" t="str">
        <f>IF('(5).Promotion Daily'!B70="","",'(5).Promotion Daily'!B70)</f>
        <v/>
      </c>
      <c r="C70" s="67" t="str">
        <f>IF('(5).Promotion Daily'!C70="","",'(5).Promotion Daily'!C70)</f>
        <v/>
      </c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9" t="str">
        <f>IF('(5).Promotion Daily'!AH70="Change","Change",IF('(5).Promotion Daily'!AH70="Stop","Stop",IF(B70="","",IF(COUNTA(D70:M70)&lt;10,"Incomplete",""))))</f>
        <v/>
      </c>
    </row>
    <row r="71" spans="1:14" ht="15.95" customHeight="1">
      <c r="A71" s="66">
        <v>29</v>
      </c>
      <c r="B71" s="63" t="str">
        <f>IF('(5).Promotion Daily'!B71="","",'(5).Promotion Daily'!B71)</f>
        <v/>
      </c>
      <c r="C71" s="67" t="str">
        <f>IF('(5).Promotion Daily'!C71="","",'(5).Promotion Daily'!C71)</f>
        <v/>
      </c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9" t="str">
        <f>IF('(5).Promotion Daily'!AH71="Change","Change",IF('(5).Promotion Daily'!AH71="Stop","Stop",IF(B71="","",IF(COUNTA(D71:M71)&lt;10,"Incomplete",""))))</f>
        <v/>
      </c>
    </row>
    <row r="72" spans="1:14" ht="15.95" customHeight="1">
      <c r="A72" s="66">
        <v>30</v>
      </c>
      <c r="B72" s="63" t="str">
        <f>IF('(5).Promotion Daily'!B72="","",'(5).Promotion Daily'!B72)</f>
        <v/>
      </c>
      <c r="C72" s="67" t="str">
        <f>IF('(5).Promotion Daily'!C72="","",'(5).Promotion Daily'!C72)</f>
        <v/>
      </c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9" t="str">
        <f>IF('(5).Promotion Daily'!AH72="Change","Change",IF('(5).Promotion Daily'!AH72="Stop","Stop",IF(B72="","",IF(COUNTA(D72:M72)&lt;10,"Incomplete",""))))</f>
        <v/>
      </c>
    </row>
    <row r="73" spans="1:14" ht="15.95" customHeight="1">
      <c r="A73" s="18" t="s">
        <v>0</v>
      </c>
      <c r="B73" s="19">
        <f>'(5).Promotion Daily'!B73</f>
        <v>0</v>
      </c>
      <c r="C73" s="60"/>
      <c r="D73" s="222" t="s">
        <v>120</v>
      </c>
      <c r="E73" s="222"/>
      <c r="F73" s="222"/>
      <c r="G73" s="222"/>
      <c r="H73" s="222"/>
      <c r="I73" s="222"/>
      <c r="J73" s="222"/>
      <c r="K73" s="222"/>
      <c r="L73" s="222"/>
      <c r="M73" s="222"/>
      <c r="N73" s="222"/>
    </row>
    <row r="74" spans="1:14" ht="15.95" customHeight="1">
      <c r="A74" s="18" t="s">
        <v>1</v>
      </c>
      <c r="B74" s="19">
        <f>'(5).Promotion Daily'!B74</f>
        <v>0</v>
      </c>
      <c r="C74" s="60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</row>
    <row r="75" spans="1:14" ht="15.95" customHeight="1">
      <c r="A75" s="18" t="s">
        <v>2</v>
      </c>
      <c r="B75" s="19">
        <f>'(5).Promotion Daily'!B75</f>
        <v>0</v>
      </c>
      <c r="C75" s="60"/>
      <c r="D75" s="223" t="str">
        <f>'(5).Promotion Daily'!D75</f>
        <v>FEBRUARY - JULY 2026</v>
      </c>
      <c r="E75" s="223"/>
      <c r="F75" s="223"/>
      <c r="G75" s="223"/>
      <c r="H75" s="223"/>
      <c r="I75" s="223"/>
      <c r="J75" s="223"/>
      <c r="K75" s="223"/>
      <c r="L75" s="223"/>
      <c r="M75" s="223"/>
      <c r="N75" s="223"/>
    </row>
    <row r="76" spans="1:14" ht="15.95" customHeight="1">
      <c r="A76" s="18" t="s">
        <v>3</v>
      </c>
      <c r="B76" s="19">
        <f>'(5).Promotion Daily'!B76</f>
        <v>0</v>
      </c>
      <c r="C76" s="60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</row>
    <row r="77" spans="1:14" ht="15.95" customHeight="1">
      <c r="A77" s="18" t="s">
        <v>4</v>
      </c>
      <c r="B77" s="19">
        <f>'(5).Promotion Daily'!B77</f>
        <v>0</v>
      </c>
      <c r="C77" s="61"/>
      <c r="D77" s="91" t="str">
        <f>IF(OR($B74="K5",$B74="K6",$B74="K7",$B74="K8",$B74="K9",$B74="K10"),"Listening","Up-Low C")</f>
        <v>Up-Low C</v>
      </c>
      <c r="E77" s="91" t="str">
        <f>IF(OR($B74="K5",$B74="K6",$B74="K7",$B74="K8",$B74="K9",$B74="K10"),"Speaking","Alphabet N")</f>
        <v>Alphabet N</v>
      </c>
      <c r="F77" s="91" t="str">
        <f>IF(OR($B74="K5",$B74="K6",$B74="K7",$B74="K8",$B74="K9",$B74="K10"),"Reading","Alphabet S")</f>
        <v>Alphabet S</v>
      </c>
      <c r="G77" s="91" t="str">
        <f>IF(OR($B74="K5",$B74="K6",$B74="K7",$B74="K8",$B74="K9",$B74="K10"),"Writing","Vocabulary")</f>
        <v>Vocabulary</v>
      </c>
      <c r="H77" s="91" t="str">
        <f>IF(OR($B74="K5",$B74="K6",$B74="K7",$B74="K8",$B74="K9",$B74="K10"),"Grammar","Sprouts")</f>
        <v>Sprouts</v>
      </c>
      <c r="I77" s="91" t="str">
        <f>IF(OR($B74="K5",$B74="K6",$B74="K7",$B74="K8",$B74="K9",$B74="K10"),"Vocabulary","Phonics")</f>
        <v>Phonics</v>
      </c>
      <c r="J77" s="91" t="str">
        <f>IF(OR($B74="K5",$B74="K6",$B74="K7",$B74="K8",$B74="K9",$B74="K10"),"Roots","Math")</f>
        <v>Math</v>
      </c>
      <c r="K77" s="91" t="str">
        <f>IF(OR($B74="K5",$B74="K6",$B74="K7",$B74="K8",$B74="K9",$B74="K10"),"Phonics","Shape")</f>
        <v>Shape</v>
      </c>
      <c r="L77" s="91" t="str">
        <f>IF(OR($B74="K5",$B74="K6",$B74="K7",$B74="K8",$B74="K9",$B74="K10"),"Math","Science")</f>
        <v>Science</v>
      </c>
      <c r="M77" s="91" t="str">
        <f>IF(OR($B74="K5",$B74="K6",$B74="K7",$B74="K8",$B74="K9",$B74="K10"),"Science","Tracing")</f>
        <v>Tracing</v>
      </c>
      <c r="N77" s="90" t="s">
        <v>12</v>
      </c>
    </row>
    <row r="78" spans="1:14" ht="15.95" customHeight="1" thickBot="1">
      <c r="A78" s="80" t="s">
        <v>5</v>
      </c>
      <c r="B78" s="74" t="s">
        <v>6</v>
      </c>
      <c r="C78" s="81" t="s">
        <v>7</v>
      </c>
      <c r="D78" s="76" t="s">
        <v>9</v>
      </c>
      <c r="E78" s="76" t="s">
        <v>9</v>
      </c>
      <c r="F78" s="76" t="s">
        <v>9</v>
      </c>
      <c r="G78" s="76" t="s">
        <v>9</v>
      </c>
      <c r="H78" s="76" t="s">
        <v>9</v>
      </c>
      <c r="I78" s="76" t="s">
        <v>9</v>
      </c>
      <c r="J78" s="76" t="s">
        <v>9</v>
      </c>
      <c r="K78" s="76" t="s">
        <v>9</v>
      </c>
      <c r="L78" s="76" t="s">
        <v>9</v>
      </c>
      <c r="M78" s="76" t="s">
        <v>9</v>
      </c>
      <c r="N78" s="77" t="s">
        <v>13</v>
      </c>
    </row>
    <row r="79" spans="1:14" ht="15.95" customHeight="1">
      <c r="A79" s="78">
        <v>1</v>
      </c>
      <c r="B79" s="68" t="str">
        <f>IF('(5).Promotion Daily'!B79="","",'(5).Promotion Daily'!B79)</f>
        <v/>
      </c>
      <c r="C79" s="79" t="str">
        <f>IF('(5).Promotion Daily'!C79="","",'(5).Promotion Daily'!C79)</f>
        <v/>
      </c>
      <c r="D79" s="69"/>
      <c r="E79" s="70"/>
      <c r="F79" s="70"/>
      <c r="G79" s="70"/>
      <c r="H79" s="70"/>
      <c r="I79" s="70"/>
      <c r="J79" s="70"/>
      <c r="K79" s="70"/>
      <c r="L79" s="70"/>
      <c r="M79" s="70"/>
      <c r="N79" s="71" t="str">
        <f>IF('(5).Promotion Daily'!AH79="Change","Change",IF('(5).Promotion Daily'!AH79="Stop","Stop",IF(B79="","",IF(COUNTA(D79:M79)&lt;10,"Incomplete",""))))</f>
        <v/>
      </c>
    </row>
    <row r="80" spans="1:14" ht="15.95" customHeight="1">
      <c r="A80" s="66">
        <v>2</v>
      </c>
      <c r="B80" s="63" t="str">
        <f>IF('(5).Promotion Daily'!B80="","",'(5).Promotion Daily'!B80)</f>
        <v/>
      </c>
      <c r="C80" s="67" t="str">
        <f>IF('(5).Promotion Daily'!C80="","",'(5).Promotion Daily'!C80)</f>
        <v/>
      </c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9" t="str">
        <f>IF('(5).Promotion Daily'!AH80="Change","Change",IF('(5).Promotion Daily'!AH80="Stop","Stop",IF(B80="","",IF(COUNTA(D80:M80)&lt;10,"Incomplete",""))))</f>
        <v/>
      </c>
    </row>
    <row r="81" spans="1:14" ht="15.95" customHeight="1">
      <c r="A81" s="66">
        <v>3</v>
      </c>
      <c r="B81" s="63" t="str">
        <f>IF('(5).Promotion Daily'!B81="","",'(5).Promotion Daily'!B81)</f>
        <v/>
      </c>
      <c r="C81" s="67" t="str">
        <f>IF('(5).Promotion Daily'!C81="","",'(5).Promotion Daily'!C81)</f>
        <v/>
      </c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9" t="str">
        <f>IF('(5).Promotion Daily'!AH81="Change","Change",IF('(5).Promotion Daily'!AH81="Stop","Stop",IF(B81="","",IF(COUNTA(D81:M81)&lt;10,"Incomplete",""))))</f>
        <v/>
      </c>
    </row>
    <row r="82" spans="1:14" ht="15.95" customHeight="1">
      <c r="A82" s="66">
        <v>4</v>
      </c>
      <c r="B82" s="63" t="str">
        <f>IF('(5).Promotion Daily'!B82="","",'(5).Promotion Daily'!B82)</f>
        <v/>
      </c>
      <c r="C82" s="67" t="str">
        <f>IF('(5).Promotion Daily'!C82="","",'(5).Promotion Daily'!C82)</f>
        <v/>
      </c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9" t="str">
        <f>IF('(5).Promotion Daily'!AH82="Change","Change",IF('(5).Promotion Daily'!AH82="Stop","Stop",IF(B82="","",IF(COUNTA(D82:M82)&lt;10,"Incomplete",""))))</f>
        <v/>
      </c>
    </row>
    <row r="83" spans="1:14" ht="15.95" customHeight="1">
      <c r="A83" s="66">
        <v>5</v>
      </c>
      <c r="B83" s="63" t="str">
        <f>IF('(5).Promotion Daily'!B83="","",'(5).Promotion Daily'!B83)</f>
        <v/>
      </c>
      <c r="C83" s="67" t="str">
        <f>IF('(5).Promotion Daily'!C83="","",'(5).Promotion Daily'!C83)</f>
        <v/>
      </c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9" t="str">
        <f>IF('(5).Promotion Daily'!AH83="Change","Change",IF('(5).Promotion Daily'!AH83="Stop","Stop",IF(B83="","",IF(COUNTA(D83:M83)&lt;10,"Incomplete",""))))</f>
        <v/>
      </c>
    </row>
    <row r="84" spans="1:14" ht="15.95" customHeight="1">
      <c r="A84" s="66">
        <v>6</v>
      </c>
      <c r="B84" s="63" t="str">
        <f>IF('(5).Promotion Daily'!B84="","",'(5).Promotion Daily'!B84)</f>
        <v/>
      </c>
      <c r="C84" s="67" t="str">
        <f>IF('(5).Promotion Daily'!C84="","",'(5).Promotion Daily'!C84)</f>
        <v/>
      </c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9" t="str">
        <f>IF('(5).Promotion Daily'!AH84="Change","Change",IF('(5).Promotion Daily'!AH84="Stop","Stop",IF(B84="","",IF(COUNTA(D84:M84)&lt;10,"Incomplete",""))))</f>
        <v/>
      </c>
    </row>
    <row r="85" spans="1:14" ht="15.95" customHeight="1">
      <c r="A85" s="66">
        <v>7</v>
      </c>
      <c r="B85" s="63" t="str">
        <f>IF('(5).Promotion Daily'!B85="","",'(5).Promotion Daily'!B85)</f>
        <v/>
      </c>
      <c r="C85" s="67" t="str">
        <f>IF('(5).Promotion Daily'!C85="","",'(5).Promotion Daily'!C85)</f>
        <v/>
      </c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9" t="str">
        <f>IF('(5).Promotion Daily'!AH85="Change","Change",IF('(5).Promotion Daily'!AH85="Stop","Stop",IF(B85="","",IF(COUNTA(D85:M85)&lt;10,"Incomplete",""))))</f>
        <v/>
      </c>
    </row>
    <row r="86" spans="1:14" ht="15.95" customHeight="1">
      <c r="A86" s="66">
        <v>8</v>
      </c>
      <c r="B86" s="63" t="str">
        <f>IF('(5).Promotion Daily'!B86="","",'(5).Promotion Daily'!B86)</f>
        <v/>
      </c>
      <c r="C86" s="67" t="str">
        <f>IF('(5).Promotion Daily'!C86="","",'(5).Promotion Daily'!C86)</f>
        <v/>
      </c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9" t="str">
        <f>IF('(5).Promotion Daily'!AH86="Change","Change",IF('(5).Promotion Daily'!AH86="Stop","Stop",IF(B86="","",IF(COUNTA(D86:M86)&lt;10,"Incomplete",""))))</f>
        <v/>
      </c>
    </row>
    <row r="87" spans="1:14" ht="15.95" customHeight="1">
      <c r="A87" s="66">
        <v>9</v>
      </c>
      <c r="B87" s="63" t="str">
        <f>IF('(5).Promotion Daily'!B87="","",'(5).Promotion Daily'!B87)</f>
        <v/>
      </c>
      <c r="C87" s="67" t="str">
        <f>IF('(5).Promotion Daily'!C87="","",'(5).Promotion Daily'!C87)</f>
        <v/>
      </c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9" t="str">
        <f>IF('(5).Promotion Daily'!AH87="Change","Change",IF('(5).Promotion Daily'!AH87="Stop","Stop",IF(B87="","",IF(COUNTA(D87:M87)&lt;10,"Incomplete",""))))</f>
        <v/>
      </c>
    </row>
    <row r="88" spans="1:14" ht="15.95" customHeight="1">
      <c r="A88" s="66">
        <v>10</v>
      </c>
      <c r="B88" s="63" t="str">
        <f>IF('(5).Promotion Daily'!B88="","",'(5).Promotion Daily'!B88)</f>
        <v/>
      </c>
      <c r="C88" s="67" t="str">
        <f>IF('(5).Promotion Daily'!C88="","",'(5).Promotion Daily'!C88)</f>
        <v/>
      </c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9" t="str">
        <f>IF('(5).Promotion Daily'!AH88="Change","Change",IF('(5).Promotion Daily'!AH88="Stop","Stop",IF(B88="","",IF(COUNTA(D88:M88)&lt;10,"Incomplete",""))))</f>
        <v/>
      </c>
    </row>
    <row r="89" spans="1:14" ht="15.95" customHeight="1">
      <c r="A89" s="66">
        <v>11</v>
      </c>
      <c r="B89" s="63" t="str">
        <f>IF('(5).Promotion Daily'!B89="","",'(5).Promotion Daily'!B89)</f>
        <v/>
      </c>
      <c r="C89" s="67" t="str">
        <f>IF('(5).Promotion Daily'!C89="","",'(5).Promotion Daily'!C89)</f>
        <v/>
      </c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9" t="str">
        <f>IF('(5).Promotion Daily'!AH89="Change","Change",IF('(5).Promotion Daily'!AH89="Stop","Stop",IF(B89="","",IF(COUNTA(D89:M89)&lt;10,"Incomplete",""))))</f>
        <v/>
      </c>
    </row>
    <row r="90" spans="1:14" ht="15.95" customHeight="1">
      <c r="A90" s="66">
        <v>12</v>
      </c>
      <c r="B90" s="63" t="str">
        <f>IF('(5).Promotion Daily'!B90="","",'(5).Promotion Daily'!B90)</f>
        <v/>
      </c>
      <c r="C90" s="67" t="str">
        <f>IF('(5).Promotion Daily'!C90="","",'(5).Promotion Daily'!C90)</f>
        <v/>
      </c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9" t="str">
        <f>IF('(5).Promotion Daily'!AH90="Change","Change",IF('(5).Promotion Daily'!AH90="Stop","Stop",IF(B90="","",IF(COUNTA(D90:M90)&lt;10,"Incomplete",""))))</f>
        <v/>
      </c>
    </row>
    <row r="91" spans="1:14" ht="15.95" customHeight="1">
      <c r="A91" s="66">
        <v>13</v>
      </c>
      <c r="B91" s="63" t="str">
        <f>IF('(5).Promotion Daily'!B91="","",'(5).Promotion Daily'!B91)</f>
        <v/>
      </c>
      <c r="C91" s="67" t="str">
        <f>IF('(5).Promotion Daily'!C91="","",'(5).Promotion Daily'!C91)</f>
        <v/>
      </c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9" t="str">
        <f>IF('(5).Promotion Daily'!AH91="Change","Change",IF('(5).Promotion Daily'!AH91="Stop","Stop",IF(B91="","",IF(COUNTA(D91:M91)&lt;10,"Incomplete",""))))</f>
        <v/>
      </c>
    </row>
    <row r="92" spans="1:14" ht="15.95" customHeight="1">
      <c r="A92" s="66">
        <v>14</v>
      </c>
      <c r="B92" s="63" t="str">
        <f>IF('(5).Promotion Daily'!B92="","",'(5).Promotion Daily'!B92)</f>
        <v/>
      </c>
      <c r="C92" s="67" t="str">
        <f>IF('(5).Promotion Daily'!C92="","",'(5).Promotion Daily'!C92)</f>
        <v/>
      </c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9" t="str">
        <f>IF('(5).Promotion Daily'!AH92="Change","Change",IF('(5).Promotion Daily'!AH92="Stop","Stop",IF(B92="","",IF(COUNTA(D92:M92)&lt;10,"Incomplete",""))))</f>
        <v/>
      </c>
    </row>
    <row r="93" spans="1:14" ht="15.95" customHeight="1">
      <c r="A93" s="66">
        <v>15</v>
      </c>
      <c r="B93" s="63" t="str">
        <f>IF('(5).Promotion Daily'!B93="","",'(5).Promotion Daily'!B93)</f>
        <v/>
      </c>
      <c r="C93" s="67" t="str">
        <f>IF('(5).Promotion Daily'!C93="","",'(5).Promotion Daily'!C93)</f>
        <v/>
      </c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9" t="str">
        <f>IF('(5).Promotion Daily'!AH93="Change","Change",IF('(5).Promotion Daily'!AH93="Stop","Stop",IF(B93="","",IF(COUNTA(D93:M93)&lt;10,"Incomplete",""))))</f>
        <v/>
      </c>
    </row>
    <row r="94" spans="1:14" ht="15.95" customHeight="1">
      <c r="A94" s="66">
        <v>16</v>
      </c>
      <c r="B94" s="63" t="str">
        <f>IF('(5).Promotion Daily'!B94="","",'(5).Promotion Daily'!B94)</f>
        <v/>
      </c>
      <c r="C94" s="67" t="str">
        <f>IF('(5).Promotion Daily'!C94="","",'(5).Promotion Daily'!C94)</f>
        <v/>
      </c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9" t="str">
        <f>IF('(5).Promotion Daily'!AH94="Change","Change",IF('(5).Promotion Daily'!AH94="Stop","Stop",IF(B94="","",IF(COUNTA(D94:M94)&lt;10,"Incomplete",""))))</f>
        <v/>
      </c>
    </row>
    <row r="95" spans="1:14" ht="15.95" customHeight="1">
      <c r="A95" s="66">
        <v>17</v>
      </c>
      <c r="B95" s="63" t="str">
        <f>IF('(5).Promotion Daily'!B95="","",'(5).Promotion Daily'!B95)</f>
        <v/>
      </c>
      <c r="C95" s="67" t="str">
        <f>IF('(5).Promotion Daily'!C95="","",'(5).Promotion Daily'!C95)</f>
        <v/>
      </c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9" t="str">
        <f>IF('(5).Promotion Daily'!AH95="Change","Change",IF('(5).Promotion Daily'!AH95="Stop","Stop",IF(B95="","",IF(COUNTA(D95:M95)&lt;10,"Incomplete",""))))</f>
        <v/>
      </c>
    </row>
    <row r="96" spans="1:14" ht="15.95" customHeight="1">
      <c r="A96" s="66">
        <v>18</v>
      </c>
      <c r="B96" s="63" t="str">
        <f>IF('(5).Promotion Daily'!B96="","",'(5).Promotion Daily'!B96)</f>
        <v/>
      </c>
      <c r="C96" s="67" t="str">
        <f>IF('(5).Promotion Daily'!C96="","",'(5).Promotion Daily'!C96)</f>
        <v/>
      </c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9" t="str">
        <f>IF('(5).Promotion Daily'!AH96="Change","Change",IF('(5).Promotion Daily'!AH96="Stop","Stop",IF(B96="","",IF(COUNTA(D96:M96)&lt;10,"Incomplete",""))))</f>
        <v/>
      </c>
    </row>
    <row r="97" spans="1:14" ht="15.95" customHeight="1">
      <c r="A97" s="66">
        <v>19</v>
      </c>
      <c r="B97" s="63" t="str">
        <f>IF('(5).Promotion Daily'!B97="","",'(5).Promotion Daily'!B97)</f>
        <v/>
      </c>
      <c r="C97" s="67" t="str">
        <f>IF('(5).Promotion Daily'!C97="","",'(5).Promotion Daily'!C97)</f>
        <v/>
      </c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9" t="str">
        <f>IF('(5).Promotion Daily'!AH97="Change","Change",IF('(5).Promotion Daily'!AH97="Stop","Stop",IF(B97="","",IF(COUNTA(D97:M97)&lt;10,"Incomplete",""))))</f>
        <v/>
      </c>
    </row>
    <row r="98" spans="1:14" ht="15.95" customHeight="1">
      <c r="A98" s="66">
        <v>20</v>
      </c>
      <c r="B98" s="63" t="str">
        <f>IF('(5).Promotion Daily'!B98="","",'(5).Promotion Daily'!B98)</f>
        <v/>
      </c>
      <c r="C98" s="67" t="str">
        <f>IF('(5).Promotion Daily'!C98="","",'(5).Promotion Daily'!C98)</f>
        <v/>
      </c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9" t="str">
        <f>IF('(5).Promotion Daily'!AH98="Change","Change",IF('(5).Promotion Daily'!AH98="Stop","Stop",IF(B98="","",IF(COUNTA(D98:M98)&lt;10,"Incomplete",""))))</f>
        <v/>
      </c>
    </row>
    <row r="99" spans="1:14" ht="15.95" customHeight="1">
      <c r="A99" s="66">
        <v>21</v>
      </c>
      <c r="B99" s="63" t="str">
        <f>IF('(5).Promotion Daily'!B99="","",'(5).Promotion Daily'!B99)</f>
        <v/>
      </c>
      <c r="C99" s="67" t="str">
        <f>IF('(5).Promotion Daily'!C99="","",'(5).Promotion Daily'!C99)</f>
        <v/>
      </c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9" t="str">
        <f>IF('(5).Promotion Daily'!AH99="Change","Change",IF('(5).Promotion Daily'!AH99="Stop","Stop",IF(B99="","",IF(COUNTA(D99:M99)&lt;10,"Incomplete",""))))</f>
        <v/>
      </c>
    </row>
    <row r="100" spans="1:14" ht="15.95" customHeight="1">
      <c r="A100" s="66">
        <v>22</v>
      </c>
      <c r="B100" s="63" t="str">
        <f>IF('(5).Promotion Daily'!B100="","",'(5).Promotion Daily'!B100)</f>
        <v/>
      </c>
      <c r="C100" s="67" t="str">
        <f>IF('(5).Promotion Daily'!C100="","",'(5).Promotion Daily'!C100)</f>
        <v/>
      </c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9" t="str">
        <f>IF('(5).Promotion Daily'!AH100="Change","Change",IF('(5).Promotion Daily'!AH100="Stop","Stop",IF(B100="","",IF(COUNTA(D100:M100)&lt;10,"Incomplete",""))))</f>
        <v/>
      </c>
    </row>
    <row r="101" spans="1:14" ht="15.95" customHeight="1">
      <c r="A101" s="66">
        <v>23</v>
      </c>
      <c r="B101" s="63" t="str">
        <f>IF('(5).Promotion Daily'!B101="","",'(5).Promotion Daily'!B101)</f>
        <v/>
      </c>
      <c r="C101" s="67" t="str">
        <f>IF('(5).Promotion Daily'!C101="","",'(5).Promotion Daily'!C101)</f>
        <v/>
      </c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9" t="str">
        <f>IF('(5).Promotion Daily'!AH101="Change","Change",IF('(5).Promotion Daily'!AH101="Stop","Stop",IF(B101="","",IF(COUNTA(D101:M101)&lt;10,"Incomplete",""))))</f>
        <v/>
      </c>
    </row>
    <row r="102" spans="1:14" ht="15.95" customHeight="1">
      <c r="A102" s="66">
        <v>24</v>
      </c>
      <c r="B102" s="63" t="str">
        <f>IF('(5).Promotion Daily'!B102="","",'(5).Promotion Daily'!B102)</f>
        <v/>
      </c>
      <c r="C102" s="67" t="str">
        <f>IF('(5).Promotion Daily'!C102="","",'(5).Promotion Daily'!C102)</f>
        <v/>
      </c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9" t="str">
        <f>IF('(5).Promotion Daily'!AH102="Change","Change",IF('(5).Promotion Daily'!AH102="Stop","Stop",IF(B102="","",IF(COUNTA(D102:M102)&lt;10,"Incomplete",""))))</f>
        <v/>
      </c>
    </row>
    <row r="103" spans="1:14" ht="15.95" customHeight="1">
      <c r="A103" s="66">
        <v>25</v>
      </c>
      <c r="B103" s="63" t="str">
        <f>IF('(5).Promotion Daily'!B103="","",'(5).Promotion Daily'!B103)</f>
        <v/>
      </c>
      <c r="C103" s="67" t="str">
        <f>IF('(5).Promotion Daily'!C103="","",'(5).Promotion Daily'!C103)</f>
        <v/>
      </c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9" t="str">
        <f>IF('(5).Promotion Daily'!AH103="Change","Change",IF('(5).Promotion Daily'!AH103="Stop","Stop",IF(B103="","",IF(COUNTA(D103:M103)&lt;10,"Incomplete",""))))</f>
        <v/>
      </c>
    </row>
    <row r="104" spans="1:14" ht="15.95" customHeight="1">
      <c r="A104" s="66">
        <v>26</v>
      </c>
      <c r="B104" s="63" t="str">
        <f>IF('(5).Promotion Daily'!B104="","",'(5).Promotion Daily'!B104)</f>
        <v/>
      </c>
      <c r="C104" s="67" t="str">
        <f>IF('(5).Promotion Daily'!C104="","",'(5).Promotion Daily'!C104)</f>
        <v/>
      </c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9" t="str">
        <f>IF('(5).Promotion Daily'!AH104="Change","Change",IF('(5).Promotion Daily'!AH104="Stop","Stop",IF(B104="","",IF(COUNTA(D104:M104)&lt;10,"Incomplete",""))))</f>
        <v/>
      </c>
    </row>
    <row r="105" spans="1:14" ht="15.95" customHeight="1">
      <c r="A105" s="66">
        <v>27</v>
      </c>
      <c r="B105" s="63" t="str">
        <f>IF('(5).Promotion Daily'!B105="","",'(5).Promotion Daily'!B105)</f>
        <v/>
      </c>
      <c r="C105" s="67" t="str">
        <f>IF('(5).Promotion Daily'!C105="","",'(5).Promotion Daily'!C105)</f>
        <v/>
      </c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9" t="str">
        <f>IF('(5).Promotion Daily'!AH105="Change","Change",IF('(5).Promotion Daily'!AH105="Stop","Stop",IF(B105="","",IF(COUNTA(D105:M105)&lt;10,"Incomplete",""))))</f>
        <v/>
      </c>
    </row>
    <row r="106" spans="1:14" ht="15.95" customHeight="1">
      <c r="A106" s="66">
        <v>28</v>
      </c>
      <c r="B106" s="63" t="str">
        <f>IF('(5).Promotion Daily'!B106="","",'(5).Promotion Daily'!B106)</f>
        <v/>
      </c>
      <c r="C106" s="67" t="str">
        <f>IF('(5).Promotion Daily'!C106="","",'(5).Promotion Daily'!C106)</f>
        <v/>
      </c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9" t="str">
        <f>IF('(5).Promotion Daily'!AH106="Change","Change",IF('(5).Promotion Daily'!AH106="Stop","Stop",IF(B106="","",IF(COUNTA(D106:M106)&lt;10,"Incomplete",""))))</f>
        <v/>
      </c>
    </row>
    <row r="107" spans="1:14" ht="15.95" customHeight="1">
      <c r="A107" s="66">
        <v>29</v>
      </c>
      <c r="B107" s="63" t="str">
        <f>IF('(5).Promotion Daily'!B107="","",'(5).Promotion Daily'!B107)</f>
        <v/>
      </c>
      <c r="C107" s="67" t="str">
        <f>IF('(5).Promotion Daily'!C107="","",'(5).Promotion Daily'!C107)</f>
        <v/>
      </c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9" t="str">
        <f>IF('(5).Promotion Daily'!AH107="Change","Change",IF('(5).Promotion Daily'!AH107="Stop","Stop",IF(B107="","",IF(COUNTA(D107:M107)&lt;10,"Incomplete",""))))</f>
        <v/>
      </c>
    </row>
    <row r="108" spans="1:14" ht="15.95" customHeight="1">
      <c r="A108" s="66">
        <v>30</v>
      </c>
      <c r="B108" s="63" t="str">
        <f>IF('(5).Promotion Daily'!B108="","",'(5).Promotion Daily'!B108)</f>
        <v/>
      </c>
      <c r="C108" s="67" t="str">
        <f>IF('(5).Promotion Daily'!C108="","",'(5).Promotion Daily'!C108)</f>
        <v/>
      </c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9" t="str">
        <f>IF('(5).Promotion Daily'!AH108="Change","Change",IF('(5).Promotion Daily'!AH108="Stop","Stop",IF(B108="","",IF(COUNTA(D108:M108)&lt;10,"Incomplete",""))))</f>
        <v/>
      </c>
    </row>
    <row r="109" spans="1:14" ht="15.95" customHeight="1">
      <c r="A109" s="18" t="s">
        <v>0</v>
      </c>
      <c r="B109" s="19">
        <f>'(5).Promotion Daily'!B109</f>
        <v>0</v>
      </c>
      <c r="C109" s="60"/>
      <c r="D109" s="222" t="s">
        <v>120</v>
      </c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</row>
    <row r="110" spans="1:14" ht="15.95" customHeight="1">
      <c r="A110" s="18" t="s">
        <v>1</v>
      </c>
      <c r="B110" s="19">
        <f>'(5).Promotion Daily'!B110</f>
        <v>0</v>
      </c>
      <c r="C110" s="60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</row>
    <row r="111" spans="1:14" ht="15.95" customHeight="1">
      <c r="A111" s="18" t="s">
        <v>2</v>
      </c>
      <c r="B111" s="19">
        <f>'(5).Promotion Daily'!B111</f>
        <v>0</v>
      </c>
      <c r="C111" s="60"/>
      <c r="D111" s="223" t="str">
        <f>'(5).Promotion Daily'!D111</f>
        <v>FEBRUARY - JULY 2026</v>
      </c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</row>
    <row r="112" spans="1:14" ht="15.95" customHeight="1">
      <c r="A112" s="18" t="s">
        <v>3</v>
      </c>
      <c r="B112" s="19">
        <f>'(5).Promotion Daily'!B112</f>
        <v>0</v>
      </c>
      <c r="C112" s="60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</row>
    <row r="113" spans="1:14" ht="15.95" customHeight="1">
      <c r="A113" s="18" t="s">
        <v>4</v>
      </c>
      <c r="B113" s="19">
        <f>'(5).Promotion Daily'!B113</f>
        <v>0</v>
      </c>
      <c r="C113" s="61"/>
      <c r="D113" s="91" t="str">
        <f>IF(OR($B110="K5",$B110="K6",$B110="K7",$B110="K8",$B110="K9",$B110="K10"),"Listening","Up-Low C")</f>
        <v>Up-Low C</v>
      </c>
      <c r="E113" s="91" t="str">
        <f>IF(OR($B110="K5",$B110="K6",$B110="K7",$B110="K8",$B110="K9",$B110="K10"),"Speaking","Alphabet N")</f>
        <v>Alphabet N</v>
      </c>
      <c r="F113" s="91" t="str">
        <f>IF(OR($B110="K5",$B110="K6",$B110="K7",$B110="K8",$B110="K9",$B110="K10"),"Reading","Alphabet S")</f>
        <v>Alphabet S</v>
      </c>
      <c r="G113" s="91" t="str">
        <f>IF(OR($B110="K5",$B110="K6",$B110="K7",$B110="K8",$B110="K9",$B110="K10"),"Writing","Vocabulary")</f>
        <v>Vocabulary</v>
      </c>
      <c r="H113" s="91" t="str">
        <f>IF(OR($B110="K5",$B110="K6",$B110="K7",$B110="K8",$B110="K9",$B110="K10"),"Grammar","Sprouts")</f>
        <v>Sprouts</v>
      </c>
      <c r="I113" s="91" t="str">
        <f>IF(OR($B110="K5",$B110="K6",$B110="K7",$B110="K8",$B110="K9",$B110="K10"),"Vocabulary","Phonics")</f>
        <v>Phonics</v>
      </c>
      <c r="J113" s="91" t="str">
        <f>IF(OR($B110="K5",$B110="K6",$B110="K7",$B110="K8",$B110="K9",$B110="K10"),"Roots","Math")</f>
        <v>Math</v>
      </c>
      <c r="K113" s="91" t="str">
        <f>IF(OR($B110="K5",$B110="K6",$B110="K7",$B110="K8",$B110="K9",$B110="K10"),"Phonics","Shape")</f>
        <v>Shape</v>
      </c>
      <c r="L113" s="91" t="str">
        <f>IF(OR($B110="K5",$B110="K6",$B110="K7",$B110="K8",$B110="K9",$B110="K10"),"Math","Science")</f>
        <v>Science</v>
      </c>
      <c r="M113" s="91" t="str">
        <f>IF(OR($B110="K5",$B110="K6",$B110="K7",$B110="K8",$B110="K9",$B110="K10"),"Science","Tracing")</f>
        <v>Tracing</v>
      </c>
      <c r="N113" s="90" t="s">
        <v>12</v>
      </c>
    </row>
    <row r="114" spans="1:14" ht="15.95" customHeight="1" thickBot="1">
      <c r="A114" s="80" t="s">
        <v>5</v>
      </c>
      <c r="B114" s="74" t="s">
        <v>6</v>
      </c>
      <c r="C114" s="81" t="s">
        <v>7</v>
      </c>
      <c r="D114" s="76" t="s">
        <v>9</v>
      </c>
      <c r="E114" s="76" t="s">
        <v>9</v>
      </c>
      <c r="F114" s="76" t="s">
        <v>9</v>
      </c>
      <c r="G114" s="76" t="s">
        <v>9</v>
      </c>
      <c r="H114" s="76" t="s">
        <v>9</v>
      </c>
      <c r="I114" s="76" t="s">
        <v>9</v>
      </c>
      <c r="J114" s="76" t="s">
        <v>9</v>
      </c>
      <c r="K114" s="76" t="s">
        <v>9</v>
      </c>
      <c r="L114" s="76" t="s">
        <v>9</v>
      </c>
      <c r="M114" s="76" t="s">
        <v>9</v>
      </c>
      <c r="N114" s="77" t="s">
        <v>13</v>
      </c>
    </row>
    <row r="115" spans="1:14" ht="15.95" customHeight="1">
      <c r="A115" s="78">
        <v>1</v>
      </c>
      <c r="B115" s="68" t="str">
        <f>IF('(5).Promotion Daily'!B115="","",'(5).Promotion Daily'!B115)</f>
        <v/>
      </c>
      <c r="C115" s="79" t="str">
        <f>IF('(5).Promotion Daily'!C115="","",'(5).Promotion Daily'!C115)</f>
        <v/>
      </c>
      <c r="D115" s="69"/>
      <c r="E115" s="70"/>
      <c r="F115" s="70"/>
      <c r="G115" s="70"/>
      <c r="H115" s="70"/>
      <c r="I115" s="70"/>
      <c r="J115" s="70"/>
      <c r="K115" s="70"/>
      <c r="L115" s="70"/>
      <c r="M115" s="70"/>
      <c r="N115" s="71" t="str">
        <f>IF('(5).Promotion Daily'!AH115="Change","Change",IF('(5).Promotion Daily'!AH115="Stop","Stop",IF(B115="","",IF(COUNTA(D115:M115)&lt;10,"Incomplete",""))))</f>
        <v/>
      </c>
    </row>
    <row r="116" spans="1:14" ht="15.95" customHeight="1">
      <c r="A116" s="66">
        <v>2</v>
      </c>
      <c r="B116" s="63" t="str">
        <f>IF('(5).Promotion Daily'!B116="","",'(5).Promotion Daily'!B116)</f>
        <v/>
      </c>
      <c r="C116" s="67" t="str">
        <f>IF('(5).Promotion Daily'!C116="","",'(5).Promotion Daily'!C116)</f>
        <v/>
      </c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9" t="str">
        <f>IF('(5).Promotion Daily'!AH116="Change","Change",IF('(5).Promotion Daily'!AH116="Stop","Stop",IF(B116="","",IF(COUNTA(D116:M116)&lt;10,"Incomplete",""))))</f>
        <v/>
      </c>
    </row>
    <row r="117" spans="1:14" ht="15.95" customHeight="1">
      <c r="A117" s="66">
        <v>3</v>
      </c>
      <c r="B117" s="63" t="str">
        <f>IF('(5).Promotion Daily'!B117="","",'(5).Promotion Daily'!B117)</f>
        <v/>
      </c>
      <c r="C117" s="67" t="str">
        <f>IF('(5).Promotion Daily'!C117="","",'(5).Promotion Daily'!C117)</f>
        <v/>
      </c>
      <c r="D117" s="47"/>
      <c r="E117" s="48"/>
      <c r="F117" s="48"/>
      <c r="G117" s="48"/>
      <c r="H117" s="48"/>
      <c r="I117" s="48"/>
      <c r="J117" s="48"/>
      <c r="K117" s="48"/>
      <c r="L117" s="48"/>
      <c r="M117" s="48"/>
      <c r="N117" s="49" t="str">
        <f>IF('(5).Promotion Daily'!AH117="Change","Change",IF('(5).Promotion Daily'!AH117="Stop","Stop",IF(B117="","",IF(COUNTA(D117:M117)&lt;10,"Incomplete",""))))</f>
        <v/>
      </c>
    </row>
    <row r="118" spans="1:14" ht="15.95" customHeight="1">
      <c r="A118" s="66">
        <v>4</v>
      </c>
      <c r="B118" s="63" t="str">
        <f>IF('(5).Promotion Daily'!B118="","",'(5).Promotion Daily'!B118)</f>
        <v/>
      </c>
      <c r="C118" s="67" t="str">
        <f>IF('(5).Promotion Daily'!C118="","",'(5).Promotion Daily'!C118)</f>
        <v/>
      </c>
      <c r="D118" s="47"/>
      <c r="E118" s="48"/>
      <c r="F118" s="48"/>
      <c r="G118" s="48"/>
      <c r="H118" s="48"/>
      <c r="I118" s="48"/>
      <c r="J118" s="48"/>
      <c r="K118" s="48"/>
      <c r="L118" s="48"/>
      <c r="M118" s="48"/>
      <c r="N118" s="49" t="str">
        <f>IF('(5).Promotion Daily'!AH118="Change","Change",IF('(5).Promotion Daily'!AH118="Stop","Stop",IF(B118="","",IF(COUNTA(D118:M118)&lt;10,"Incomplete",""))))</f>
        <v/>
      </c>
    </row>
    <row r="119" spans="1:14" ht="15.95" customHeight="1">
      <c r="A119" s="66">
        <v>5</v>
      </c>
      <c r="B119" s="63" t="str">
        <f>IF('(5).Promotion Daily'!B119="","",'(5).Promotion Daily'!B119)</f>
        <v/>
      </c>
      <c r="C119" s="67" t="str">
        <f>IF('(5).Promotion Daily'!C119="","",'(5).Promotion Daily'!C119)</f>
        <v/>
      </c>
      <c r="D119" s="47"/>
      <c r="E119" s="48"/>
      <c r="F119" s="48"/>
      <c r="G119" s="48"/>
      <c r="H119" s="48"/>
      <c r="I119" s="48"/>
      <c r="J119" s="48"/>
      <c r="K119" s="48"/>
      <c r="L119" s="48"/>
      <c r="M119" s="48"/>
      <c r="N119" s="49" t="str">
        <f>IF('(5).Promotion Daily'!AH119="Change","Change",IF('(5).Promotion Daily'!AH119="Stop","Stop",IF(B119="","",IF(COUNTA(D119:M119)&lt;10,"Incomplete",""))))</f>
        <v/>
      </c>
    </row>
    <row r="120" spans="1:14" ht="15.95" customHeight="1">
      <c r="A120" s="66">
        <v>6</v>
      </c>
      <c r="B120" s="63" t="str">
        <f>IF('(5).Promotion Daily'!B120="","",'(5).Promotion Daily'!B120)</f>
        <v/>
      </c>
      <c r="C120" s="67" t="str">
        <f>IF('(5).Promotion Daily'!C120="","",'(5).Promotion Daily'!C120)</f>
        <v/>
      </c>
      <c r="D120" s="47"/>
      <c r="E120" s="48"/>
      <c r="F120" s="48"/>
      <c r="G120" s="48"/>
      <c r="H120" s="48"/>
      <c r="I120" s="48"/>
      <c r="J120" s="48"/>
      <c r="K120" s="48"/>
      <c r="L120" s="48"/>
      <c r="M120" s="48"/>
      <c r="N120" s="49" t="str">
        <f>IF('(5).Promotion Daily'!AH120="Change","Change",IF('(5).Promotion Daily'!AH120="Stop","Stop",IF(B120="","",IF(COUNTA(D120:M120)&lt;10,"Incomplete",""))))</f>
        <v/>
      </c>
    </row>
    <row r="121" spans="1:14" ht="15.95" customHeight="1">
      <c r="A121" s="66">
        <v>7</v>
      </c>
      <c r="B121" s="63" t="str">
        <f>IF('(5).Promotion Daily'!B121="","",'(5).Promotion Daily'!B121)</f>
        <v/>
      </c>
      <c r="C121" s="67" t="str">
        <f>IF('(5).Promotion Daily'!C121="","",'(5).Promotion Daily'!C121)</f>
        <v/>
      </c>
      <c r="D121" s="47"/>
      <c r="E121" s="48"/>
      <c r="F121" s="48"/>
      <c r="G121" s="48"/>
      <c r="H121" s="48"/>
      <c r="I121" s="48"/>
      <c r="J121" s="48"/>
      <c r="K121" s="48"/>
      <c r="L121" s="48"/>
      <c r="M121" s="48"/>
      <c r="N121" s="49" t="str">
        <f>IF('(5).Promotion Daily'!AH121="Change","Change",IF('(5).Promotion Daily'!AH121="Stop","Stop",IF(B121="","",IF(COUNTA(D121:M121)&lt;10,"Incomplete",""))))</f>
        <v/>
      </c>
    </row>
    <row r="122" spans="1:14" ht="15.95" customHeight="1">
      <c r="A122" s="66">
        <v>8</v>
      </c>
      <c r="B122" s="63" t="str">
        <f>IF('(5).Promotion Daily'!B122="","",'(5).Promotion Daily'!B122)</f>
        <v/>
      </c>
      <c r="C122" s="67" t="str">
        <f>IF('(5).Promotion Daily'!C122="","",'(5).Promotion Daily'!C122)</f>
        <v/>
      </c>
      <c r="D122" s="47"/>
      <c r="E122" s="48"/>
      <c r="F122" s="48"/>
      <c r="G122" s="48"/>
      <c r="H122" s="48"/>
      <c r="I122" s="48"/>
      <c r="J122" s="48"/>
      <c r="K122" s="48"/>
      <c r="L122" s="48"/>
      <c r="M122" s="48"/>
      <c r="N122" s="49" t="str">
        <f>IF('(5).Promotion Daily'!AH122="Change","Change",IF('(5).Promotion Daily'!AH122="Stop","Stop",IF(B122="","",IF(COUNTA(D122:M122)&lt;10,"Incomplete",""))))</f>
        <v/>
      </c>
    </row>
    <row r="123" spans="1:14" ht="15.95" customHeight="1">
      <c r="A123" s="66">
        <v>9</v>
      </c>
      <c r="B123" s="63" t="str">
        <f>IF('(5).Promotion Daily'!B123="","",'(5).Promotion Daily'!B123)</f>
        <v/>
      </c>
      <c r="C123" s="67" t="str">
        <f>IF('(5).Promotion Daily'!C123="","",'(5).Promotion Daily'!C123)</f>
        <v/>
      </c>
      <c r="D123" s="47"/>
      <c r="E123" s="48"/>
      <c r="F123" s="48"/>
      <c r="G123" s="48"/>
      <c r="H123" s="48"/>
      <c r="I123" s="48"/>
      <c r="J123" s="48"/>
      <c r="K123" s="48"/>
      <c r="L123" s="48"/>
      <c r="M123" s="48"/>
      <c r="N123" s="49" t="str">
        <f>IF('(5).Promotion Daily'!AH123="Change","Change",IF('(5).Promotion Daily'!AH123="Stop","Stop",IF(B123="","",IF(COUNTA(D123:M123)&lt;10,"Incomplete",""))))</f>
        <v/>
      </c>
    </row>
    <row r="124" spans="1:14" ht="15.95" customHeight="1">
      <c r="A124" s="66">
        <v>10</v>
      </c>
      <c r="B124" s="63" t="str">
        <f>IF('(5).Promotion Daily'!B124="","",'(5).Promotion Daily'!B124)</f>
        <v/>
      </c>
      <c r="C124" s="67" t="str">
        <f>IF('(5).Promotion Daily'!C124="","",'(5).Promotion Daily'!C124)</f>
        <v/>
      </c>
      <c r="D124" s="47"/>
      <c r="E124" s="48"/>
      <c r="F124" s="48"/>
      <c r="G124" s="48"/>
      <c r="H124" s="48"/>
      <c r="I124" s="48"/>
      <c r="J124" s="48"/>
      <c r="K124" s="48"/>
      <c r="L124" s="48"/>
      <c r="M124" s="48"/>
      <c r="N124" s="49" t="str">
        <f>IF('(5).Promotion Daily'!AH124="Change","Change",IF('(5).Promotion Daily'!AH124="Stop","Stop",IF(B124="","",IF(COUNTA(D124:M124)&lt;10,"Incomplete",""))))</f>
        <v/>
      </c>
    </row>
    <row r="125" spans="1:14" ht="15.95" customHeight="1">
      <c r="A125" s="66">
        <v>11</v>
      </c>
      <c r="B125" s="63" t="str">
        <f>IF('(5).Promotion Daily'!B125="","",'(5).Promotion Daily'!B125)</f>
        <v/>
      </c>
      <c r="C125" s="67" t="str">
        <f>IF('(5).Promotion Daily'!C125="","",'(5).Promotion Daily'!C125)</f>
        <v/>
      </c>
      <c r="D125" s="47"/>
      <c r="E125" s="48"/>
      <c r="F125" s="48"/>
      <c r="G125" s="48"/>
      <c r="H125" s="48"/>
      <c r="I125" s="48"/>
      <c r="J125" s="48"/>
      <c r="K125" s="48"/>
      <c r="L125" s="48"/>
      <c r="M125" s="48"/>
      <c r="N125" s="49" t="str">
        <f>IF('(5).Promotion Daily'!AH125="Change","Change",IF('(5).Promotion Daily'!AH125="Stop","Stop",IF(B125="","",IF(COUNTA(D125:M125)&lt;10,"Incomplete",""))))</f>
        <v/>
      </c>
    </row>
    <row r="126" spans="1:14" ht="15.95" customHeight="1">
      <c r="A126" s="66">
        <v>12</v>
      </c>
      <c r="B126" s="63" t="str">
        <f>IF('(5).Promotion Daily'!B126="","",'(5).Promotion Daily'!B126)</f>
        <v/>
      </c>
      <c r="C126" s="67" t="str">
        <f>IF('(5).Promotion Daily'!C126="","",'(5).Promotion Daily'!C126)</f>
        <v/>
      </c>
      <c r="D126" s="47"/>
      <c r="E126" s="48"/>
      <c r="F126" s="48"/>
      <c r="G126" s="48"/>
      <c r="H126" s="48"/>
      <c r="I126" s="48"/>
      <c r="J126" s="48"/>
      <c r="K126" s="48"/>
      <c r="L126" s="48"/>
      <c r="M126" s="48"/>
      <c r="N126" s="49" t="str">
        <f>IF('(5).Promotion Daily'!AH126="Change","Change",IF('(5).Promotion Daily'!AH126="Stop","Stop",IF(B126="","",IF(COUNTA(D126:M126)&lt;10,"Incomplete",""))))</f>
        <v/>
      </c>
    </row>
    <row r="127" spans="1:14" ht="15.95" customHeight="1">
      <c r="A127" s="66">
        <v>13</v>
      </c>
      <c r="B127" s="63" t="str">
        <f>IF('(5).Promotion Daily'!B127="","",'(5).Promotion Daily'!B127)</f>
        <v/>
      </c>
      <c r="C127" s="67" t="str">
        <f>IF('(5).Promotion Daily'!C127="","",'(5).Promotion Daily'!C127)</f>
        <v/>
      </c>
      <c r="D127" s="47"/>
      <c r="E127" s="48"/>
      <c r="F127" s="48"/>
      <c r="G127" s="48"/>
      <c r="H127" s="48"/>
      <c r="I127" s="48"/>
      <c r="J127" s="48"/>
      <c r="K127" s="48"/>
      <c r="L127" s="48"/>
      <c r="M127" s="48"/>
      <c r="N127" s="49" t="str">
        <f>IF('(5).Promotion Daily'!AH127="Change","Change",IF('(5).Promotion Daily'!AH127="Stop","Stop",IF(B127="","",IF(COUNTA(D127:M127)&lt;10,"Incomplete",""))))</f>
        <v/>
      </c>
    </row>
    <row r="128" spans="1:14" ht="15.95" customHeight="1">
      <c r="A128" s="66">
        <v>14</v>
      </c>
      <c r="B128" s="63" t="str">
        <f>IF('(5).Promotion Daily'!B128="","",'(5).Promotion Daily'!B128)</f>
        <v/>
      </c>
      <c r="C128" s="67" t="str">
        <f>IF('(5).Promotion Daily'!C128="","",'(5).Promotion Daily'!C128)</f>
        <v/>
      </c>
      <c r="D128" s="47"/>
      <c r="E128" s="48"/>
      <c r="F128" s="48"/>
      <c r="G128" s="48"/>
      <c r="H128" s="48"/>
      <c r="I128" s="48"/>
      <c r="J128" s="48"/>
      <c r="K128" s="48"/>
      <c r="L128" s="48"/>
      <c r="M128" s="48"/>
      <c r="N128" s="49" t="str">
        <f>IF('(5).Promotion Daily'!AH128="Change","Change",IF('(5).Promotion Daily'!AH128="Stop","Stop",IF(B128="","",IF(COUNTA(D128:M128)&lt;10,"Incomplete",""))))</f>
        <v/>
      </c>
    </row>
    <row r="129" spans="1:14" ht="15.95" customHeight="1">
      <c r="A129" s="66">
        <v>15</v>
      </c>
      <c r="B129" s="63" t="str">
        <f>IF('(5).Promotion Daily'!B129="","",'(5).Promotion Daily'!B129)</f>
        <v/>
      </c>
      <c r="C129" s="67" t="str">
        <f>IF('(5).Promotion Daily'!C129="","",'(5).Promotion Daily'!C129)</f>
        <v/>
      </c>
      <c r="D129" s="47"/>
      <c r="E129" s="48"/>
      <c r="F129" s="48"/>
      <c r="G129" s="48"/>
      <c r="H129" s="48"/>
      <c r="I129" s="48"/>
      <c r="J129" s="48"/>
      <c r="K129" s="48"/>
      <c r="L129" s="48"/>
      <c r="M129" s="48"/>
      <c r="N129" s="49" t="str">
        <f>IF('(5).Promotion Daily'!AH129="Change","Change",IF('(5).Promotion Daily'!AH129="Stop","Stop",IF(B129="","",IF(COUNTA(D129:M129)&lt;10,"Incomplete",""))))</f>
        <v/>
      </c>
    </row>
    <row r="130" spans="1:14" ht="15.95" customHeight="1">
      <c r="A130" s="66">
        <v>16</v>
      </c>
      <c r="B130" s="63" t="str">
        <f>IF('(5).Promotion Daily'!B130="","",'(5).Promotion Daily'!B130)</f>
        <v/>
      </c>
      <c r="C130" s="67" t="str">
        <f>IF('(5).Promotion Daily'!C130="","",'(5).Promotion Daily'!C130)</f>
        <v/>
      </c>
      <c r="D130" s="47"/>
      <c r="E130" s="48"/>
      <c r="F130" s="48"/>
      <c r="G130" s="48"/>
      <c r="H130" s="48"/>
      <c r="I130" s="48"/>
      <c r="J130" s="48"/>
      <c r="K130" s="48"/>
      <c r="L130" s="48"/>
      <c r="M130" s="48"/>
      <c r="N130" s="49" t="str">
        <f>IF('(5).Promotion Daily'!AH130="Change","Change",IF('(5).Promotion Daily'!AH130="Stop","Stop",IF(B130="","",IF(COUNTA(D130:M130)&lt;10,"Incomplete",""))))</f>
        <v/>
      </c>
    </row>
    <row r="131" spans="1:14" ht="15.95" customHeight="1">
      <c r="A131" s="66">
        <v>17</v>
      </c>
      <c r="B131" s="63" t="str">
        <f>IF('(5).Promotion Daily'!B131="","",'(5).Promotion Daily'!B131)</f>
        <v/>
      </c>
      <c r="C131" s="67" t="str">
        <f>IF('(5).Promotion Daily'!C131="","",'(5).Promotion Daily'!C131)</f>
        <v/>
      </c>
      <c r="D131" s="47"/>
      <c r="E131" s="48"/>
      <c r="F131" s="48"/>
      <c r="G131" s="48"/>
      <c r="H131" s="48"/>
      <c r="I131" s="48"/>
      <c r="J131" s="48"/>
      <c r="K131" s="48"/>
      <c r="L131" s="48"/>
      <c r="M131" s="48"/>
      <c r="N131" s="49" t="str">
        <f>IF('(5).Promotion Daily'!AH131="Change","Change",IF('(5).Promotion Daily'!AH131="Stop","Stop",IF(B131="","",IF(COUNTA(D131:M131)&lt;10,"Incomplete",""))))</f>
        <v/>
      </c>
    </row>
    <row r="132" spans="1:14" ht="15.95" customHeight="1">
      <c r="A132" s="66">
        <v>18</v>
      </c>
      <c r="B132" s="63" t="str">
        <f>IF('(5).Promotion Daily'!B132="","",'(5).Promotion Daily'!B132)</f>
        <v/>
      </c>
      <c r="C132" s="67" t="str">
        <f>IF('(5).Promotion Daily'!C132="","",'(5).Promotion Daily'!C132)</f>
        <v/>
      </c>
      <c r="D132" s="47"/>
      <c r="E132" s="48"/>
      <c r="F132" s="48"/>
      <c r="G132" s="48"/>
      <c r="H132" s="48"/>
      <c r="I132" s="48"/>
      <c r="J132" s="48"/>
      <c r="K132" s="48"/>
      <c r="L132" s="48"/>
      <c r="M132" s="48"/>
      <c r="N132" s="49" t="str">
        <f>IF('(5).Promotion Daily'!AH132="Change","Change",IF('(5).Promotion Daily'!AH132="Stop","Stop",IF(B132="","",IF(COUNTA(D132:M132)&lt;10,"Incomplete",""))))</f>
        <v/>
      </c>
    </row>
    <row r="133" spans="1:14" ht="15.95" customHeight="1">
      <c r="A133" s="66">
        <v>19</v>
      </c>
      <c r="B133" s="63" t="str">
        <f>IF('(5).Promotion Daily'!B133="","",'(5).Promotion Daily'!B133)</f>
        <v/>
      </c>
      <c r="C133" s="67" t="str">
        <f>IF('(5).Promotion Daily'!C133="","",'(5).Promotion Daily'!C133)</f>
        <v/>
      </c>
      <c r="D133" s="47"/>
      <c r="E133" s="48"/>
      <c r="F133" s="48"/>
      <c r="G133" s="48"/>
      <c r="H133" s="48"/>
      <c r="I133" s="48"/>
      <c r="J133" s="48"/>
      <c r="K133" s="48"/>
      <c r="L133" s="48"/>
      <c r="M133" s="48"/>
      <c r="N133" s="49" t="str">
        <f>IF('(5).Promotion Daily'!AH133="Change","Change",IF('(5).Promotion Daily'!AH133="Stop","Stop",IF(B133="","",IF(COUNTA(D133:M133)&lt;10,"Incomplete",""))))</f>
        <v/>
      </c>
    </row>
    <row r="134" spans="1:14" ht="15.95" customHeight="1">
      <c r="A134" s="66">
        <v>20</v>
      </c>
      <c r="B134" s="63" t="str">
        <f>IF('(5).Promotion Daily'!B134="","",'(5).Promotion Daily'!B134)</f>
        <v/>
      </c>
      <c r="C134" s="67" t="str">
        <f>IF('(5).Promotion Daily'!C134="","",'(5).Promotion Daily'!C134)</f>
        <v/>
      </c>
      <c r="D134" s="47"/>
      <c r="E134" s="48"/>
      <c r="F134" s="48"/>
      <c r="G134" s="48"/>
      <c r="H134" s="48"/>
      <c r="I134" s="48"/>
      <c r="J134" s="48"/>
      <c r="K134" s="48"/>
      <c r="L134" s="48"/>
      <c r="M134" s="48"/>
      <c r="N134" s="49" t="str">
        <f>IF('(5).Promotion Daily'!AH134="Change","Change",IF('(5).Promotion Daily'!AH134="Stop","Stop",IF(B134="","",IF(COUNTA(D134:M134)&lt;10,"Incomplete",""))))</f>
        <v/>
      </c>
    </row>
    <row r="135" spans="1:14" ht="15.95" customHeight="1">
      <c r="A135" s="66">
        <v>21</v>
      </c>
      <c r="B135" s="63" t="str">
        <f>IF('(5).Promotion Daily'!B135="","",'(5).Promotion Daily'!B135)</f>
        <v/>
      </c>
      <c r="C135" s="67" t="str">
        <f>IF('(5).Promotion Daily'!C135="","",'(5).Promotion Daily'!C135)</f>
        <v/>
      </c>
      <c r="D135" s="47"/>
      <c r="E135" s="48"/>
      <c r="F135" s="48"/>
      <c r="G135" s="48"/>
      <c r="H135" s="48"/>
      <c r="I135" s="48"/>
      <c r="J135" s="48"/>
      <c r="K135" s="48"/>
      <c r="L135" s="48"/>
      <c r="M135" s="48"/>
      <c r="N135" s="49" t="str">
        <f>IF('(5).Promotion Daily'!AH135="Change","Change",IF('(5).Promotion Daily'!AH135="Stop","Stop",IF(B135="","",IF(COUNTA(D135:M135)&lt;10,"Incomplete",""))))</f>
        <v/>
      </c>
    </row>
    <row r="136" spans="1:14" ht="15.95" customHeight="1">
      <c r="A136" s="66">
        <v>22</v>
      </c>
      <c r="B136" s="63" t="str">
        <f>IF('(5).Promotion Daily'!B136="","",'(5).Promotion Daily'!B136)</f>
        <v/>
      </c>
      <c r="C136" s="67" t="str">
        <f>IF('(5).Promotion Daily'!C136="","",'(5).Promotion Daily'!C136)</f>
        <v/>
      </c>
      <c r="D136" s="47"/>
      <c r="E136" s="48"/>
      <c r="F136" s="48"/>
      <c r="G136" s="48"/>
      <c r="H136" s="48"/>
      <c r="I136" s="48"/>
      <c r="J136" s="48"/>
      <c r="K136" s="48"/>
      <c r="L136" s="48"/>
      <c r="M136" s="48"/>
      <c r="N136" s="49" t="str">
        <f>IF('(5).Promotion Daily'!AH136="Change","Change",IF('(5).Promotion Daily'!AH136="Stop","Stop",IF(B136="","",IF(COUNTA(D136:M136)&lt;10,"Incomplete",""))))</f>
        <v/>
      </c>
    </row>
    <row r="137" spans="1:14" ht="15.95" customHeight="1">
      <c r="A137" s="66">
        <v>23</v>
      </c>
      <c r="B137" s="63" t="str">
        <f>IF('(5).Promotion Daily'!B137="","",'(5).Promotion Daily'!B137)</f>
        <v/>
      </c>
      <c r="C137" s="67" t="str">
        <f>IF('(5).Promotion Daily'!C137="","",'(5).Promotion Daily'!C137)</f>
        <v/>
      </c>
      <c r="D137" s="47"/>
      <c r="E137" s="48"/>
      <c r="F137" s="48"/>
      <c r="G137" s="48"/>
      <c r="H137" s="48"/>
      <c r="I137" s="48"/>
      <c r="J137" s="48"/>
      <c r="K137" s="48"/>
      <c r="L137" s="48"/>
      <c r="M137" s="48"/>
      <c r="N137" s="49" t="str">
        <f>IF('(5).Promotion Daily'!AH137="Change","Change",IF('(5).Promotion Daily'!AH137="Stop","Stop",IF(B137="","",IF(COUNTA(D137:M137)&lt;10,"Incomplete",""))))</f>
        <v/>
      </c>
    </row>
    <row r="138" spans="1:14" ht="15.95" customHeight="1">
      <c r="A138" s="66">
        <v>24</v>
      </c>
      <c r="B138" s="63" t="str">
        <f>IF('(5).Promotion Daily'!B138="","",'(5).Promotion Daily'!B138)</f>
        <v/>
      </c>
      <c r="C138" s="67" t="str">
        <f>IF('(5).Promotion Daily'!C138="","",'(5).Promotion Daily'!C138)</f>
        <v/>
      </c>
      <c r="D138" s="47"/>
      <c r="E138" s="48"/>
      <c r="F138" s="48"/>
      <c r="G138" s="48"/>
      <c r="H138" s="48"/>
      <c r="I138" s="48"/>
      <c r="J138" s="48"/>
      <c r="K138" s="48"/>
      <c r="L138" s="48"/>
      <c r="M138" s="48"/>
      <c r="N138" s="49" t="str">
        <f>IF('(5).Promotion Daily'!AH138="Change","Change",IF('(5).Promotion Daily'!AH138="Stop","Stop",IF(B138="","",IF(COUNTA(D138:M138)&lt;10,"Incomplete",""))))</f>
        <v/>
      </c>
    </row>
    <row r="139" spans="1:14" ht="15.95" customHeight="1">
      <c r="A139" s="66">
        <v>25</v>
      </c>
      <c r="B139" s="63" t="str">
        <f>IF('(5).Promotion Daily'!B139="","",'(5).Promotion Daily'!B139)</f>
        <v/>
      </c>
      <c r="C139" s="67" t="str">
        <f>IF('(5).Promotion Daily'!C139="","",'(5).Promotion Daily'!C139)</f>
        <v/>
      </c>
      <c r="D139" s="47"/>
      <c r="E139" s="48"/>
      <c r="F139" s="48"/>
      <c r="G139" s="48"/>
      <c r="H139" s="48"/>
      <c r="I139" s="48"/>
      <c r="J139" s="48"/>
      <c r="K139" s="48"/>
      <c r="L139" s="48"/>
      <c r="M139" s="48"/>
      <c r="N139" s="49" t="str">
        <f>IF('(5).Promotion Daily'!AH139="Change","Change",IF('(5).Promotion Daily'!AH139="Stop","Stop",IF(B139="","",IF(COUNTA(D139:M139)&lt;10,"Incomplete",""))))</f>
        <v/>
      </c>
    </row>
    <row r="140" spans="1:14" ht="15.95" customHeight="1">
      <c r="A140" s="66">
        <v>26</v>
      </c>
      <c r="B140" s="63" t="str">
        <f>IF('(5).Promotion Daily'!B140="","",'(5).Promotion Daily'!B140)</f>
        <v/>
      </c>
      <c r="C140" s="67" t="str">
        <f>IF('(5).Promotion Daily'!C140="","",'(5).Promotion Daily'!C140)</f>
        <v/>
      </c>
      <c r="D140" s="47"/>
      <c r="E140" s="48"/>
      <c r="F140" s="48"/>
      <c r="G140" s="48"/>
      <c r="H140" s="48"/>
      <c r="I140" s="48"/>
      <c r="J140" s="48"/>
      <c r="K140" s="48"/>
      <c r="L140" s="48"/>
      <c r="M140" s="48"/>
      <c r="N140" s="49" t="str">
        <f>IF('(5).Promotion Daily'!AH140="Change","Change",IF('(5).Promotion Daily'!AH140="Stop","Stop",IF(B140="","",IF(COUNTA(D140:M140)&lt;10,"Incomplete",""))))</f>
        <v/>
      </c>
    </row>
    <row r="141" spans="1:14" ht="15.95" customHeight="1">
      <c r="A141" s="66">
        <v>27</v>
      </c>
      <c r="B141" s="63" t="str">
        <f>IF('(5).Promotion Daily'!B141="","",'(5).Promotion Daily'!B141)</f>
        <v/>
      </c>
      <c r="C141" s="67" t="str">
        <f>IF('(5).Promotion Daily'!C141="","",'(5).Promotion Daily'!C141)</f>
        <v/>
      </c>
      <c r="D141" s="47"/>
      <c r="E141" s="48"/>
      <c r="F141" s="48"/>
      <c r="G141" s="48"/>
      <c r="H141" s="48"/>
      <c r="I141" s="48"/>
      <c r="J141" s="48"/>
      <c r="K141" s="48"/>
      <c r="L141" s="48"/>
      <c r="M141" s="48"/>
      <c r="N141" s="49" t="str">
        <f>IF('(5).Promotion Daily'!AH141="Change","Change",IF('(5).Promotion Daily'!AH141="Stop","Stop",IF(B141="","",IF(COUNTA(D141:M141)&lt;10,"Incomplete",""))))</f>
        <v/>
      </c>
    </row>
    <row r="142" spans="1:14" ht="15.95" customHeight="1">
      <c r="A142" s="66">
        <v>28</v>
      </c>
      <c r="B142" s="63" t="str">
        <f>IF('(5).Promotion Daily'!B142="","",'(5).Promotion Daily'!B142)</f>
        <v/>
      </c>
      <c r="C142" s="67" t="str">
        <f>IF('(5).Promotion Daily'!C142="","",'(5).Promotion Daily'!C142)</f>
        <v/>
      </c>
      <c r="D142" s="47"/>
      <c r="E142" s="48"/>
      <c r="F142" s="48"/>
      <c r="G142" s="48"/>
      <c r="H142" s="48"/>
      <c r="I142" s="48"/>
      <c r="J142" s="48"/>
      <c r="K142" s="48"/>
      <c r="L142" s="48"/>
      <c r="M142" s="48"/>
      <c r="N142" s="49" t="str">
        <f>IF('(5).Promotion Daily'!AH142="Change","Change",IF('(5).Promotion Daily'!AH142="Stop","Stop",IF(B142="","",IF(COUNTA(D142:M142)&lt;10,"Incomplete",""))))</f>
        <v/>
      </c>
    </row>
    <row r="143" spans="1:14" ht="15.95" customHeight="1">
      <c r="A143" s="66">
        <v>29</v>
      </c>
      <c r="B143" s="63" t="str">
        <f>IF('(5).Promotion Daily'!B143="","",'(5).Promotion Daily'!B143)</f>
        <v/>
      </c>
      <c r="C143" s="67" t="str">
        <f>IF('(5).Promotion Daily'!C143="","",'(5).Promotion Daily'!C143)</f>
        <v/>
      </c>
      <c r="D143" s="47"/>
      <c r="E143" s="48"/>
      <c r="F143" s="48"/>
      <c r="G143" s="48"/>
      <c r="H143" s="48"/>
      <c r="I143" s="48"/>
      <c r="J143" s="48"/>
      <c r="K143" s="48"/>
      <c r="L143" s="48"/>
      <c r="M143" s="48"/>
      <c r="N143" s="49" t="str">
        <f>IF('(5).Promotion Daily'!AH143="Change","Change",IF('(5).Promotion Daily'!AH143="Stop","Stop",IF(B143="","",IF(COUNTA(D143:M143)&lt;10,"Incomplete",""))))</f>
        <v/>
      </c>
    </row>
    <row r="144" spans="1:14" ht="15.95" customHeight="1">
      <c r="A144" s="66">
        <v>30</v>
      </c>
      <c r="B144" s="63" t="str">
        <f>IF('(5).Promotion Daily'!B144="","",'(5).Promotion Daily'!B144)</f>
        <v/>
      </c>
      <c r="C144" s="67" t="str">
        <f>IF('(5).Promotion Daily'!C144="","",'(5).Promotion Daily'!C144)</f>
        <v/>
      </c>
      <c r="D144" s="47"/>
      <c r="E144" s="48"/>
      <c r="F144" s="48"/>
      <c r="G144" s="48"/>
      <c r="H144" s="48"/>
      <c r="I144" s="48"/>
      <c r="J144" s="48"/>
      <c r="K144" s="48"/>
      <c r="L144" s="48"/>
      <c r="M144" s="48"/>
      <c r="N144" s="49" t="str">
        <f>IF('(5).Promotion Daily'!AH144="Change","Change",IF('(5).Promotion Daily'!AH144="Stop","Stop",IF(B144="","",IF(COUNTA(D144:M144)&lt;10,"Incomplete",""))))</f>
        <v/>
      </c>
    </row>
    <row r="145" spans="1:14" ht="15.95" customHeight="1">
      <c r="A145" s="18" t="s">
        <v>0</v>
      </c>
      <c r="B145" s="19">
        <f>'(5).Promotion Daily'!B145</f>
        <v>0</v>
      </c>
      <c r="C145" s="60"/>
      <c r="D145" s="222" t="s">
        <v>120</v>
      </c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</row>
    <row r="146" spans="1:14" ht="15.95" customHeight="1">
      <c r="A146" s="18" t="s">
        <v>1</v>
      </c>
      <c r="B146" s="19">
        <f>'(5).Promotion Daily'!B146</f>
        <v>0</v>
      </c>
      <c r="C146" s="60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</row>
    <row r="147" spans="1:14" ht="15.95" customHeight="1">
      <c r="A147" s="18" t="s">
        <v>2</v>
      </c>
      <c r="B147" s="19">
        <f>'(5).Promotion Daily'!B147</f>
        <v>0</v>
      </c>
      <c r="C147" s="60"/>
      <c r="D147" s="223" t="str">
        <f>'(5).Promotion Daily'!D147</f>
        <v>FEBRUARY - JULY 2026</v>
      </c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</row>
    <row r="148" spans="1:14" ht="15.95" customHeight="1">
      <c r="A148" s="18" t="s">
        <v>3</v>
      </c>
      <c r="B148" s="19">
        <f>'(5).Promotion Daily'!B148</f>
        <v>0</v>
      </c>
      <c r="C148" s="60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</row>
    <row r="149" spans="1:14" ht="15.95" customHeight="1">
      <c r="A149" s="18" t="s">
        <v>4</v>
      </c>
      <c r="B149" s="19">
        <f>'(5).Promotion Daily'!B149</f>
        <v>0</v>
      </c>
      <c r="C149" s="61"/>
      <c r="D149" s="91" t="str">
        <f>IF(OR($B146="K5",$B146="K6",$B146="K7",$B146="K8",$B146="K9",$B146="K10"),"Listening","Up-Low C")</f>
        <v>Up-Low C</v>
      </c>
      <c r="E149" s="91" t="str">
        <f>IF(OR($B146="K5",$B146="K6",$B146="K7",$B146="K8",$B146="K9",$B146="K10"),"Speaking","Alphabet N")</f>
        <v>Alphabet N</v>
      </c>
      <c r="F149" s="91" t="str">
        <f>IF(OR($B146="K5",$B146="K6",$B146="K7",$B146="K8",$B146="K9",$B146="K10"),"Reading","Alphabet S")</f>
        <v>Alphabet S</v>
      </c>
      <c r="G149" s="91" t="str">
        <f>IF(OR($B146="K5",$B146="K6",$B146="K7",$B146="K8",$B146="K9",$B146="K10"),"Writing","Vocabulary")</f>
        <v>Vocabulary</v>
      </c>
      <c r="H149" s="91" t="str">
        <f>IF(OR($B146="K5",$B146="K6",$B146="K7",$B146="K8",$B146="K9",$B146="K10"),"Grammar","Sprouts")</f>
        <v>Sprouts</v>
      </c>
      <c r="I149" s="91" t="str">
        <f>IF(OR($B146="K5",$B146="K6",$B146="K7",$B146="K8",$B146="K9",$B146="K10"),"Vocabulary","Phonics")</f>
        <v>Phonics</v>
      </c>
      <c r="J149" s="91" t="str">
        <f>IF(OR($B146="K5",$B146="K6",$B146="K7",$B146="K8",$B146="K9",$B146="K10"),"Roots","Math")</f>
        <v>Math</v>
      </c>
      <c r="K149" s="91" t="str">
        <f>IF(OR($B146="K5",$B146="K6",$B146="K7",$B146="K8",$B146="K9",$B146="K10"),"Phonics","Shape")</f>
        <v>Shape</v>
      </c>
      <c r="L149" s="91" t="str">
        <f>IF(OR($B146="K5",$B146="K6",$B146="K7",$B146="K8",$B146="K9",$B146="K10"),"Math","Science")</f>
        <v>Science</v>
      </c>
      <c r="M149" s="91" t="str">
        <f>IF(OR($B146="K5",$B146="K6",$B146="K7",$B146="K8",$B146="K9",$B146="K10"),"Science","Tracing")</f>
        <v>Tracing</v>
      </c>
      <c r="N149" s="90" t="s">
        <v>12</v>
      </c>
    </row>
    <row r="150" spans="1:14" ht="15.95" customHeight="1" thickBot="1">
      <c r="A150" s="80" t="s">
        <v>5</v>
      </c>
      <c r="B150" s="74" t="s">
        <v>6</v>
      </c>
      <c r="C150" s="81" t="s">
        <v>7</v>
      </c>
      <c r="D150" s="76" t="s">
        <v>9</v>
      </c>
      <c r="E150" s="76" t="s">
        <v>9</v>
      </c>
      <c r="F150" s="76" t="s">
        <v>9</v>
      </c>
      <c r="G150" s="76" t="s">
        <v>9</v>
      </c>
      <c r="H150" s="76" t="s">
        <v>9</v>
      </c>
      <c r="I150" s="76" t="s">
        <v>9</v>
      </c>
      <c r="J150" s="76" t="s">
        <v>9</v>
      </c>
      <c r="K150" s="76" t="s">
        <v>9</v>
      </c>
      <c r="L150" s="76" t="s">
        <v>9</v>
      </c>
      <c r="M150" s="76" t="s">
        <v>9</v>
      </c>
      <c r="N150" s="77" t="s">
        <v>13</v>
      </c>
    </row>
    <row r="151" spans="1:14" ht="15.95" customHeight="1">
      <c r="A151" s="78">
        <v>1</v>
      </c>
      <c r="B151" s="68" t="str">
        <f>IF('(5).Promotion Daily'!B151="","",'(5).Promotion Daily'!B151)</f>
        <v/>
      </c>
      <c r="C151" s="79" t="str">
        <f>IF('(5).Promotion Daily'!C151="","",'(5).Promotion Daily'!C151)</f>
        <v/>
      </c>
      <c r="D151" s="69"/>
      <c r="E151" s="70"/>
      <c r="F151" s="70"/>
      <c r="G151" s="70"/>
      <c r="H151" s="70"/>
      <c r="I151" s="70"/>
      <c r="J151" s="70"/>
      <c r="K151" s="70"/>
      <c r="L151" s="70"/>
      <c r="M151" s="70"/>
      <c r="N151" s="71" t="str">
        <f>IF('(5).Promotion Daily'!AH151="Change","Change",IF('(5).Promotion Daily'!AH151="Stop","Stop",IF(B151="","",IF(COUNTA(D151:M151)&lt;10,"Incomplete",""))))</f>
        <v/>
      </c>
    </row>
    <row r="152" spans="1:14" ht="15.95" customHeight="1">
      <c r="A152" s="66">
        <v>2</v>
      </c>
      <c r="B152" s="63" t="str">
        <f>IF('(5).Promotion Daily'!B152="","",'(5).Promotion Daily'!B152)</f>
        <v/>
      </c>
      <c r="C152" s="67" t="str">
        <f>IF('(5).Promotion Daily'!C152="","",'(5).Promotion Daily'!C152)</f>
        <v/>
      </c>
      <c r="D152" s="47"/>
      <c r="E152" s="48"/>
      <c r="F152" s="48"/>
      <c r="G152" s="48"/>
      <c r="H152" s="48"/>
      <c r="I152" s="48"/>
      <c r="J152" s="48"/>
      <c r="K152" s="48"/>
      <c r="L152" s="48"/>
      <c r="M152" s="48"/>
      <c r="N152" s="49" t="str">
        <f>IF('(5).Promotion Daily'!AH152="Change","Change",IF('(5).Promotion Daily'!AH152="Stop","Stop",IF(B152="","",IF(COUNTA(D152:M152)&lt;10,"Incomplete",""))))</f>
        <v/>
      </c>
    </row>
    <row r="153" spans="1:14" ht="15.95" customHeight="1">
      <c r="A153" s="66">
        <v>3</v>
      </c>
      <c r="B153" s="63" t="str">
        <f>IF('(5).Promotion Daily'!B153="","",'(5).Promotion Daily'!B153)</f>
        <v/>
      </c>
      <c r="C153" s="67" t="str">
        <f>IF('(5).Promotion Daily'!C153="","",'(5).Promotion Daily'!C153)</f>
        <v/>
      </c>
      <c r="D153" s="47"/>
      <c r="E153" s="48"/>
      <c r="F153" s="48"/>
      <c r="G153" s="48"/>
      <c r="H153" s="48"/>
      <c r="I153" s="48"/>
      <c r="J153" s="48"/>
      <c r="K153" s="48"/>
      <c r="L153" s="48"/>
      <c r="M153" s="48"/>
      <c r="N153" s="49" t="str">
        <f>IF('(5).Promotion Daily'!AH153="Change","Change",IF('(5).Promotion Daily'!AH153="Stop","Stop",IF(B153="","",IF(COUNTA(D153:M153)&lt;10,"Incomplete",""))))</f>
        <v/>
      </c>
    </row>
    <row r="154" spans="1:14" ht="15.95" customHeight="1">
      <c r="A154" s="66">
        <v>4</v>
      </c>
      <c r="B154" s="63" t="str">
        <f>IF('(5).Promotion Daily'!B154="","",'(5).Promotion Daily'!B154)</f>
        <v/>
      </c>
      <c r="C154" s="67" t="str">
        <f>IF('(5).Promotion Daily'!C154="","",'(5).Promotion Daily'!C154)</f>
        <v/>
      </c>
      <c r="D154" s="47"/>
      <c r="E154" s="48"/>
      <c r="F154" s="48"/>
      <c r="G154" s="48"/>
      <c r="H154" s="48"/>
      <c r="I154" s="48"/>
      <c r="J154" s="48"/>
      <c r="K154" s="48"/>
      <c r="L154" s="48"/>
      <c r="M154" s="48"/>
      <c r="N154" s="49" t="str">
        <f>IF('(5).Promotion Daily'!AH154="Change","Change",IF('(5).Promotion Daily'!AH154="Stop","Stop",IF(B154="","",IF(COUNTA(D154:M154)&lt;10,"Incomplete",""))))</f>
        <v/>
      </c>
    </row>
    <row r="155" spans="1:14" ht="15.95" customHeight="1">
      <c r="A155" s="66">
        <v>5</v>
      </c>
      <c r="B155" s="63" t="str">
        <f>IF('(5).Promotion Daily'!B155="","",'(5).Promotion Daily'!B155)</f>
        <v/>
      </c>
      <c r="C155" s="67" t="str">
        <f>IF('(5).Promotion Daily'!C155="","",'(5).Promotion Daily'!C155)</f>
        <v/>
      </c>
      <c r="D155" s="47"/>
      <c r="E155" s="48"/>
      <c r="F155" s="48"/>
      <c r="G155" s="48"/>
      <c r="H155" s="48"/>
      <c r="I155" s="48"/>
      <c r="J155" s="48"/>
      <c r="K155" s="48"/>
      <c r="L155" s="48"/>
      <c r="M155" s="48"/>
      <c r="N155" s="49" t="str">
        <f>IF('(5).Promotion Daily'!AH155="Change","Change",IF('(5).Promotion Daily'!AH155="Stop","Stop",IF(B155="","",IF(COUNTA(D155:M155)&lt;10,"Incomplete",""))))</f>
        <v/>
      </c>
    </row>
    <row r="156" spans="1:14" ht="15.95" customHeight="1">
      <c r="A156" s="66">
        <v>6</v>
      </c>
      <c r="B156" s="63" t="str">
        <f>IF('(5).Promotion Daily'!B156="","",'(5).Promotion Daily'!B156)</f>
        <v/>
      </c>
      <c r="C156" s="67" t="str">
        <f>IF('(5).Promotion Daily'!C156="","",'(5).Promotion Daily'!C156)</f>
        <v/>
      </c>
      <c r="D156" s="47"/>
      <c r="E156" s="48"/>
      <c r="F156" s="48"/>
      <c r="G156" s="48"/>
      <c r="H156" s="48"/>
      <c r="I156" s="48"/>
      <c r="J156" s="48"/>
      <c r="K156" s="48"/>
      <c r="L156" s="48"/>
      <c r="M156" s="48"/>
      <c r="N156" s="49" t="str">
        <f>IF('(5).Promotion Daily'!AH156="Change","Change",IF('(5).Promotion Daily'!AH156="Stop","Stop",IF(B156="","",IF(COUNTA(D156:M156)&lt;10,"Incomplete",""))))</f>
        <v/>
      </c>
    </row>
    <row r="157" spans="1:14" ht="15.95" customHeight="1">
      <c r="A157" s="66">
        <v>7</v>
      </c>
      <c r="B157" s="63" t="str">
        <f>IF('(5).Promotion Daily'!B157="","",'(5).Promotion Daily'!B157)</f>
        <v/>
      </c>
      <c r="C157" s="67" t="str">
        <f>IF('(5).Promotion Daily'!C157="","",'(5).Promotion Daily'!C157)</f>
        <v/>
      </c>
      <c r="D157" s="47"/>
      <c r="E157" s="48"/>
      <c r="F157" s="48"/>
      <c r="G157" s="48"/>
      <c r="H157" s="48"/>
      <c r="I157" s="48"/>
      <c r="J157" s="48"/>
      <c r="K157" s="48"/>
      <c r="L157" s="48"/>
      <c r="M157" s="48"/>
      <c r="N157" s="49" t="str">
        <f>IF('(5).Promotion Daily'!AH157="Change","Change",IF('(5).Promotion Daily'!AH157="Stop","Stop",IF(B157="","",IF(COUNTA(D157:M157)&lt;10,"Incomplete",""))))</f>
        <v/>
      </c>
    </row>
    <row r="158" spans="1:14" ht="15.95" customHeight="1">
      <c r="A158" s="66">
        <v>8</v>
      </c>
      <c r="B158" s="63" t="str">
        <f>IF('(5).Promotion Daily'!B158="","",'(5).Promotion Daily'!B158)</f>
        <v/>
      </c>
      <c r="C158" s="67" t="str">
        <f>IF('(5).Promotion Daily'!C158="","",'(5).Promotion Daily'!C158)</f>
        <v/>
      </c>
      <c r="D158" s="47"/>
      <c r="E158" s="48"/>
      <c r="F158" s="48"/>
      <c r="G158" s="48"/>
      <c r="H158" s="48"/>
      <c r="I158" s="48"/>
      <c r="J158" s="48"/>
      <c r="K158" s="48"/>
      <c r="L158" s="48"/>
      <c r="M158" s="48"/>
      <c r="N158" s="49" t="str">
        <f>IF('(5).Promotion Daily'!AH158="Change","Change",IF('(5).Promotion Daily'!AH158="Stop","Stop",IF(B158="","",IF(COUNTA(D158:M158)&lt;10,"Incomplete",""))))</f>
        <v/>
      </c>
    </row>
    <row r="159" spans="1:14" ht="15.95" customHeight="1">
      <c r="A159" s="66">
        <v>9</v>
      </c>
      <c r="B159" s="63" t="str">
        <f>IF('(5).Promotion Daily'!B159="","",'(5).Promotion Daily'!B159)</f>
        <v/>
      </c>
      <c r="C159" s="67" t="str">
        <f>IF('(5).Promotion Daily'!C159="","",'(5).Promotion Daily'!C159)</f>
        <v/>
      </c>
      <c r="D159" s="47"/>
      <c r="E159" s="48"/>
      <c r="F159" s="48"/>
      <c r="G159" s="48"/>
      <c r="H159" s="48"/>
      <c r="I159" s="48"/>
      <c r="J159" s="48"/>
      <c r="K159" s="48"/>
      <c r="L159" s="48"/>
      <c r="M159" s="48"/>
      <c r="N159" s="49" t="str">
        <f>IF('(5).Promotion Daily'!AH159="Change","Change",IF('(5).Promotion Daily'!AH159="Stop","Stop",IF(B159="","",IF(COUNTA(D159:M159)&lt;10,"Incomplete",""))))</f>
        <v/>
      </c>
    </row>
    <row r="160" spans="1:14" ht="15.95" customHeight="1">
      <c r="A160" s="66">
        <v>10</v>
      </c>
      <c r="B160" s="63" t="str">
        <f>IF('(5).Promotion Daily'!B160="","",'(5).Promotion Daily'!B160)</f>
        <v/>
      </c>
      <c r="C160" s="67" t="str">
        <f>IF('(5).Promotion Daily'!C160="","",'(5).Promotion Daily'!C160)</f>
        <v/>
      </c>
      <c r="D160" s="47"/>
      <c r="E160" s="48"/>
      <c r="F160" s="48"/>
      <c r="G160" s="48"/>
      <c r="H160" s="48"/>
      <c r="I160" s="48"/>
      <c r="J160" s="48"/>
      <c r="K160" s="48"/>
      <c r="L160" s="48"/>
      <c r="M160" s="48"/>
      <c r="N160" s="49" t="str">
        <f>IF('(5).Promotion Daily'!AH160="Change","Change",IF('(5).Promotion Daily'!AH160="Stop","Stop",IF(B160="","",IF(COUNTA(D160:M160)&lt;10,"Incomplete",""))))</f>
        <v/>
      </c>
    </row>
    <row r="161" spans="1:14" ht="15.95" customHeight="1">
      <c r="A161" s="66">
        <v>11</v>
      </c>
      <c r="B161" s="63" t="str">
        <f>IF('(5).Promotion Daily'!B161="","",'(5).Promotion Daily'!B161)</f>
        <v/>
      </c>
      <c r="C161" s="67" t="str">
        <f>IF('(5).Promotion Daily'!C161="","",'(5).Promotion Daily'!C161)</f>
        <v/>
      </c>
      <c r="D161" s="47"/>
      <c r="E161" s="48"/>
      <c r="F161" s="48"/>
      <c r="G161" s="48"/>
      <c r="H161" s="48"/>
      <c r="I161" s="48"/>
      <c r="J161" s="48"/>
      <c r="K161" s="48"/>
      <c r="L161" s="48"/>
      <c r="M161" s="48"/>
      <c r="N161" s="49" t="str">
        <f>IF('(5).Promotion Daily'!AH161="Change","Change",IF('(5).Promotion Daily'!AH161="Stop","Stop",IF(B161="","",IF(COUNTA(D161:M161)&lt;10,"Incomplete",""))))</f>
        <v/>
      </c>
    </row>
    <row r="162" spans="1:14" ht="15.95" customHeight="1">
      <c r="A162" s="66">
        <v>12</v>
      </c>
      <c r="B162" s="63" t="str">
        <f>IF('(5).Promotion Daily'!B162="","",'(5).Promotion Daily'!B162)</f>
        <v/>
      </c>
      <c r="C162" s="67" t="str">
        <f>IF('(5).Promotion Daily'!C162="","",'(5).Promotion Daily'!C162)</f>
        <v/>
      </c>
      <c r="D162" s="47"/>
      <c r="E162" s="48"/>
      <c r="F162" s="48"/>
      <c r="G162" s="48"/>
      <c r="H162" s="48"/>
      <c r="I162" s="48"/>
      <c r="J162" s="48"/>
      <c r="K162" s="48"/>
      <c r="L162" s="48"/>
      <c r="M162" s="48"/>
      <c r="N162" s="49" t="str">
        <f>IF('(5).Promotion Daily'!AH162="Change","Change",IF('(5).Promotion Daily'!AH162="Stop","Stop",IF(B162="","",IF(COUNTA(D162:M162)&lt;10,"Incomplete",""))))</f>
        <v/>
      </c>
    </row>
    <row r="163" spans="1:14" ht="15.95" customHeight="1">
      <c r="A163" s="66">
        <v>13</v>
      </c>
      <c r="B163" s="63" t="str">
        <f>IF('(5).Promotion Daily'!B163="","",'(5).Promotion Daily'!B163)</f>
        <v/>
      </c>
      <c r="C163" s="67" t="str">
        <f>IF('(5).Promotion Daily'!C163="","",'(5).Promotion Daily'!C163)</f>
        <v/>
      </c>
      <c r="D163" s="47"/>
      <c r="E163" s="48"/>
      <c r="F163" s="48"/>
      <c r="G163" s="48"/>
      <c r="H163" s="48"/>
      <c r="I163" s="48"/>
      <c r="J163" s="48"/>
      <c r="K163" s="48"/>
      <c r="L163" s="48"/>
      <c r="M163" s="48"/>
      <c r="N163" s="49" t="str">
        <f>IF('(5).Promotion Daily'!AH163="Change","Change",IF('(5).Promotion Daily'!AH163="Stop","Stop",IF(B163="","",IF(COUNTA(D163:M163)&lt;10,"Incomplete",""))))</f>
        <v/>
      </c>
    </row>
    <row r="164" spans="1:14" ht="15.95" customHeight="1">
      <c r="A164" s="66">
        <v>14</v>
      </c>
      <c r="B164" s="63" t="str">
        <f>IF('(5).Promotion Daily'!B164="","",'(5).Promotion Daily'!B164)</f>
        <v/>
      </c>
      <c r="C164" s="67" t="str">
        <f>IF('(5).Promotion Daily'!C164="","",'(5).Promotion Daily'!C164)</f>
        <v/>
      </c>
      <c r="D164" s="47"/>
      <c r="E164" s="48"/>
      <c r="F164" s="48"/>
      <c r="G164" s="48"/>
      <c r="H164" s="48"/>
      <c r="I164" s="48"/>
      <c r="J164" s="48"/>
      <c r="K164" s="48"/>
      <c r="L164" s="48"/>
      <c r="M164" s="48"/>
      <c r="N164" s="49" t="str">
        <f>IF('(5).Promotion Daily'!AH164="Change","Change",IF('(5).Promotion Daily'!AH164="Stop","Stop",IF(B164="","",IF(COUNTA(D164:M164)&lt;10,"Incomplete",""))))</f>
        <v/>
      </c>
    </row>
    <row r="165" spans="1:14" ht="15.95" customHeight="1">
      <c r="A165" s="66">
        <v>15</v>
      </c>
      <c r="B165" s="63" t="str">
        <f>IF('(5).Promotion Daily'!B165="","",'(5).Promotion Daily'!B165)</f>
        <v/>
      </c>
      <c r="C165" s="67" t="str">
        <f>IF('(5).Promotion Daily'!C165="","",'(5).Promotion Daily'!C165)</f>
        <v/>
      </c>
      <c r="D165" s="47"/>
      <c r="E165" s="48"/>
      <c r="F165" s="48"/>
      <c r="G165" s="48"/>
      <c r="H165" s="48"/>
      <c r="I165" s="48"/>
      <c r="J165" s="48"/>
      <c r="K165" s="48"/>
      <c r="L165" s="48"/>
      <c r="M165" s="48"/>
      <c r="N165" s="49" t="str">
        <f>IF('(5).Promotion Daily'!AH165="Change","Change",IF('(5).Promotion Daily'!AH165="Stop","Stop",IF(B165="","",IF(COUNTA(D165:M165)&lt;10,"Incomplete",""))))</f>
        <v/>
      </c>
    </row>
    <row r="166" spans="1:14" ht="15.95" customHeight="1">
      <c r="A166" s="66">
        <v>16</v>
      </c>
      <c r="B166" s="63" t="str">
        <f>IF('(5).Promotion Daily'!B166="","",'(5).Promotion Daily'!B166)</f>
        <v/>
      </c>
      <c r="C166" s="67" t="str">
        <f>IF('(5).Promotion Daily'!C166="","",'(5).Promotion Daily'!C166)</f>
        <v/>
      </c>
      <c r="D166" s="47"/>
      <c r="E166" s="48"/>
      <c r="F166" s="48"/>
      <c r="G166" s="48"/>
      <c r="H166" s="48"/>
      <c r="I166" s="48"/>
      <c r="J166" s="48"/>
      <c r="K166" s="48"/>
      <c r="L166" s="48"/>
      <c r="M166" s="48"/>
      <c r="N166" s="49" t="str">
        <f>IF('(5).Promotion Daily'!AH166="Change","Change",IF('(5).Promotion Daily'!AH166="Stop","Stop",IF(B166="","",IF(COUNTA(D166:M166)&lt;10,"Incomplete",""))))</f>
        <v/>
      </c>
    </row>
    <row r="167" spans="1:14" ht="15.95" customHeight="1">
      <c r="A167" s="66">
        <v>17</v>
      </c>
      <c r="B167" s="63" t="str">
        <f>IF('(5).Promotion Daily'!B167="","",'(5).Promotion Daily'!B167)</f>
        <v/>
      </c>
      <c r="C167" s="67" t="str">
        <f>IF('(5).Promotion Daily'!C167="","",'(5).Promotion Daily'!C167)</f>
        <v/>
      </c>
      <c r="D167" s="47"/>
      <c r="E167" s="48"/>
      <c r="F167" s="48"/>
      <c r="G167" s="48"/>
      <c r="H167" s="48"/>
      <c r="I167" s="48"/>
      <c r="J167" s="48"/>
      <c r="K167" s="48"/>
      <c r="L167" s="48"/>
      <c r="M167" s="48"/>
      <c r="N167" s="49" t="str">
        <f>IF('(5).Promotion Daily'!AH167="Change","Change",IF('(5).Promotion Daily'!AH167="Stop","Stop",IF(B167="","",IF(COUNTA(D167:M167)&lt;10,"Incomplete",""))))</f>
        <v/>
      </c>
    </row>
    <row r="168" spans="1:14" ht="15.95" customHeight="1">
      <c r="A168" s="66">
        <v>18</v>
      </c>
      <c r="B168" s="63" t="str">
        <f>IF('(5).Promotion Daily'!B168="","",'(5).Promotion Daily'!B168)</f>
        <v/>
      </c>
      <c r="C168" s="67" t="str">
        <f>IF('(5).Promotion Daily'!C168="","",'(5).Promotion Daily'!C168)</f>
        <v/>
      </c>
      <c r="D168" s="47"/>
      <c r="E168" s="48"/>
      <c r="F168" s="48"/>
      <c r="G168" s="48"/>
      <c r="H168" s="48"/>
      <c r="I168" s="48"/>
      <c r="J168" s="48"/>
      <c r="K168" s="48"/>
      <c r="L168" s="48"/>
      <c r="M168" s="48"/>
      <c r="N168" s="49" t="str">
        <f>IF('(5).Promotion Daily'!AH168="Change","Change",IF('(5).Promotion Daily'!AH168="Stop","Stop",IF(B168="","",IF(COUNTA(D168:M168)&lt;10,"Incomplete",""))))</f>
        <v/>
      </c>
    </row>
    <row r="169" spans="1:14" ht="15.95" customHeight="1">
      <c r="A169" s="66">
        <v>19</v>
      </c>
      <c r="B169" s="63" t="str">
        <f>IF('(5).Promotion Daily'!B169="","",'(5).Promotion Daily'!B169)</f>
        <v/>
      </c>
      <c r="C169" s="67" t="str">
        <f>IF('(5).Promotion Daily'!C169="","",'(5).Promotion Daily'!C169)</f>
        <v/>
      </c>
      <c r="D169" s="47"/>
      <c r="E169" s="48"/>
      <c r="F169" s="48"/>
      <c r="G169" s="48"/>
      <c r="H169" s="48"/>
      <c r="I169" s="48"/>
      <c r="J169" s="48"/>
      <c r="K169" s="48"/>
      <c r="L169" s="48"/>
      <c r="M169" s="48"/>
      <c r="N169" s="49" t="str">
        <f>IF('(5).Promotion Daily'!AH169="Change","Change",IF('(5).Promotion Daily'!AH169="Stop","Stop",IF(B169="","",IF(COUNTA(D169:M169)&lt;10,"Incomplete",""))))</f>
        <v/>
      </c>
    </row>
    <row r="170" spans="1:14" ht="15.95" customHeight="1">
      <c r="A170" s="66">
        <v>20</v>
      </c>
      <c r="B170" s="63" t="str">
        <f>IF('(5).Promotion Daily'!B170="","",'(5).Promotion Daily'!B170)</f>
        <v/>
      </c>
      <c r="C170" s="67" t="str">
        <f>IF('(5).Promotion Daily'!C170="","",'(5).Promotion Daily'!C170)</f>
        <v/>
      </c>
      <c r="D170" s="47"/>
      <c r="E170" s="48"/>
      <c r="F170" s="48"/>
      <c r="G170" s="48"/>
      <c r="H170" s="48"/>
      <c r="I170" s="48"/>
      <c r="J170" s="48"/>
      <c r="K170" s="48"/>
      <c r="L170" s="48"/>
      <c r="M170" s="48"/>
      <c r="N170" s="49" t="str">
        <f>IF('(5).Promotion Daily'!AH170="Change","Change",IF('(5).Promotion Daily'!AH170="Stop","Stop",IF(B170="","",IF(COUNTA(D170:M170)&lt;10,"Incomplete",""))))</f>
        <v/>
      </c>
    </row>
    <row r="171" spans="1:14" ht="15.95" customHeight="1">
      <c r="A171" s="66">
        <v>21</v>
      </c>
      <c r="B171" s="63" t="str">
        <f>IF('(5).Promotion Daily'!B171="","",'(5).Promotion Daily'!B171)</f>
        <v/>
      </c>
      <c r="C171" s="67" t="str">
        <f>IF('(5).Promotion Daily'!C171="","",'(5).Promotion Daily'!C171)</f>
        <v/>
      </c>
      <c r="D171" s="47"/>
      <c r="E171" s="48"/>
      <c r="F171" s="48"/>
      <c r="G171" s="48"/>
      <c r="H171" s="48"/>
      <c r="I171" s="48"/>
      <c r="J171" s="48"/>
      <c r="K171" s="48"/>
      <c r="L171" s="48"/>
      <c r="M171" s="48"/>
      <c r="N171" s="49" t="str">
        <f>IF('(5).Promotion Daily'!AH171="Change","Change",IF('(5).Promotion Daily'!AH171="Stop","Stop",IF(B171="","",IF(COUNTA(D171:M171)&lt;10,"Incomplete",""))))</f>
        <v/>
      </c>
    </row>
    <row r="172" spans="1:14" ht="15.95" customHeight="1">
      <c r="A172" s="66">
        <v>22</v>
      </c>
      <c r="B172" s="63" t="str">
        <f>IF('(5).Promotion Daily'!B172="","",'(5).Promotion Daily'!B172)</f>
        <v/>
      </c>
      <c r="C172" s="67" t="str">
        <f>IF('(5).Promotion Daily'!C172="","",'(5).Promotion Daily'!C172)</f>
        <v/>
      </c>
      <c r="D172" s="47"/>
      <c r="E172" s="48"/>
      <c r="F172" s="48"/>
      <c r="G172" s="48"/>
      <c r="H172" s="48"/>
      <c r="I172" s="48"/>
      <c r="J172" s="48"/>
      <c r="K172" s="48"/>
      <c r="L172" s="48"/>
      <c r="M172" s="48"/>
      <c r="N172" s="49" t="str">
        <f>IF('(5).Promotion Daily'!AH172="Change","Change",IF('(5).Promotion Daily'!AH172="Stop","Stop",IF(B172="","",IF(COUNTA(D172:M172)&lt;10,"Incomplete",""))))</f>
        <v/>
      </c>
    </row>
    <row r="173" spans="1:14" ht="15.95" customHeight="1">
      <c r="A173" s="66">
        <v>23</v>
      </c>
      <c r="B173" s="63" t="str">
        <f>IF('(5).Promotion Daily'!B173="","",'(5).Promotion Daily'!B173)</f>
        <v/>
      </c>
      <c r="C173" s="67" t="str">
        <f>IF('(5).Promotion Daily'!C173="","",'(5).Promotion Daily'!C173)</f>
        <v/>
      </c>
      <c r="D173" s="47"/>
      <c r="E173" s="48"/>
      <c r="F173" s="48"/>
      <c r="G173" s="48"/>
      <c r="H173" s="48"/>
      <c r="I173" s="48"/>
      <c r="J173" s="48"/>
      <c r="K173" s="48"/>
      <c r="L173" s="48"/>
      <c r="M173" s="48"/>
      <c r="N173" s="49" t="str">
        <f>IF('(5).Promotion Daily'!AH173="Change","Change",IF('(5).Promotion Daily'!AH173="Stop","Stop",IF(B173="","",IF(COUNTA(D173:M173)&lt;10,"Incomplete",""))))</f>
        <v/>
      </c>
    </row>
    <row r="174" spans="1:14" ht="15.95" customHeight="1">
      <c r="A174" s="66">
        <v>24</v>
      </c>
      <c r="B174" s="63" t="str">
        <f>IF('(5).Promotion Daily'!B174="","",'(5).Promotion Daily'!B174)</f>
        <v/>
      </c>
      <c r="C174" s="67" t="str">
        <f>IF('(5).Promotion Daily'!C174="","",'(5).Promotion Daily'!C174)</f>
        <v/>
      </c>
      <c r="D174" s="47"/>
      <c r="E174" s="48"/>
      <c r="F174" s="48"/>
      <c r="G174" s="48"/>
      <c r="H174" s="48"/>
      <c r="I174" s="48"/>
      <c r="J174" s="48"/>
      <c r="K174" s="48"/>
      <c r="L174" s="48"/>
      <c r="M174" s="48"/>
      <c r="N174" s="49" t="str">
        <f>IF('(5).Promotion Daily'!AH174="Change","Change",IF('(5).Promotion Daily'!AH174="Stop","Stop",IF(B174="","",IF(COUNTA(D174:M174)&lt;10,"Incomplete",""))))</f>
        <v/>
      </c>
    </row>
    <row r="175" spans="1:14" ht="15.95" customHeight="1">
      <c r="A175" s="66">
        <v>25</v>
      </c>
      <c r="B175" s="63" t="str">
        <f>IF('(5).Promotion Daily'!B175="","",'(5).Promotion Daily'!B175)</f>
        <v/>
      </c>
      <c r="C175" s="67" t="str">
        <f>IF('(5).Promotion Daily'!C175="","",'(5).Promotion Daily'!C175)</f>
        <v/>
      </c>
      <c r="D175" s="47"/>
      <c r="E175" s="48"/>
      <c r="F175" s="48"/>
      <c r="G175" s="48"/>
      <c r="H175" s="48"/>
      <c r="I175" s="48"/>
      <c r="J175" s="48"/>
      <c r="K175" s="48"/>
      <c r="L175" s="48"/>
      <c r="M175" s="48"/>
      <c r="N175" s="49" t="str">
        <f>IF('(5).Promotion Daily'!AH175="Change","Change",IF('(5).Promotion Daily'!AH175="Stop","Stop",IF(B175="","",IF(COUNTA(D175:M175)&lt;10,"Incomplete",""))))</f>
        <v/>
      </c>
    </row>
    <row r="176" spans="1:14" ht="15.95" customHeight="1">
      <c r="A176" s="66">
        <v>26</v>
      </c>
      <c r="B176" s="63" t="str">
        <f>IF('(5).Promotion Daily'!B176="","",'(5).Promotion Daily'!B176)</f>
        <v/>
      </c>
      <c r="C176" s="67" t="str">
        <f>IF('(5).Promotion Daily'!C176="","",'(5).Promotion Daily'!C176)</f>
        <v/>
      </c>
      <c r="D176" s="47"/>
      <c r="E176" s="48"/>
      <c r="F176" s="48"/>
      <c r="G176" s="48"/>
      <c r="H176" s="48"/>
      <c r="I176" s="48"/>
      <c r="J176" s="48"/>
      <c r="K176" s="48"/>
      <c r="L176" s="48"/>
      <c r="M176" s="48"/>
      <c r="N176" s="49" t="str">
        <f>IF('(5).Promotion Daily'!AH176="Change","Change",IF('(5).Promotion Daily'!AH176="Stop","Stop",IF(B176="","",IF(COUNTA(D176:M176)&lt;10,"Incomplete",""))))</f>
        <v/>
      </c>
    </row>
    <row r="177" spans="1:14" ht="15.95" customHeight="1">
      <c r="A177" s="66">
        <v>27</v>
      </c>
      <c r="B177" s="63" t="str">
        <f>IF('(5).Promotion Daily'!B177="","",'(5).Promotion Daily'!B177)</f>
        <v/>
      </c>
      <c r="C177" s="67" t="str">
        <f>IF('(5).Promotion Daily'!C177="","",'(5).Promotion Daily'!C177)</f>
        <v/>
      </c>
      <c r="D177" s="47"/>
      <c r="E177" s="48"/>
      <c r="F177" s="48"/>
      <c r="G177" s="48"/>
      <c r="H177" s="48"/>
      <c r="I177" s="48"/>
      <c r="J177" s="48"/>
      <c r="K177" s="48"/>
      <c r="L177" s="48"/>
      <c r="M177" s="48"/>
      <c r="N177" s="49" t="str">
        <f>IF('(5).Promotion Daily'!AH177="Change","Change",IF('(5).Promotion Daily'!AH177="Stop","Stop",IF(B177="","",IF(COUNTA(D177:M177)&lt;10,"Incomplete",""))))</f>
        <v/>
      </c>
    </row>
    <row r="178" spans="1:14" ht="15.95" customHeight="1">
      <c r="A178" s="66">
        <v>28</v>
      </c>
      <c r="B178" s="63" t="str">
        <f>IF('(5).Promotion Daily'!B178="","",'(5).Promotion Daily'!B178)</f>
        <v/>
      </c>
      <c r="C178" s="67" t="str">
        <f>IF('(5).Promotion Daily'!C178="","",'(5).Promotion Daily'!C178)</f>
        <v/>
      </c>
      <c r="D178" s="47"/>
      <c r="E178" s="48"/>
      <c r="F178" s="48"/>
      <c r="G178" s="48"/>
      <c r="H178" s="48"/>
      <c r="I178" s="48"/>
      <c r="J178" s="48"/>
      <c r="K178" s="48"/>
      <c r="L178" s="48"/>
      <c r="M178" s="48"/>
      <c r="N178" s="49" t="str">
        <f>IF('(5).Promotion Daily'!AH178="Change","Change",IF('(5).Promotion Daily'!AH178="Stop","Stop",IF(B178="","",IF(COUNTA(D178:M178)&lt;10,"Incomplete",""))))</f>
        <v/>
      </c>
    </row>
    <row r="179" spans="1:14" ht="15.95" customHeight="1">
      <c r="A179" s="66">
        <v>29</v>
      </c>
      <c r="B179" s="63" t="str">
        <f>IF('(5).Promotion Daily'!B179="","",'(5).Promotion Daily'!B179)</f>
        <v/>
      </c>
      <c r="C179" s="67" t="str">
        <f>IF('(5).Promotion Daily'!C179="","",'(5).Promotion Daily'!C179)</f>
        <v/>
      </c>
      <c r="D179" s="47"/>
      <c r="E179" s="48"/>
      <c r="F179" s="48"/>
      <c r="G179" s="48"/>
      <c r="H179" s="48"/>
      <c r="I179" s="48"/>
      <c r="J179" s="48"/>
      <c r="K179" s="48"/>
      <c r="L179" s="48"/>
      <c r="M179" s="48"/>
      <c r="N179" s="49" t="str">
        <f>IF('(5).Promotion Daily'!AH179="Change","Change",IF('(5).Promotion Daily'!AH179="Stop","Stop",IF(B179="","",IF(COUNTA(D179:M179)&lt;10,"Incomplete",""))))</f>
        <v/>
      </c>
    </row>
    <row r="180" spans="1:14" ht="15.95" customHeight="1">
      <c r="A180" s="66">
        <v>30</v>
      </c>
      <c r="B180" s="63" t="str">
        <f>IF('(5).Promotion Daily'!B180="","",'(5).Promotion Daily'!B180)</f>
        <v/>
      </c>
      <c r="C180" s="67" t="str">
        <f>IF('(5).Promotion Daily'!C180="","",'(5).Promotion Daily'!C180)</f>
        <v/>
      </c>
      <c r="D180" s="47"/>
      <c r="E180" s="48"/>
      <c r="F180" s="48"/>
      <c r="G180" s="48"/>
      <c r="H180" s="48"/>
      <c r="I180" s="48"/>
      <c r="J180" s="48"/>
      <c r="K180" s="48"/>
      <c r="L180" s="48"/>
      <c r="M180" s="48"/>
      <c r="N180" s="49" t="str">
        <f>IF('(5).Promotion Daily'!AH180="Change","Change",IF('(5).Promotion Daily'!AH180="Stop","Stop",IF(B180="","",IF(COUNTA(D180:M180)&lt;10,"Incomplete",""))))</f>
        <v/>
      </c>
    </row>
    <row r="181" spans="1:14" ht="15.95" customHeight="1">
      <c r="A181" s="18" t="s">
        <v>0</v>
      </c>
      <c r="B181" s="19">
        <f>'(5).Promotion Daily'!B181</f>
        <v>0</v>
      </c>
      <c r="C181" s="60"/>
      <c r="D181" s="222" t="s">
        <v>120</v>
      </c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</row>
    <row r="182" spans="1:14" ht="15.95" customHeight="1">
      <c r="A182" s="18" t="s">
        <v>1</v>
      </c>
      <c r="B182" s="19">
        <f>'(5).Promotion Daily'!B182</f>
        <v>0</v>
      </c>
      <c r="C182" s="60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</row>
    <row r="183" spans="1:14" ht="15.95" customHeight="1">
      <c r="A183" s="18" t="s">
        <v>2</v>
      </c>
      <c r="B183" s="19">
        <f>'(5).Promotion Daily'!B183</f>
        <v>0</v>
      </c>
      <c r="C183" s="60"/>
      <c r="D183" s="223" t="str">
        <f>'(5).Promotion Daily'!D183</f>
        <v>FEBRUARY - JULY 2026</v>
      </c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</row>
    <row r="184" spans="1:14" ht="15.95" customHeight="1">
      <c r="A184" s="18" t="s">
        <v>3</v>
      </c>
      <c r="B184" s="19">
        <f>'(5).Promotion Daily'!B184</f>
        <v>0</v>
      </c>
      <c r="C184" s="60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</row>
    <row r="185" spans="1:14" ht="15.95" customHeight="1">
      <c r="A185" s="18" t="s">
        <v>4</v>
      </c>
      <c r="B185" s="19">
        <f>'(5).Promotion Daily'!B185</f>
        <v>0</v>
      </c>
      <c r="C185" s="61"/>
      <c r="D185" s="91" t="str">
        <f>IF(OR($B182="K5",$B182="K6",$B182="K7",$B182="K8",$B182="K9",$B182="K10"),"Listening","Up-Low C")</f>
        <v>Up-Low C</v>
      </c>
      <c r="E185" s="91" t="str">
        <f>IF(OR($B182="K5",$B182="K6",$B182="K7",$B182="K8",$B182="K9",$B182="K10"),"Speaking","Alphabet N")</f>
        <v>Alphabet N</v>
      </c>
      <c r="F185" s="91" t="str">
        <f>IF(OR($B182="K5",$B182="K6",$B182="K7",$B182="K8",$B182="K9",$B182="K10"),"Reading","Alphabet S")</f>
        <v>Alphabet S</v>
      </c>
      <c r="G185" s="91" t="str">
        <f>IF(OR($B182="K5",$B182="K6",$B182="K7",$B182="K8",$B182="K9",$B182="K10"),"Writing","Vocabulary")</f>
        <v>Vocabulary</v>
      </c>
      <c r="H185" s="91" t="str">
        <f>IF(OR($B182="K5",$B182="K6",$B182="K7",$B182="K8",$B182="K9",$B182="K10"),"Grammar","Sprouts")</f>
        <v>Sprouts</v>
      </c>
      <c r="I185" s="91" t="str">
        <f>IF(OR($B182="K5",$B182="K6",$B182="K7",$B182="K8",$B182="K9",$B182="K10"),"Vocabulary","Phonics")</f>
        <v>Phonics</v>
      </c>
      <c r="J185" s="91" t="str">
        <f>IF(OR($B182="K5",$B182="K6",$B182="K7",$B182="K8",$B182="K9",$B182="K10"),"Roots","Math")</f>
        <v>Math</v>
      </c>
      <c r="K185" s="91" t="str">
        <f>IF(OR($B182="K5",$B182="K6",$B182="K7",$B182="K8",$B182="K9",$B182="K10"),"Phonics","Shape")</f>
        <v>Shape</v>
      </c>
      <c r="L185" s="91" t="str">
        <f>IF(OR($B182="K5",$B182="K6",$B182="K7",$B182="K8",$B182="K9",$B182="K10"),"Math","Science")</f>
        <v>Science</v>
      </c>
      <c r="M185" s="91" t="str">
        <f>IF(OR($B182="K5",$B182="K6",$B182="K7",$B182="K8",$B182="K9",$B182="K10"),"Science","Tracing")</f>
        <v>Tracing</v>
      </c>
      <c r="N185" s="90" t="s">
        <v>12</v>
      </c>
    </row>
    <row r="186" spans="1:14" ht="15.95" customHeight="1" thickBot="1">
      <c r="A186" s="80" t="s">
        <v>5</v>
      </c>
      <c r="B186" s="74" t="s">
        <v>6</v>
      </c>
      <c r="C186" s="81" t="s">
        <v>7</v>
      </c>
      <c r="D186" s="76" t="s">
        <v>9</v>
      </c>
      <c r="E186" s="76" t="s">
        <v>9</v>
      </c>
      <c r="F186" s="76" t="s">
        <v>9</v>
      </c>
      <c r="G186" s="76" t="s">
        <v>9</v>
      </c>
      <c r="H186" s="76" t="s">
        <v>9</v>
      </c>
      <c r="I186" s="76" t="s">
        <v>9</v>
      </c>
      <c r="J186" s="76" t="s">
        <v>9</v>
      </c>
      <c r="K186" s="76" t="s">
        <v>9</v>
      </c>
      <c r="L186" s="76" t="s">
        <v>9</v>
      </c>
      <c r="M186" s="76" t="s">
        <v>9</v>
      </c>
      <c r="N186" s="77" t="s">
        <v>13</v>
      </c>
    </row>
    <row r="187" spans="1:14" ht="15.95" customHeight="1">
      <c r="A187" s="78">
        <v>1</v>
      </c>
      <c r="B187" s="68" t="str">
        <f>IF('(5).Promotion Daily'!B187="","",'(5).Promotion Daily'!B187)</f>
        <v/>
      </c>
      <c r="C187" s="79" t="str">
        <f>IF('(5).Promotion Daily'!C187="","",'(5).Promotion Daily'!C187)</f>
        <v/>
      </c>
      <c r="D187" s="69"/>
      <c r="E187" s="70"/>
      <c r="F187" s="70"/>
      <c r="G187" s="70"/>
      <c r="H187" s="70"/>
      <c r="I187" s="70"/>
      <c r="J187" s="70"/>
      <c r="K187" s="70"/>
      <c r="L187" s="70"/>
      <c r="M187" s="70"/>
      <c r="N187" s="71" t="str">
        <f>IF('(5).Promotion Daily'!AH187="Change","Change",IF('(5).Promotion Daily'!AH187="Stop","Stop",IF(B187="","",IF(COUNTA(D187:M187)&lt;10,"Incomplete",""))))</f>
        <v/>
      </c>
    </row>
    <row r="188" spans="1:14" ht="15.95" customHeight="1">
      <c r="A188" s="66">
        <v>2</v>
      </c>
      <c r="B188" s="63" t="str">
        <f>IF('(5).Promotion Daily'!B188="","",'(5).Promotion Daily'!B188)</f>
        <v/>
      </c>
      <c r="C188" s="67" t="str">
        <f>IF('(5).Promotion Daily'!C188="","",'(5).Promotion Daily'!C188)</f>
        <v/>
      </c>
      <c r="D188" s="47"/>
      <c r="E188" s="48"/>
      <c r="F188" s="48"/>
      <c r="G188" s="48"/>
      <c r="H188" s="48"/>
      <c r="I188" s="48"/>
      <c r="J188" s="48"/>
      <c r="K188" s="48"/>
      <c r="L188" s="48"/>
      <c r="M188" s="48"/>
      <c r="N188" s="49" t="str">
        <f>IF('(5).Promotion Daily'!AH188="Change","Change",IF('(5).Promotion Daily'!AH188="Stop","Stop",IF(B188="","",IF(COUNTA(D188:M188)&lt;10,"Incomplete",""))))</f>
        <v/>
      </c>
    </row>
    <row r="189" spans="1:14" ht="15.95" customHeight="1">
      <c r="A189" s="66">
        <v>3</v>
      </c>
      <c r="B189" s="63" t="str">
        <f>IF('(5).Promotion Daily'!B189="","",'(5).Promotion Daily'!B189)</f>
        <v/>
      </c>
      <c r="C189" s="67" t="str">
        <f>IF('(5).Promotion Daily'!C189="","",'(5).Promotion Daily'!C189)</f>
        <v/>
      </c>
      <c r="D189" s="47"/>
      <c r="E189" s="48"/>
      <c r="F189" s="48"/>
      <c r="G189" s="48"/>
      <c r="H189" s="48"/>
      <c r="I189" s="48"/>
      <c r="J189" s="48"/>
      <c r="K189" s="48"/>
      <c r="L189" s="48"/>
      <c r="M189" s="48"/>
      <c r="N189" s="49" t="str">
        <f>IF('(5).Promotion Daily'!AH189="Change","Change",IF('(5).Promotion Daily'!AH189="Stop","Stop",IF(B189="","",IF(COUNTA(D189:M189)&lt;10,"Incomplete",""))))</f>
        <v/>
      </c>
    </row>
    <row r="190" spans="1:14" ht="15.95" customHeight="1">
      <c r="A190" s="66">
        <v>4</v>
      </c>
      <c r="B190" s="63" t="str">
        <f>IF('(5).Promotion Daily'!B190="","",'(5).Promotion Daily'!B190)</f>
        <v/>
      </c>
      <c r="C190" s="67" t="str">
        <f>IF('(5).Promotion Daily'!C190="","",'(5).Promotion Daily'!C190)</f>
        <v/>
      </c>
      <c r="D190" s="47"/>
      <c r="E190" s="48"/>
      <c r="F190" s="48"/>
      <c r="G190" s="48"/>
      <c r="H190" s="48"/>
      <c r="I190" s="48"/>
      <c r="J190" s="48"/>
      <c r="K190" s="48"/>
      <c r="L190" s="48"/>
      <c r="M190" s="48"/>
      <c r="N190" s="49" t="str">
        <f>IF('(5).Promotion Daily'!AH190="Change","Change",IF('(5).Promotion Daily'!AH190="Stop","Stop",IF(B190="","",IF(COUNTA(D190:M190)&lt;10,"Incomplete",""))))</f>
        <v/>
      </c>
    </row>
    <row r="191" spans="1:14" ht="15.95" customHeight="1">
      <c r="A191" s="66">
        <v>5</v>
      </c>
      <c r="B191" s="63" t="str">
        <f>IF('(5).Promotion Daily'!B191="","",'(5).Promotion Daily'!B191)</f>
        <v/>
      </c>
      <c r="C191" s="67" t="str">
        <f>IF('(5).Promotion Daily'!C191="","",'(5).Promotion Daily'!C191)</f>
        <v/>
      </c>
      <c r="D191" s="47"/>
      <c r="E191" s="48"/>
      <c r="F191" s="48"/>
      <c r="G191" s="48"/>
      <c r="H191" s="48"/>
      <c r="I191" s="48"/>
      <c r="J191" s="48"/>
      <c r="K191" s="48"/>
      <c r="L191" s="48"/>
      <c r="M191" s="48"/>
      <c r="N191" s="49" t="str">
        <f>IF('(5).Promotion Daily'!AH191="Change","Change",IF('(5).Promotion Daily'!AH191="Stop","Stop",IF(B191="","",IF(COUNTA(D191:M191)&lt;10,"Incomplete",""))))</f>
        <v/>
      </c>
    </row>
    <row r="192" spans="1:14" ht="15.95" customHeight="1">
      <c r="A192" s="66">
        <v>6</v>
      </c>
      <c r="B192" s="63" t="str">
        <f>IF('(5).Promotion Daily'!B192="","",'(5).Promotion Daily'!B192)</f>
        <v/>
      </c>
      <c r="C192" s="67" t="str">
        <f>IF('(5).Promotion Daily'!C192="","",'(5).Promotion Daily'!C192)</f>
        <v/>
      </c>
      <c r="D192" s="47"/>
      <c r="E192" s="48"/>
      <c r="F192" s="48"/>
      <c r="G192" s="48"/>
      <c r="H192" s="48"/>
      <c r="I192" s="48"/>
      <c r="J192" s="48"/>
      <c r="K192" s="48"/>
      <c r="L192" s="48"/>
      <c r="M192" s="48"/>
      <c r="N192" s="49" t="str">
        <f>IF('(5).Promotion Daily'!AH192="Change","Change",IF('(5).Promotion Daily'!AH192="Stop","Stop",IF(B192="","",IF(COUNTA(D192:M192)&lt;10,"Incomplete",""))))</f>
        <v/>
      </c>
    </row>
    <row r="193" spans="1:14" ht="15.95" customHeight="1">
      <c r="A193" s="66">
        <v>7</v>
      </c>
      <c r="B193" s="63" t="str">
        <f>IF('(5).Promotion Daily'!B193="","",'(5).Promotion Daily'!B193)</f>
        <v/>
      </c>
      <c r="C193" s="67" t="str">
        <f>IF('(5).Promotion Daily'!C193="","",'(5).Promotion Daily'!C193)</f>
        <v/>
      </c>
      <c r="D193" s="47"/>
      <c r="E193" s="48"/>
      <c r="F193" s="48"/>
      <c r="G193" s="48"/>
      <c r="H193" s="48"/>
      <c r="I193" s="48"/>
      <c r="J193" s="48"/>
      <c r="K193" s="48"/>
      <c r="L193" s="48"/>
      <c r="M193" s="48"/>
      <c r="N193" s="49" t="str">
        <f>IF('(5).Promotion Daily'!AH193="Change","Change",IF('(5).Promotion Daily'!AH193="Stop","Stop",IF(B193="","",IF(COUNTA(D193:M193)&lt;10,"Incomplete",""))))</f>
        <v/>
      </c>
    </row>
    <row r="194" spans="1:14" ht="15.95" customHeight="1">
      <c r="A194" s="66">
        <v>8</v>
      </c>
      <c r="B194" s="63" t="str">
        <f>IF('(5).Promotion Daily'!B194="","",'(5).Promotion Daily'!B194)</f>
        <v/>
      </c>
      <c r="C194" s="67" t="str">
        <f>IF('(5).Promotion Daily'!C194="","",'(5).Promotion Daily'!C194)</f>
        <v/>
      </c>
      <c r="D194" s="47"/>
      <c r="E194" s="48"/>
      <c r="F194" s="48"/>
      <c r="G194" s="48"/>
      <c r="H194" s="48"/>
      <c r="I194" s="48"/>
      <c r="J194" s="48"/>
      <c r="K194" s="48"/>
      <c r="L194" s="48"/>
      <c r="M194" s="48"/>
      <c r="N194" s="49" t="str">
        <f>IF('(5).Promotion Daily'!AH194="Change","Change",IF('(5).Promotion Daily'!AH194="Stop","Stop",IF(B194="","",IF(COUNTA(D194:M194)&lt;10,"Incomplete",""))))</f>
        <v/>
      </c>
    </row>
    <row r="195" spans="1:14" ht="15.95" customHeight="1">
      <c r="A195" s="66">
        <v>9</v>
      </c>
      <c r="B195" s="63" t="str">
        <f>IF('(5).Promotion Daily'!B195="","",'(5).Promotion Daily'!B195)</f>
        <v/>
      </c>
      <c r="C195" s="67" t="str">
        <f>IF('(5).Promotion Daily'!C195="","",'(5).Promotion Daily'!C195)</f>
        <v/>
      </c>
      <c r="D195" s="47"/>
      <c r="E195" s="48"/>
      <c r="F195" s="48"/>
      <c r="G195" s="48"/>
      <c r="H195" s="48"/>
      <c r="I195" s="48"/>
      <c r="J195" s="48"/>
      <c r="K195" s="48"/>
      <c r="L195" s="48"/>
      <c r="M195" s="48"/>
      <c r="N195" s="49" t="str">
        <f>IF('(5).Promotion Daily'!AH195="Change","Change",IF('(5).Promotion Daily'!AH195="Stop","Stop",IF(B195="","",IF(COUNTA(D195:M195)&lt;10,"Incomplete",""))))</f>
        <v/>
      </c>
    </row>
    <row r="196" spans="1:14" ht="15.95" customHeight="1">
      <c r="A196" s="66">
        <v>10</v>
      </c>
      <c r="B196" s="63" t="str">
        <f>IF('(5).Promotion Daily'!B196="","",'(5).Promotion Daily'!B196)</f>
        <v/>
      </c>
      <c r="C196" s="67" t="str">
        <f>IF('(5).Promotion Daily'!C196="","",'(5).Promotion Daily'!C196)</f>
        <v/>
      </c>
      <c r="D196" s="47"/>
      <c r="E196" s="48"/>
      <c r="F196" s="48"/>
      <c r="G196" s="48"/>
      <c r="H196" s="48"/>
      <c r="I196" s="48"/>
      <c r="J196" s="48"/>
      <c r="K196" s="48"/>
      <c r="L196" s="48"/>
      <c r="M196" s="48"/>
      <c r="N196" s="49" t="str">
        <f>IF('(5).Promotion Daily'!AH196="Change","Change",IF('(5).Promotion Daily'!AH196="Stop","Stop",IF(B196="","",IF(COUNTA(D196:M196)&lt;10,"Incomplete",""))))</f>
        <v/>
      </c>
    </row>
    <row r="197" spans="1:14" ht="15.95" customHeight="1">
      <c r="A197" s="66">
        <v>11</v>
      </c>
      <c r="B197" s="63" t="str">
        <f>IF('(5).Promotion Daily'!B197="","",'(5).Promotion Daily'!B197)</f>
        <v/>
      </c>
      <c r="C197" s="67" t="str">
        <f>IF('(5).Promotion Daily'!C197="","",'(5).Promotion Daily'!C197)</f>
        <v/>
      </c>
      <c r="D197" s="47"/>
      <c r="E197" s="48"/>
      <c r="F197" s="48"/>
      <c r="G197" s="48"/>
      <c r="H197" s="48"/>
      <c r="I197" s="48"/>
      <c r="J197" s="48"/>
      <c r="K197" s="48"/>
      <c r="L197" s="48"/>
      <c r="M197" s="48"/>
      <c r="N197" s="49" t="str">
        <f>IF('(5).Promotion Daily'!AH197="Change","Change",IF('(5).Promotion Daily'!AH197="Stop","Stop",IF(B197="","",IF(COUNTA(D197:M197)&lt;10,"Incomplete",""))))</f>
        <v/>
      </c>
    </row>
    <row r="198" spans="1:14" ht="15.95" customHeight="1">
      <c r="A198" s="66">
        <v>12</v>
      </c>
      <c r="B198" s="63" t="str">
        <f>IF('(5).Promotion Daily'!B198="","",'(5).Promotion Daily'!B198)</f>
        <v/>
      </c>
      <c r="C198" s="67" t="str">
        <f>IF('(5).Promotion Daily'!C198="","",'(5).Promotion Daily'!C198)</f>
        <v/>
      </c>
      <c r="D198" s="47"/>
      <c r="E198" s="48"/>
      <c r="F198" s="48"/>
      <c r="G198" s="48"/>
      <c r="H198" s="48"/>
      <c r="I198" s="48"/>
      <c r="J198" s="48"/>
      <c r="K198" s="48"/>
      <c r="L198" s="48"/>
      <c r="M198" s="48"/>
      <c r="N198" s="49" t="str">
        <f>IF('(5).Promotion Daily'!AH198="Change","Change",IF('(5).Promotion Daily'!AH198="Stop","Stop",IF(B198="","",IF(COUNTA(D198:M198)&lt;10,"Incomplete",""))))</f>
        <v/>
      </c>
    </row>
    <row r="199" spans="1:14" ht="15.95" customHeight="1">
      <c r="A199" s="66">
        <v>13</v>
      </c>
      <c r="B199" s="63" t="str">
        <f>IF('(5).Promotion Daily'!B199="","",'(5).Promotion Daily'!B199)</f>
        <v/>
      </c>
      <c r="C199" s="67" t="str">
        <f>IF('(5).Promotion Daily'!C199="","",'(5).Promotion Daily'!C199)</f>
        <v/>
      </c>
      <c r="D199" s="47"/>
      <c r="E199" s="48"/>
      <c r="F199" s="48"/>
      <c r="G199" s="48"/>
      <c r="H199" s="48"/>
      <c r="I199" s="48"/>
      <c r="J199" s="48"/>
      <c r="K199" s="48"/>
      <c r="L199" s="48"/>
      <c r="M199" s="48"/>
      <c r="N199" s="49" t="str">
        <f>IF('(5).Promotion Daily'!AH199="Change","Change",IF('(5).Promotion Daily'!AH199="Stop","Stop",IF(B199="","",IF(COUNTA(D199:M199)&lt;10,"Incomplete",""))))</f>
        <v/>
      </c>
    </row>
    <row r="200" spans="1:14" ht="15.95" customHeight="1">
      <c r="A200" s="66">
        <v>14</v>
      </c>
      <c r="B200" s="63" t="str">
        <f>IF('(5).Promotion Daily'!B200="","",'(5).Promotion Daily'!B200)</f>
        <v/>
      </c>
      <c r="C200" s="67" t="str">
        <f>IF('(5).Promotion Daily'!C200="","",'(5).Promotion Daily'!C200)</f>
        <v/>
      </c>
      <c r="D200" s="47"/>
      <c r="E200" s="48"/>
      <c r="F200" s="48"/>
      <c r="G200" s="48"/>
      <c r="H200" s="48"/>
      <c r="I200" s="48"/>
      <c r="J200" s="48"/>
      <c r="K200" s="48"/>
      <c r="L200" s="48"/>
      <c r="M200" s="48"/>
      <c r="N200" s="49" t="str">
        <f>IF('(5).Promotion Daily'!AH200="Change","Change",IF('(5).Promotion Daily'!AH200="Stop","Stop",IF(B200="","",IF(COUNTA(D200:M200)&lt;10,"Incomplete",""))))</f>
        <v/>
      </c>
    </row>
    <row r="201" spans="1:14" ht="15.95" customHeight="1">
      <c r="A201" s="66">
        <v>15</v>
      </c>
      <c r="B201" s="63" t="str">
        <f>IF('(5).Promotion Daily'!B201="","",'(5).Promotion Daily'!B201)</f>
        <v/>
      </c>
      <c r="C201" s="67" t="str">
        <f>IF('(5).Promotion Daily'!C201="","",'(5).Promotion Daily'!C201)</f>
        <v/>
      </c>
      <c r="D201" s="47"/>
      <c r="E201" s="48"/>
      <c r="F201" s="48"/>
      <c r="G201" s="48"/>
      <c r="H201" s="48"/>
      <c r="I201" s="48"/>
      <c r="J201" s="48"/>
      <c r="K201" s="48"/>
      <c r="L201" s="48"/>
      <c r="M201" s="48"/>
      <c r="N201" s="49" t="str">
        <f>IF('(5).Promotion Daily'!AH201="Change","Change",IF('(5).Promotion Daily'!AH201="Stop","Stop",IF(B201="","",IF(COUNTA(D201:M201)&lt;10,"Incomplete",""))))</f>
        <v/>
      </c>
    </row>
    <row r="202" spans="1:14" ht="15.95" customHeight="1">
      <c r="A202" s="66">
        <v>16</v>
      </c>
      <c r="B202" s="63" t="str">
        <f>IF('(5).Promotion Daily'!B202="","",'(5).Promotion Daily'!B202)</f>
        <v/>
      </c>
      <c r="C202" s="67" t="str">
        <f>IF('(5).Promotion Daily'!C202="","",'(5).Promotion Daily'!C202)</f>
        <v/>
      </c>
      <c r="D202" s="47"/>
      <c r="E202" s="48"/>
      <c r="F202" s="48"/>
      <c r="G202" s="48"/>
      <c r="H202" s="48"/>
      <c r="I202" s="48"/>
      <c r="J202" s="48"/>
      <c r="K202" s="48"/>
      <c r="L202" s="48"/>
      <c r="M202" s="48"/>
      <c r="N202" s="49" t="str">
        <f>IF('(5).Promotion Daily'!AH202="Change","Change",IF('(5).Promotion Daily'!AH202="Stop","Stop",IF(B202="","",IF(COUNTA(D202:M202)&lt;10,"Incomplete",""))))</f>
        <v/>
      </c>
    </row>
    <row r="203" spans="1:14" ht="15.95" customHeight="1">
      <c r="A203" s="66">
        <v>17</v>
      </c>
      <c r="B203" s="63" t="str">
        <f>IF('(5).Promotion Daily'!B203="","",'(5).Promotion Daily'!B203)</f>
        <v/>
      </c>
      <c r="C203" s="67" t="str">
        <f>IF('(5).Promotion Daily'!C203="","",'(5).Promotion Daily'!C203)</f>
        <v/>
      </c>
      <c r="D203" s="47"/>
      <c r="E203" s="48"/>
      <c r="F203" s="48"/>
      <c r="G203" s="48"/>
      <c r="H203" s="48"/>
      <c r="I203" s="48"/>
      <c r="J203" s="48"/>
      <c r="K203" s="48"/>
      <c r="L203" s="48"/>
      <c r="M203" s="48"/>
      <c r="N203" s="49" t="str">
        <f>IF('(5).Promotion Daily'!AH203="Change","Change",IF('(5).Promotion Daily'!AH203="Stop","Stop",IF(B203="","",IF(COUNTA(D203:M203)&lt;10,"Incomplete",""))))</f>
        <v/>
      </c>
    </row>
    <row r="204" spans="1:14" ht="15.95" customHeight="1">
      <c r="A204" s="66">
        <v>18</v>
      </c>
      <c r="B204" s="63" t="str">
        <f>IF('(5).Promotion Daily'!B204="","",'(5).Promotion Daily'!B204)</f>
        <v/>
      </c>
      <c r="C204" s="67" t="str">
        <f>IF('(5).Promotion Daily'!C204="","",'(5).Promotion Daily'!C204)</f>
        <v/>
      </c>
      <c r="D204" s="47"/>
      <c r="E204" s="48"/>
      <c r="F204" s="48"/>
      <c r="G204" s="48"/>
      <c r="H204" s="48"/>
      <c r="I204" s="48"/>
      <c r="J204" s="48"/>
      <c r="K204" s="48"/>
      <c r="L204" s="48"/>
      <c r="M204" s="48"/>
      <c r="N204" s="49" t="str">
        <f>IF('(5).Promotion Daily'!AH204="Change","Change",IF('(5).Promotion Daily'!AH204="Stop","Stop",IF(B204="","",IF(COUNTA(D204:M204)&lt;10,"Incomplete",""))))</f>
        <v/>
      </c>
    </row>
    <row r="205" spans="1:14" ht="15.95" customHeight="1">
      <c r="A205" s="66">
        <v>19</v>
      </c>
      <c r="B205" s="63" t="str">
        <f>IF('(5).Promotion Daily'!B205="","",'(5).Promotion Daily'!B205)</f>
        <v/>
      </c>
      <c r="C205" s="67" t="str">
        <f>IF('(5).Promotion Daily'!C205="","",'(5).Promotion Daily'!C205)</f>
        <v/>
      </c>
      <c r="D205" s="47"/>
      <c r="E205" s="48"/>
      <c r="F205" s="48"/>
      <c r="G205" s="48"/>
      <c r="H205" s="48"/>
      <c r="I205" s="48"/>
      <c r="J205" s="48"/>
      <c r="K205" s="48"/>
      <c r="L205" s="48"/>
      <c r="M205" s="48"/>
      <c r="N205" s="49" t="str">
        <f>IF('(5).Promotion Daily'!AH205="Change","Change",IF('(5).Promotion Daily'!AH205="Stop","Stop",IF(B205="","",IF(COUNTA(D205:M205)&lt;10,"Incomplete",""))))</f>
        <v/>
      </c>
    </row>
    <row r="206" spans="1:14" ht="15.95" customHeight="1">
      <c r="A206" s="66">
        <v>20</v>
      </c>
      <c r="B206" s="63" t="str">
        <f>IF('(5).Promotion Daily'!B206="","",'(5).Promotion Daily'!B206)</f>
        <v/>
      </c>
      <c r="C206" s="67" t="str">
        <f>IF('(5).Promotion Daily'!C206="","",'(5).Promotion Daily'!C206)</f>
        <v/>
      </c>
      <c r="D206" s="47"/>
      <c r="E206" s="48"/>
      <c r="F206" s="48"/>
      <c r="G206" s="48"/>
      <c r="H206" s="48"/>
      <c r="I206" s="48"/>
      <c r="J206" s="48"/>
      <c r="K206" s="48"/>
      <c r="L206" s="48"/>
      <c r="M206" s="48"/>
      <c r="N206" s="49" t="str">
        <f>IF('(5).Promotion Daily'!AH206="Change","Change",IF('(5).Promotion Daily'!AH206="Stop","Stop",IF(B206="","",IF(COUNTA(D206:M206)&lt;10,"Incomplete",""))))</f>
        <v/>
      </c>
    </row>
    <row r="207" spans="1:14" ht="15.95" customHeight="1">
      <c r="A207" s="66">
        <v>21</v>
      </c>
      <c r="B207" s="63" t="str">
        <f>IF('(5).Promotion Daily'!B207="","",'(5).Promotion Daily'!B207)</f>
        <v/>
      </c>
      <c r="C207" s="67" t="str">
        <f>IF('(5).Promotion Daily'!C207="","",'(5).Promotion Daily'!C207)</f>
        <v/>
      </c>
      <c r="D207" s="47"/>
      <c r="E207" s="48"/>
      <c r="F207" s="48"/>
      <c r="G207" s="48"/>
      <c r="H207" s="48"/>
      <c r="I207" s="48"/>
      <c r="J207" s="48"/>
      <c r="K207" s="48"/>
      <c r="L207" s="48"/>
      <c r="M207" s="48"/>
      <c r="N207" s="49" t="str">
        <f>IF('(5).Promotion Daily'!AH207="Change","Change",IF('(5).Promotion Daily'!AH207="Stop","Stop",IF(B207="","",IF(COUNTA(D207:M207)&lt;10,"Incomplete",""))))</f>
        <v/>
      </c>
    </row>
    <row r="208" spans="1:14" ht="15.95" customHeight="1">
      <c r="A208" s="66">
        <v>22</v>
      </c>
      <c r="B208" s="63" t="str">
        <f>IF('(5).Promotion Daily'!B208="","",'(5).Promotion Daily'!B208)</f>
        <v/>
      </c>
      <c r="C208" s="67" t="str">
        <f>IF('(5).Promotion Daily'!C208="","",'(5).Promotion Daily'!C208)</f>
        <v/>
      </c>
      <c r="D208" s="47"/>
      <c r="E208" s="48"/>
      <c r="F208" s="48"/>
      <c r="G208" s="48"/>
      <c r="H208" s="48"/>
      <c r="I208" s="48"/>
      <c r="J208" s="48"/>
      <c r="K208" s="48"/>
      <c r="L208" s="48"/>
      <c r="M208" s="48"/>
      <c r="N208" s="49" t="str">
        <f>IF('(5).Promotion Daily'!AH208="Change","Change",IF('(5).Promotion Daily'!AH208="Stop","Stop",IF(B208="","",IF(COUNTA(D208:M208)&lt;10,"Incomplete",""))))</f>
        <v/>
      </c>
    </row>
    <row r="209" spans="1:14" ht="15.95" customHeight="1">
      <c r="A209" s="66">
        <v>23</v>
      </c>
      <c r="B209" s="63" t="str">
        <f>IF('(5).Promotion Daily'!B209="","",'(5).Promotion Daily'!B209)</f>
        <v/>
      </c>
      <c r="C209" s="67" t="str">
        <f>IF('(5).Promotion Daily'!C209="","",'(5).Promotion Daily'!C209)</f>
        <v/>
      </c>
      <c r="D209" s="47"/>
      <c r="E209" s="48"/>
      <c r="F209" s="48"/>
      <c r="G209" s="48"/>
      <c r="H209" s="48"/>
      <c r="I209" s="48"/>
      <c r="J209" s="48"/>
      <c r="K209" s="48"/>
      <c r="L209" s="48"/>
      <c r="M209" s="48"/>
      <c r="N209" s="49" t="str">
        <f>IF('(5).Promotion Daily'!AH209="Change","Change",IF('(5).Promotion Daily'!AH209="Stop","Stop",IF(B209="","",IF(COUNTA(D209:M209)&lt;10,"Incomplete",""))))</f>
        <v/>
      </c>
    </row>
    <row r="210" spans="1:14" ht="15.95" customHeight="1">
      <c r="A210" s="66">
        <v>24</v>
      </c>
      <c r="B210" s="63" t="str">
        <f>IF('(5).Promotion Daily'!B210="","",'(5).Promotion Daily'!B210)</f>
        <v/>
      </c>
      <c r="C210" s="67" t="str">
        <f>IF('(5).Promotion Daily'!C210="","",'(5).Promotion Daily'!C210)</f>
        <v/>
      </c>
      <c r="D210" s="47"/>
      <c r="E210" s="48"/>
      <c r="F210" s="48"/>
      <c r="G210" s="48"/>
      <c r="H210" s="48"/>
      <c r="I210" s="48"/>
      <c r="J210" s="48"/>
      <c r="K210" s="48"/>
      <c r="L210" s="48"/>
      <c r="M210" s="48"/>
      <c r="N210" s="49" t="str">
        <f>IF('(5).Promotion Daily'!AH210="Change","Change",IF('(5).Promotion Daily'!AH210="Stop","Stop",IF(B210="","",IF(COUNTA(D210:M210)&lt;10,"Incomplete",""))))</f>
        <v/>
      </c>
    </row>
    <row r="211" spans="1:14" ht="15.95" customHeight="1">
      <c r="A211" s="66">
        <v>25</v>
      </c>
      <c r="B211" s="63" t="str">
        <f>IF('(5).Promotion Daily'!B211="","",'(5).Promotion Daily'!B211)</f>
        <v/>
      </c>
      <c r="C211" s="67" t="str">
        <f>IF('(5).Promotion Daily'!C211="","",'(5).Promotion Daily'!C211)</f>
        <v/>
      </c>
      <c r="D211" s="47"/>
      <c r="E211" s="48"/>
      <c r="F211" s="48"/>
      <c r="G211" s="48"/>
      <c r="H211" s="48"/>
      <c r="I211" s="48"/>
      <c r="J211" s="48"/>
      <c r="K211" s="48"/>
      <c r="L211" s="48"/>
      <c r="M211" s="48"/>
      <c r="N211" s="49" t="str">
        <f>IF('(5).Promotion Daily'!AH211="Change","Change",IF('(5).Promotion Daily'!AH211="Stop","Stop",IF(B211="","",IF(COUNTA(D211:M211)&lt;10,"Incomplete",""))))</f>
        <v/>
      </c>
    </row>
    <row r="212" spans="1:14" ht="15.95" customHeight="1">
      <c r="A212" s="66">
        <v>26</v>
      </c>
      <c r="B212" s="63" t="str">
        <f>IF('(5).Promotion Daily'!B212="","",'(5).Promotion Daily'!B212)</f>
        <v/>
      </c>
      <c r="C212" s="67" t="str">
        <f>IF('(5).Promotion Daily'!C212="","",'(5).Promotion Daily'!C212)</f>
        <v/>
      </c>
      <c r="D212" s="47"/>
      <c r="E212" s="48"/>
      <c r="F212" s="48"/>
      <c r="G212" s="48"/>
      <c r="H212" s="48"/>
      <c r="I212" s="48"/>
      <c r="J212" s="48"/>
      <c r="K212" s="48"/>
      <c r="L212" s="48"/>
      <c r="M212" s="48"/>
      <c r="N212" s="49" t="str">
        <f>IF('(5).Promotion Daily'!AH212="Change","Change",IF('(5).Promotion Daily'!AH212="Stop","Stop",IF(B212="","",IF(COUNTA(D212:M212)&lt;10,"Incomplete",""))))</f>
        <v/>
      </c>
    </row>
    <row r="213" spans="1:14" ht="15.95" customHeight="1">
      <c r="A213" s="66">
        <v>27</v>
      </c>
      <c r="B213" s="63" t="str">
        <f>IF('(5).Promotion Daily'!B213="","",'(5).Promotion Daily'!B213)</f>
        <v/>
      </c>
      <c r="C213" s="67" t="str">
        <f>IF('(5).Promotion Daily'!C213="","",'(5).Promotion Daily'!C213)</f>
        <v/>
      </c>
      <c r="D213" s="47"/>
      <c r="E213" s="48"/>
      <c r="F213" s="48"/>
      <c r="G213" s="48"/>
      <c r="H213" s="48"/>
      <c r="I213" s="48"/>
      <c r="J213" s="48"/>
      <c r="K213" s="48"/>
      <c r="L213" s="48"/>
      <c r="M213" s="48"/>
      <c r="N213" s="49" t="str">
        <f>IF('(5).Promotion Daily'!AH213="Change","Change",IF('(5).Promotion Daily'!AH213="Stop","Stop",IF(B213="","",IF(COUNTA(D213:M213)&lt;10,"Incomplete",""))))</f>
        <v/>
      </c>
    </row>
    <row r="214" spans="1:14" ht="15.95" customHeight="1">
      <c r="A214" s="66">
        <v>28</v>
      </c>
      <c r="B214" s="63" t="str">
        <f>IF('(5).Promotion Daily'!B214="","",'(5).Promotion Daily'!B214)</f>
        <v/>
      </c>
      <c r="C214" s="67" t="str">
        <f>IF('(5).Promotion Daily'!C214="","",'(5).Promotion Daily'!C214)</f>
        <v/>
      </c>
      <c r="D214" s="47"/>
      <c r="E214" s="48"/>
      <c r="F214" s="48"/>
      <c r="G214" s="48"/>
      <c r="H214" s="48"/>
      <c r="I214" s="48"/>
      <c r="J214" s="48"/>
      <c r="K214" s="48"/>
      <c r="L214" s="48"/>
      <c r="M214" s="48"/>
      <c r="N214" s="49" t="str">
        <f>IF('(5).Promotion Daily'!AH214="Change","Change",IF('(5).Promotion Daily'!AH214="Stop","Stop",IF(B214="","",IF(COUNTA(D214:M214)&lt;10,"Incomplete",""))))</f>
        <v/>
      </c>
    </row>
    <row r="215" spans="1:14" ht="15.95" customHeight="1">
      <c r="A215" s="66">
        <v>29</v>
      </c>
      <c r="B215" s="63" t="str">
        <f>IF('(5).Promotion Daily'!B215="","",'(5).Promotion Daily'!B215)</f>
        <v/>
      </c>
      <c r="C215" s="67" t="str">
        <f>IF('(5).Promotion Daily'!C215="","",'(5).Promotion Daily'!C215)</f>
        <v/>
      </c>
      <c r="D215" s="47"/>
      <c r="E215" s="48"/>
      <c r="F215" s="48"/>
      <c r="G215" s="48"/>
      <c r="H215" s="48"/>
      <c r="I215" s="48"/>
      <c r="J215" s="48"/>
      <c r="K215" s="48"/>
      <c r="L215" s="48"/>
      <c r="M215" s="48"/>
      <c r="N215" s="49" t="str">
        <f>IF('(5).Promotion Daily'!AH215="Change","Change",IF('(5).Promotion Daily'!AH215="Stop","Stop",IF(B215="","",IF(COUNTA(D215:M215)&lt;10,"Incomplete",""))))</f>
        <v/>
      </c>
    </row>
    <row r="216" spans="1:14" ht="15.95" customHeight="1">
      <c r="A216" s="66">
        <v>30</v>
      </c>
      <c r="B216" s="63" t="str">
        <f>IF('(5).Promotion Daily'!B216="","",'(5).Promotion Daily'!B216)</f>
        <v/>
      </c>
      <c r="C216" s="67" t="str">
        <f>IF('(5).Promotion Daily'!C216="","",'(5).Promotion Daily'!C216)</f>
        <v/>
      </c>
      <c r="D216" s="47"/>
      <c r="E216" s="48"/>
      <c r="F216" s="48"/>
      <c r="G216" s="48"/>
      <c r="H216" s="48"/>
      <c r="I216" s="48"/>
      <c r="J216" s="48"/>
      <c r="K216" s="48"/>
      <c r="L216" s="48"/>
      <c r="M216" s="48"/>
      <c r="N216" s="49" t="str">
        <f>IF('(5).Promotion Daily'!AH216="Change","Change",IF('(5).Promotion Daily'!AH216="Stop","Stop",IF(B216="","",IF(COUNTA(D216:M216)&lt;10,"Incomplete",""))))</f>
        <v/>
      </c>
    </row>
  </sheetData>
  <mergeCells count="12">
    <mergeCell ref="D1:N2"/>
    <mergeCell ref="D3:N4"/>
    <mergeCell ref="D37:N38"/>
    <mergeCell ref="D39:N40"/>
    <mergeCell ref="D73:N74"/>
    <mergeCell ref="D181:N182"/>
    <mergeCell ref="D183:N184"/>
    <mergeCell ref="D75:N76"/>
    <mergeCell ref="D109:N110"/>
    <mergeCell ref="D111:N112"/>
    <mergeCell ref="D145:N146"/>
    <mergeCell ref="D147:N148"/>
  </mergeCells>
  <conditionalFormatting sqref="A7:N36">
    <cfRule type="expression" dxfId="41" priority="61">
      <formula>$N7="Late Exam"</formula>
    </cfRule>
    <cfRule type="expression" dxfId="40" priority="62">
      <formula>$N7="Stop"</formula>
    </cfRule>
    <cfRule type="expression" dxfId="39" priority="63">
      <formula>$N7="Change"</formula>
    </cfRule>
    <cfRule type="expression" dxfId="38" priority="64">
      <formula>$N7="Incomplete"</formula>
    </cfRule>
  </conditionalFormatting>
  <conditionalFormatting sqref="A43:N72">
    <cfRule type="expression" dxfId="37" priority="27">
      <formula>$N43="Change"</formula>
    </cfRule>
    <cfRule type="expression" dxfId="36" priority="26">
      <formula>$N43="Stop"</formula>
    </cfRule>
    <cfRule type="expression" dxfId="35" priority="25">
      <formula>$N43="Late Exam"</formula>
    </cfRule>
    <cfRule type="expression" dxfId="34" priority="28">
      <formula>$N43="Incomplete"</formula>
    </cfRule>
  </conditionalFormatting>
  <conditionalFormatting sqref="A79:N108">
    <cfRule type="expression" dxfId="33" priority="19">
      <formula>$N79="Late Exam"</formula>
    </cfRule>
    <cfRule type="expression" dxfId="32" priority="21">
      <formula>$N79="Change"</formula>
    </cfRule>
    <cfRule type="expression" dxfId="31" priority="20">
      <formula>$N79="Stop"</formula>
    </cfRule>
    <cfRule type="expression" dxfId="30" priority="22">
      <formula>$N79="Incomplete"</formula>
    </cfRule>
  </conditionalFormatting>
  <conditionalFormatting sqref="A115:N144">
    <cfRule type="expression" dxfId="29" priority="16">
      <formula>$N115="Incomplete"</formula>
    </cfRule>
    <cfRule type="expression" dxfId="28" priority="13">
      <formula>$N115="Late Exam"</formula>
    </cfRule>
    <cfRule type="expression" dxfId="27" priority="14">
      <formula>$N115="Stop"</formula>
    </cfRule>
    <cfRule type="expression" dxfId="26" priority="15">
      <formula>$N115="Change"</formula>
    </cfRule>
  </conditionalFormatting>
  <conditionalFormatting sqref="A151:N180">
    <cfRule type="expression" dxfId="25" priority="7">
      <formula>$N151="Late Exam"</formula>
    </cfRule>
    <cfRule type="expression" dxfId="24" priority="8">
      <formula>$N151="Stop"</formula>
    </cfRule>
    <cfRule type="expression" dxfId="23" priority="9">
      <formula>$N151="Change"</formula>
    </cfRule>
    <cfRule type="expression" dxfId="22" priority="10">
      <formula>$N151="Incomplete"</formula>
    </cfRule>
  </conditionalFormatting>
  <conditionalFormatting sqref="A187:N216">
    <cfRule type="expression" dxfId="21" priority="3">
      <formula>$N187="Change"</formula>
    </cfRule>
    <cfRule type="expression" dxfId="20" priority="4">
      <formula>$N187="Incomplete"</formula>
    </cfRule>
    <cfRule type="expression" dxfId="19" priority="1">
      <formula>$N187="Late Exam"</formula>
    </cfRule>
    <cfRule type="expression" dxfId="18" priority="2">
      <formula>$N187="Stop"</formula>
    </cfRule>
  </conditionalFormatting>
  <conditionalFormatting sqref="D7:M36">
    <cfRule type="cellIs" dxfId="17" priority="65" operator="equal">
      <formula>0</formula>
    </cfRule>
  </conditionalFormatting>
  <conditionalFormatting sqref="D43:M72">
    <cfRule type="cellIs" dxfId="16" priority="29" operator="equal">
      <formula>0</formula>
    </cfRule>
  </conditionalFormatting>
  <conditionalFormatting sqref="D79:M108">
    <cfRule type="cellIs" dxfId="15" priority="23" operator="equal">
      <formula>0</formula>
    </cfRule>
  </conditionalFormatting>
  <conditionalFormatting sqref="D115:M144">
    <cfRule type="cellIs" dxfId="14" priority="17" operator="equal">
      <formula>0</formula>
    </cfRule>
  </conditionalFormatting>
  <conditionalFormatting sqref="D151:M180">
    <cfRule type="cellIs" dxfId="13" priority="11" operator="equal">
      <formula>0</formula>
    </cfRule>
  </conditionalFormatting>
  <conditionalFormatting sqref="D187:M216">
    <cfRule type="cellIs" dxfId="12" priority="5" operator="equal">
      <formula>0</formula>
    </cfRule>
  </conditionalFormatting>
  <conditionalFormatting sqref="N7:N36">
    <cfRule type="containsText" dxfId="11" priority="66" operator="containsText" text="Incomplete">
      <formula>NOT(ISERROR(SEARCH("Incomplete",N7)))</formula>
    </cfRule>
  </conditionalFormatting>
  <conditionalFormatting sqref="N43:N72">
    <cfRule type="containsText" dxfId="10" priority="30" operator="containsText" text="Incomplete">
      <formula>NOT(ISERROR(SEARCH("Incomplete",N43)))</formula>
    </cfRule>
  </conditionalFormatting>
  <conditionalFormatting sqref="N79:N108">
    <cfRule type="containsText" dxfId="9" priority="24" operator="containsText" text="Incomplete">
      <formula>NOT(ISERROR(SEARCH("Incomplete",N79)))</formula>
    </cfRule>
  </conditionalFormatting>
  <conditionalFormatting sqref="N115:N144">
    <cfRule type="containsText" dxfId="8" priority="18" operator="containsText" text="Incomplete">
      <formula>NOT(ISERROR(SEARCH("Incomplete",N115)))</formula>
    </cfRule>
  </conditionalFormatting>
  <conditionalFormatting sqref="N151:N180">
    <cfRule type="containsText" dxfId="7" priority="12" operator="containsText" text="Incomplete">
      <formula>NOT(ISERROR(SEARCH("Incomplete",N151)))</formula>
    </cfRule>
  </conditionalFormatting>
  <conditionalFormatting sqref="N187:N216">
    <cfRule type="containsText" dxfId="6" priority="6" operator="containsText" text="Incomplete">
      <formula>NOT(ISERROR(SEARCH("Incomplete",N187)))</formula>
    </cfRule>
  </conditionalFormatting>
  <dataValidations count="1">
    <dataValidation type="decimal" allowBlank="1" showErrorMessage="1" errorTitle="Impossible!" error="Cancel it and then type the correct score." sqref="D7:M36 D43:M72 D79:M108 D115:M144 D151:M180 D187:M216" xr:uid="{68419F6A-2052-4A74-AED1-DEBE44F64550}">
      <formula1>0</formula1>
      <formula2>10</formula2>
    </dataValidation>
  </dataValidations>
  <printOptions horizontalCentered="1" verticalCentered="1"/>
  <pageMargins left="0" right="0" top="0.25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F9B0-ACE3-4044-850C-B31C6295ECD4}">
  <sheetPr>
    <tabColor rgb="FFFFC000"/>
  </sheetPr>
  <dimension ref="A1:AJ216"/>
  <sheetViews>
    <sheetView workbookViewId="0">
      <selection activeCell="AC10" sqref="AC10"/>
    </sheetView>
  </sheetViews>
  <sheetFormatPr defaultColWidth="4.7109375" defaultRowHeight="15.95" customHeight="1"/>
  <cols>
    <col min="1" max="1" width="5.7109375" style="5" customWidth="1"/>
    <col min="2" max="2" width="18.7109375" style="5" customWidth="1"/>
    <col min="3" max="3" width="4.7109375" style="5" customWidth="1"/>
    <col min="4" max="4" width="4.7109375" style="42"/>
    <col min="5" max="5" width="4.7109375" style="42" customWidth="1"/>
    <col min="6" max="14" width="4.7109375" style="42"/>
    <col min="15" max="15" width="5.7109375" style="42" customWidth="1"/>
    <col min="16" max="26" width="4.7109375" style="42"/>
    <col min="27" max="27" width="5.7109375" style="42" customWidth="1"/>
    <col min="28" max="28" width="10.7109375" style="43" customWidth="1"/>
    <col min="29" max="36" width="10.7109375" style="5" customWidth="1"/>
    <col min="37" max="16384" width="4.7109375" style="5"/>
  </cols>
  <sheetData>
    <row r="1" spans="1:36" ht="15.95" customHeight="1">
      <c r="A1" s="18" t="s">
        <v>0</v>
      </c>
      <c r="B1" s="19" t="str">
        <f>'(6).Promotion Exam'!B1</f>
        <v>C2</v>
      </c>
      <c r="C1" s="60"/>
      <c r="D1" s="222" t="s">
        <v>94</v>
      </c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F1" s="5" t="str">
        <f>B1</f>
        <v>C2</v>
      </c>
      <c r="AG1" s="5" t="str">
        <f>IF(AH1="12:30-3:00","WK",IF(AH1="3:00-5:30","WK","MF"))</f>
        <v>WK</v>
      </c>
      <c r="AH1" s="5" t="str">
        <f>B3</f>
        <v>3:00-5:30</v>
      </c>
      <c r="AI1" s="5" t="str">
        <f>B5</f>
        <v>Hong Leeheng</v>
      </c>
    </row>
    <row r="2" spans="1:36" ht="15.95" customHeight="1">
      <c r="A2" s="18" t="s">
        <v>1</v>
      </c>
      <c r="B2" s="19" t="str">
        <f>'(6).Promotion Exam'!B2</f>
        <v>K1B</v>
      </c>
      <c r="C2" s="60"/>
      <c r="D2" s="222" t="str">
        <f>'(3).Midterm Exam'!D3</f>
        <v>FEBRUARY - JULY 2026</v>
      </c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5"/>
    </row>
    <row r="3" spans="1:36" ht="15.95" customHeight="1">
      <c r="A3" s="18" t="s">
        <v>2</v>
      </c>
      <c r="B3" s="19" t="str">
        <f>'(6).Promotion Exam'!B3</f>
        <v>3:00-5:30</v>
      </c>
      <c r="C3" s="60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5"/>
    </row>
    <row r="4" spans="1:36" ht="15.95" customHeight="1">
      <c r="A4" s="18" t="s">
        <v>3</v>
      </c>
      <c r="B4" s="19">
        <f>'(6).Promotion Exam'!B4</f>
        <v>5</v>
      </c>
      <c r="C4" s="60"/>
      <c r="D4" s="92" t="s">
        <v>19</v>
      </c>
      <c r="E4" s="268" t="s">
        <v>93</v>
      </c>
      <c r="F4" s="269"/>
      <c r="G4" s="269"/>
      <c r="H4" s="269"/>
      <c r="I4" s="269"/>
      <c r="J4" s="269"/>
      <c r="K4" s="269"/>
      <c r="L4" s="269"/>
      <c r="M4" s="269"/>
      <c r="N4" s="270"/>
      <c r="O4" s="93" t="s">
        <v>95</v>
      </c>
      <c r="P4" s="92" t="s">
        <v>31</v>
      </c>
      <c r="Q4" s="268" t="s">
        <v>96</v>
      </c>
      <c r="R4" s="269"/>
      <c r="S4" s="269"/>
      <c r="T4" s="269"/>
      <c r="U4" s="269"/>
      <c r="V4" s="269"/>
      <c r="W4" s="269"/>
      <c r="X4" s="269"/>
      <c r="Y4" s="269"/>
      <c r="Z4" s="270"/>
      <c r="AA4" s="93" t="s">
        <v>95</v>
      </c>
      <c r="AB4" s="252" t="s">
        <v>27</v>
      </c>
      <c r="AC4" s="253"/>
      <c r="AD4" s="253"/>
      <c r="AE4" s="254"/>
      <c r="AF4" s="255" t="s">
        <v>20</v>
      </c>
      <c r="AG4" s="256"/>
      <c r="AH4" s="256"/>
      <c r="AI4" s="256"/>
      <c r="AJ4" s="257"/>
    </row>
    <row r="5" spans="1:36" ht="15.95" customHeight="1">
      <c r="A5" s="18" t="s">
        <v>4</v>
      </c>
      <c r="B5" s="19" t="str">
        <f>'(6).Promotion Exam'!B5</f>
        <v>Hong Leeheng</v>
      </c>
      <c r="C5" s="60"/>
      <c r="D5" s="95" t="s">
        <v>18</v>
      </c>
      <c r="E5" s="91" t="str">
        <f>IF(OR($B2="K5",$B2="K6",$B2="K7",$B2="K8",$B2="K9",$B2="K10"),"Lis","ULC")</f>
        <v>ULC</v>
      </c>
      <c r="F5" s="91" t="str">
        <f>IF(OR($B2="K5",$B2="K6",$B2="K7",$B2="K8",$B2="K9",$B2="K10"),"Spk","Alp.N")</f>
        <v>Alp.N</v>
      </c>
      <c r="G5" s="91" t="str">
        <f>IF(OR($B2="K5",$B2="K6",$B2="K7",$B2="K8",$B2="K9",$B2="K10"),"Rea","Alp.S")</f>
        <v>Alp.S</v>
      </c>
      <c r="H5" s="91" t="str">
        <f>IF(OR($B2="K5",$B2="K6",$B2="K7",$B2="K8",$B2="K9",$B2="K10"),"Wri","Voc")</f>
        <v>Voc</v>
      </c>
      <c r="I5" s="91" t="str">
        <f>IF(OR($B2="K5",$B2="K6",$B2="K7",$B2="K8",$B2="K9",$B2="K10"),"Gra","Spr")</f>
        <v>Spr</v>
      </c>
      <c r="J5" s="91" t="str">
        <f>IF(OR($B2="K5",$B2="K6",$B2="K7",$B2="K8",$B2="K9",$B2="K10"),"Voc","Pho")</f>
        <v>Pho</v>
      </c>
      <c r="K5" s="91" t="str">
        <f>IF(OR($B2="K5",$B2="K6",$B2="K7",$B2="K8",$B2="K9",$B2="K10"),"Roots","Math")</f>
        <v>Math</v>
      </c>
      <c r="L5" s="91" t="str">
        <f>IF(OR($B2="K5",$B2="K6",$B2="K7",$B2="K8",$B2="K9",$B2="K10"),"Pho","Shap")</f>
        <v>Shap</v>
      </c>
      <c r="M5" s="91" t="str">
        <f>IF(OR($B2="K5",$B2="K6",$B2="K7",$B2="K8",$B2="K9",$B2="K10"),"Math","Sci")</f>
        <v>Sci</v>
      </c>
      <c r="N5" s="91" t="str">
        <f>IF(OR($B2="K5",$B2="K6",$B2="K7",$B2="K8",$B2="K9",$B2="K10"),"Sci","Trac")</f>
        <v>Trac</v>
      </c>
      <c r="O5" s="94" t="s">
        <v>24</v>
      </c>
      <c r="P5" s="95" t="s">
        <v>18</v>
      </c>
      <c r="Q5" s="91" t="str">
        <f>IF(OR($B2="K5",$B2="K6",$B2="K7",$B2="K8",$B2="K9",$B2="K10"),"Lis","ULC")</f>
        <v>ULC</v>
      </c>
      <c r="R5" s="91" t="str">
        <f>IF(OR($B2="K5",$B2="K6",$B2="K7",$B2="K8",$B2="K9",$B2="K10"),"Spk","Alp.N")</f>
        <v>Alp.N</v>
      </c>
      <c r="S5" s="91" t="str">
        <f>IF(OR($B2="K5",$B2="K6",$B2="K7",$B2="K8",$B2="K9",$B2="K10"),"Rea","Alp.S")</f>
        <v>Alp.S</v>
      </c>
      <c r="T5" s="91" t="str">
        <f>IF(OR($B2="K5",$B2="K6",$B2="K7",$B2="K8",$B2="K9",$B2="K10"),"Wri","Voc")</f>
        <v>Voc</v>
      </c>
      <c r="U5" s="91" t="str">
        <f>IF(OR($B2="K5",$B2="K6",$B2="K7",$B2="K8",$B2="K9",$B2="K10"),"Gra","Spr")</f>
        <v>Spr</v>
      </c>
      <c r="V5" s="91" t="str">
        <f>IF(OR($B2="K5",$B2="K6",$B2="K7",$B2="K8",$B2="K9",$B2="K10"),"Voc","Pho")</f>
        <v>Pho</v>
      </c>
      <c r="W5" s="91" t="str">
        <f>IF(OR($B2="K5",$B2="K6",$B2="K7",$B2="K8",$B2="K9",$B2="K10"),"Roots","Math")</f>
        <v>Math</v>
      </c>
      <c r="X5" s="91" t="str">
        <f>IF(OR($B2="K5",$B2="K6",$B2="K7",$B2="K8",$B2="K9",$B2="K10"),"Pho","Shap")</f>
        <v>Shap</v>
      </c>
      <c r="Y5" s="91" t="str">
        <f>IF(OR($B2="K5",$B2="K6",$B2="K7",$B2="K8",$B2="K9",$B2="K10"),"Math","Sci")</f>
        <v>Sci</v>
      </c>
      <c r="Z5" s="91" t="str">
        <f>IF(OR($B2="K5",$B2="K6",$B2="K7",$B2="K8",$B2="K9",$B2="K10"),"Sci","Trac")</f>
        <v>Trac</v>
      </c>
      <c r="AA5" s="94" t="s">
        <v>24</v>
      </c>
      <c r="AB5" s="44" t="s">
        <v>23</v>
      </c>
      <c r="AC5" s="260" t="s">
        <v>25</v>
      </c>
      <c r="AD5" s="260" t="s">
        <v>26</v>
      </c>
      <c r="AE5" s="262" t="s">
        <v>22</v>
      </c>
      <c r="AF5" s="264" t="s">
        <v>21</v>
      </c>
      <c r="AG5" s="266" t="s">
        <v>119</v>
      </c>
      <c r="AH5" s="258" t="s">
        <v>32</v>
      </c>
      <c r="AI5" s="258" t="s">
        <v>33</v>
      </c>
      <c r="AJ5" s="22" t="s">
        <v>28</v>
      </c>
    </row>
    <row r="6" spans="1:36" ht="15.95" customHeight="1">
      <c r="A6" s="65" t="s">
        <v>5</v>
      </c>
      <c r="B6" s="64" t="s">
        <v>6</v>
      </c>
      <c r="C6" s="85" t="s">
        <v>7</v>
      </c>
      <c r="D6" s="99">
        <v>100</v>
      </c>
      <c r="E6" s="99">
        <v>10</v>
      </c>
      <c r="F6" s="99">
        <v>10</v>
      </c>
      <c r="G6" s="99">
        <v>10</v>
      </c>
      <c r="H6" s="99">
        <v>10</v>
      </c>
      <c r="I6" s="99">
        <v>10</v>
      </c>
      <c r="J6" s="99">
        <v>10</v>
      </c>
      <c r="K6" s="99">
        <v>10</v>
      </c>
      <c r="L6" s="99">
        <v>10</v>
      </c>
      <c r="M6" s="99">
        <v>10</v>
      </c>
      <c r="N6" s="99">
        <v>10</v>
      </c>
      <c r="O6" s="99">
        <v>100</v>
      </c>
      <c r="P6" s="99">
        <v>100</v>
      </c>
      <c r="Q6" s="99">
        <v>10</v>
      </c>
      <c r="R6" s="99">
        <v>10</v>
      </c>
      <c r="S6" s="99">
        <v>10</v>
      </c>
      <c r="T6" s="99">
        <v>10</v>
      </c>
      <c r="U6" s="99">
        <v>10</v>
      </c>
      <c r="V6" s="99">
        <v>10</v>
      </c>
      <c r="W6" s="99">
        <v>10</v>
      </c>
      <c r="X6" s="99">
        <v>10</v>
      </c>
      <c r="Y6" s="99">
        <v>10</v>
      </c>
      <c r="Z6" s="99">
        <v>10</v>
      </c>
      <c r="AA6" s="99">
        <v>100</v>
      </c>
      <c r="AB6" s="45" t="s">
        <v>24</v>
      </c>
      <c r="AC6" s="261"/>
      <c r="AD6" s="261"/>
      <c r="AE6" s="263"/>
      <c r="AF6" s="265"/>
      <c r="AG6" s="267"/>
      <c r="AH6" s="259"/>
      <c r="AI6" s="259"/>
      <c r="AJ6" s="23" t="s">
        <v>29</v>
      </c>
    </row>
    <row r="7" spans="1:36" s="12" customFormat="1" ht="15.95" customHeight="1">
      <c r="A7" s="66">
        <v>1</v>
      </c>
      <c r="B7" s="63" t="str">
        <f>IF('(6).Promotion Exam'!B7="","",'(6).Promotion Exam'!B7)</f>
        <v>Chhim Chansithika</v>
      </c>
      <c r="C7" s="79" t="str">
        <f>IF('(6).Promotion Exam'!C7="","",'(6).Promotion Exam'!C7)</f>
        <v>F</v>
      </c>
      <c r="D7" s="86">
        <f>IF('(4).Midterm Results'!D7="","",'(4).Midterm Results'!D7)</f>
        <v>85.875</v>
      </c>
      <c r="E7" s="87">
        <f>IF('(4).Midterm Results'!E7="","",'(4).Midterm Results'!E7)</f>
        <v>9</v>
      </c>
      <c r="F7" s="87">
        <f>IF('(4).Midterm Results'!F7="","",'(4).Midterm Results'!F7)</f>
        <v>8.5</v>
      </c>
      <c r="G7" s="87">
        <f>IF('(4).Midterm Results'!G7="","",'(4).Midterm Results'!G7)</f>
        <v>10</v>
      </c>
      <c r="H7" s="87">
        <f>IF('(4).Midterm Results'!H7="","",'(4).Midterm Results'!H7)</f>
        <v>5.5</v>
      </c>
      <c r="I7" s="87">
        <f>IF('(4).Midterm Results'!I7="","",'(4).Midterm Results'!I7)</f>
        <v>7.5</v>
      </c>
      <c r="J7" s="87">
        <f>IF('(4).Midterm Results'!J7="","",'(4).Midterm Results'!J7)</f>
        <v>9</v>
      </c>
      <c r="K7" s="87">
        <f>IF('(4).Midterm Results'!K7="","",'(4).Midterm Results'!K7)</f>
        <v>10</v>
      </c>
      <c r="L7" s="87">
        <f>IF('(4).Midterm Results'!L7="","",'(4).Midterm Results'!L7)</f>
        <v>10</v>
      </c>
      <c r="M7" s="87">
        <f>IF('(4).Midterm Results'!M7="","",'(4).Midterm Results'!M7)</f>
        <v>10</v>
      </c>
      <c r="N7" s="87">
        <f>IF('(4).Midterm Results'!N7="","",'(4).Midterm Results'!N7)</f>
        <v>8</v>
      </c>
      <c r="O7" s="88">
        <f>IF('(4).Midterm Results'!O7="","",'(4).Midterm Results'!O7)</f>
        <v>87.174999999999997</v>
      </c>
      <c r="P7" s="86" t="str">
        <f>IF('(5).Promotion Daily'!AH7="","",'(5).Promotion Daily'!AH7)</f>
        <v>Incomplete</v>
      </c>
      <c r="Q7" s="87" t="str">
        <f>IF('(6).Promotion Exam'!D7="","",'(6).Promotion Exam'!D7)</f>
        <v/>
      </c>
      <c r="R7" s="87" t="str">
        <f>IF('(6).Promotion Exam'!E7="","",'(6).Promotion Exam'!E7)</f>
        <v/>
      </c>
      <c r="S7" s="87" t="str">
        <f>IF('(6).Promotion Exam'!F7="","",'(6).Promotion Exam'!F7)</f>
        <v/>
      </c>
      <c r="T7" s="87" t="str">
        <f>IF('(6).Promotion Exam'!G7="","",'(6).Promotion Exam'!G7)</f>
        <v/>
      </c>
      <c r="U7" s="87" t="str">
        <f>IF('(6).Promotion Exam'!H7="","",'(6).Promotion Exam'!H7)</f>
        <v/>
      </c>
      <c r="V7" s="87" t="str">
        <f>IF('(6).Promotion Exam'!I7="","",'(6).Promotion Exam'!I7)</f>
        <v/>
      </c>
      <c r="W7" s="87" t="str">
        <f>IF('(6).Promotion Exam'!J7="","",'(6).Promotion Exam'!J7)</f>
        <v/>
      </c>
      <c r="X7" s="87" t="str">
        <f>IF('(6).Promotion Exam'!K7="","",'(6).Promotion Exam'!K7)</f>
        <v/>
      </c>
      <c r="Y7" s="87" t="str">
        <f>IF('(6).Promotion Exam'!L7="","",'(6).Promotion Exam'!L7)</f>
        <v/>
      </c>
      <c r="Z7" s="87" t="str">
        <f>IF('(6).Promotion Exam'!M7="","",'(6).Promotion Exam'!M7)</f>
        <v/>
      </c>
      <c r="AA7" s="88" t="str">
        <f>IF(B7="","",IF(P7="Incomplete","Incomplete",IF('(6).Promotion Exam'!N7="Change","Change",IF('(6).Promotion Exam'!N7="Stop","Stop",IF('(6).Promotion Exam'!N7="Incomplete","Incomplete",IF(COUNTBLANK(Q7:Z7)&gt;=1,"Incomplete",P7*20%+SUM(Q7:Z7)*80%))))))</f>
        <v>Incomplete</v>
      </c>
      <c r="AB7" s="98">
        <f>IF(O7="","",IF(O7="Incomplete","",IF(O7="Change","",IF(O7="Stop","",IF(AA7="","",SUM(O7,AA7)/2)))))</f>
        <v>43.587499999999999</v>
      </c>
      <c r="AC7" s="55" t="str">
        <f>IF(AB7="","",IF(AB7&lt;55,"Repeat",IF(AB7&lt;65,"C-",IF(AB7&lt;70,"C",IF(AB7&lt;75,"C+",IF(AB7&lt;80,"B-",IF(AB7&lt;85,"B",IF(AB7&lt;90,"B+",IF(AB7&gt;=90,"A")))))))))</f>
        <v>Repeat</v>
      </c>
      <c r="AD7" s="55" t="str">
        <f>IF(AC7="","",IF(AC7="Repeat","Repeat",IF(AC7="C-","Below Average",IF(AC7="C","Average",IF(AC7="C+","Above Average",IF(AC7="B-","Fairly Good",IF(AC7="B","Good",IF(AC7="B+","Very Good",IF(AC7="A","Excellent")))))))))</f>
        <v>Repeat</v>
      </c>
      <c r="AE7" s="56" t="str">
        <f>IF(AD7="","",IF(AD7="Repeat","ត្រួតថ្នាក់",IF(AD7="Below Average","ក្រោមមធ្យមភាគ",IF(AD7="Average","មធ្យមភាគ",IF(AD7="Above Average","លើមធ្យមភាគ",IF(AD7="Fairly Good","ល្អបង្គួរ",IF(AD7="Good","ល្អ",IF(AD7="Very Good","ល្អណាស់",IF(AD7="Excellent","ល្អប្រសើរ")))))))))</f>
        <v>ត្រួតថ្នាក់</v>
      </c>
      <c r="AF7" s="57" t="str">
        <f>IF(B7="","",$AF$1)</f>
        <v>C2</v>
      </c>
      <c r="AG7" s="97" t="str">
        <f>IF(B7="","",$AG$1)</f>
        <v>WK</v>
      </c>
      <c r="AH7" s="58" t="str">
        <f>IF(B7="","",$AH$1)</f>
        <v>3:00-5:30</v>
      </c>
      <c r="AI7" s="58" t="str">
        <f>IF(B7="","",$AI$1)</f>
        <v>Hong Leeheng</v>
      </c>
      <c r="AJ7" s="59"/>
    </row>
    <row r="8" spans="1:36" ht="15.95" customHeight="1">
      <c r="A8" s="66">
        <v>2</v>
      </c>
      <c r="B8" s="63" t="str">
        <f>IF('(6).Promotion Exam'!B8="","",'(6).Promotion Exam'!B8)</f>
        <v>Chhout Senghour</v>
      </c>
      <c r="C8" s="67" t="str">
        <f>IF('(6).Promotion Exam'!C8="","",'(6).Promotion Exam'!C8)</f>
        <v>M</v>
      </c>
      <c r="D8" s="51">
        <f>IF('(4).Midterm Results'!D8="","",'(4).Midterm Results'!D8)</f>
        <v>67.25</v>
      </c>
      <c r="E8" s="52">
        <f>IF('(4).Midterm Results'!E8="","",'(4).Midterm Results'!E8)</f>
        <v>6.5</v>
      </c>
      <c r="F8" s="52">
        <f>IF('(4).Midterm Results'!F8="","",'(4).Midterm Results'!F8)</f>
        <v>6.75</v>
      </c>
      <c r="G8" s="52">
        <f>IF('(4).Midterm Results'!G8="","",'(4).Midterm Results'!G8)</f>
        <v>3</v>
      </c>
      <c r="H8" s="52">
        <f>IF('(4).Midterm Results'!H8="","",'(4).Midterm Results'!H8)</f>
        <v>5</v>
      </c>
      <c r="I8" s="52">
        <f>IF('(4).Midterm Results'!I8="","",'(4).Midterm Results'!I8)</f>
        <v>2</v>
      </c>
      <c r="J8" s="52">
        <f>IF('(4).Midterm Results'!J8="","",'(4).Midterm Results'!J8)</f>
        <v>6</v>
      </c>
      <c r="K8" s="52">
        <f>IF('(4).Midterm Results'!K8="","",'(4).Midterm Results'!K8)</f>
        <v>10</v>
      </c>
      <c r="L8" s="52">
        <f>IF('(4).Midterm Results'!L8="","",'(4).Midterm Results'!L8)</f>
        <v>7</v>
      </c>
      <c r="M8" s="52">
        <f>IF('(4).Midterm Results'!M8="","",'(4).Midterm Results'!M8)</f>
        <v>6</v>
      </c>
      <c r="N8" s="52">
        <f>IF('(4).Midterm Results'!N8="","",'(4).Midterm Results'!N8)</f>
        <v>8</v>
      </c>
      <c r="O8" s="53">
        <f>IF('(4).Midterm Results'!O8="","",'(4).Midterm Results'!O8)</f>
        <v>61.650000000000006</v>
      </c>
      <c r="P8" s="51" t="str">
        <f>IF('(5).Promotion Daily'!AH8="","",'(5).Promotion Daily'!AH8)</f>
        <v>Incomplete</v>
      </c>
      <c r="Q8" s="52" t="str">
        <f>IF('(6).Promotion Exam'!D8="","",'(6).Promotion Exam'!D8)</f>
        <v/>
      </c>
      <c r="R8" s="52" t="str">
        <f>IF('(6).Promotion Exam'!E8="","",'(6).Promotion Exam'!E8)</f>
        <v/>
      </c>
      <c r="S8" s="52" t="str">
        <f>IF('(6).Promotion Exam'!F8="","",'(6).Promotion Exam'!F8)</f>
        <v/>
      </c>
      <c r="T8" s="52" t="str">
        <f>IF('(6).Promotion Exam'!G8="","",'(6).Promotion Exam'!G8)</f>
        <v/>
      </c>
      <c r="U8" s="52" t="str">
        <f>IF('(6).Promotion Exam'!H8="","",'(6).Promotion Exam'!H8)</f>
        <v/>
      </c>
      <c r="V8" s="52" t="str">
        <f>IF('(6).Promotion Exam'!I8="","",'(6).Promotion Exam'!I8)</f>
        <v/>
      </c>
      <c r="W8" s="52" t="str">
        <f>IF('(6).Promotion Exam'!J8="","",'(6).Promotion Exam'!J8)</f>
        <v/>
      </c>
      <c r="X8" s="52" t="str">
        <f>IF('(6).Promotion Exam'!K8="","",'(6).Promotion Exam'!K8)</f>
        <v/>
      </c>
      <c r="Y8" s="52" t="str">
        <f>IF('(6).Promotion Exam'!L8="","",'(6).Promotion Exam'!L8)</f>
        <v/>
      </c>
      <c r="Z8" s="52" t="str">
        <f>IF('(6).Promotion Exam'!M8="","",'(6).Promotion Exam'!M8)</f>
        <v/>
      </c>
      <c r="AA8" s="53" t="str">
        <f>IF(B8="","",IF(P8="Incomplete","Incomplete",IF('(6).Promotion Exam'!N8="Change","Change",IF('(6).Promotion Exam'!N8="Stop","Stop",IF('(6).Promotion Exam'!N8="Incomplete","Incomplete",IF(COUNTBLANK(Q8:Z8)&gt;=1,"Incomplete",P8*20%+SUM(Q8:Z8)*80%))))))</f>
        <v>Incomplete</v>
      </c>
      <c r="AB8" s="54">
        <f t="shared" ref="AB8:AB36" si="0">IF(O8="","",IF(O8="Incomplete","",IF(O8="Change","",IF(O8="Stop","",IF(AA8="","",SUM(O8,AA8)/2)))))</f>
        <v>30.825000000000003</v>
      </c>
      <c r="AC8" s="55" t="str">
        <f t="shared" ref="AC8:AC36" si="1">IF(AB8="","",IF(AB8&lt;55,"Repeat",IF(AB8&lt;65,"C-",IF(AB8&lt;70,"C",IF(AB8&lt;75,"C+",IF(AB8&lt;80,"B-",IF(AB8&lt;85,"B",IF(AB8&lt;90,"B+",IF(AB8&gt;=90,"A")))))))))</f>
        <v>Repeat</v>
      </c>
      <c r="AD8" s="55" t="str">
        <f t="shared" ref="AD8:AD36" si="2">IF(AC8="","",IF(AC8="Repeat","Repeat",IF(AC8="C-","Below Average",IF(AC8="C","Average",IF(AC8="C+","Above Average",IF(AC8="B-","Fairly Good",IF(AC8="B","Good",IF(AC8="B+","Very Good",IF(AC8="A","Excellent")))))))))</f>
        <v>Repeat</v>
      </c>
      <c r="AE8" s="56" t="str">
        <f t="shared" ref="AE8:AE36" si="3">IF(AD8="","",IF(AD8="Repeat","ត្រួតថ្នាក់",IF(AD8="Below Average","ក្រោមមធ្យមភាគ",IF(AD8="Average","មធ្យមភាគ",IF(AD8="Above Average","លើមធ្យមភាគ",IF(AD8="Fairly Good","ល្អបង្គួរ",IF(AD8="Good","ល្អ",IF(AD8="Very Good","ល្អណាស់",IF(AD8="Excellent","ល្អប្រសើរ")))))))))</f>
        <v>ត្រួតថ្នាក់</v>
      </c>
      <c r="AF8" s="57" t="str">
        <f t="shared" ref="AF8:AF36" si="4">IF(B8="","",$AF$1)</f>
        <v>C2</v>
      </c>
      <c r="AG8" s="97" t="str">
        <f t="shared" ref="AG8:AG36" si="5">IF(B8="","",$AG$1)</f>
        <v>WK</v>
      </c>
      <c r="AH8" s="58" t="str">
        <f t="shared" ref="AH8:AH36" si="6">IF(B8="","",$AH$1)</f>
        <v>3:00-5:30</v>
      </c>
      <c r="AI8" s="58" t="str">
        <f t="shared" ref="AI8:AI36" si="7">IF(B8="","",$AI$1)</f>
        <v>Hong Leeheng</v>
      </c>
      <c r="AJ8" s="59"/>
    </row>
    <row r="9" spans="1:36" ht="15.95" customHeight="1">
      <c r="A9" s="66">
        <v>3</v>
      </c>
      <c r="B9" s="63" t="str">
        <f>IF('(6).Promotion Exam'!B9="","",'(6).Promotion Exam'!B9)</f>
        <v>Det Phouri</v>
      </c>
      <c r="C9" s="67" t="str">
        <f>IF('(6).Promotion Exam'!C9="","",'(6).Promotion Exam'!C9)</f>
        <v>M</v>
      </c>
      <c r="D9" s="51">
        <f>IF('(4).Midterm Results'!D9="","",'(4).Midterm Results'!D9)</f>
        <v>89.625</v>
      </c>
      <c r="E9" s="52">
        <f>IF('(4).Midterm Results'!E9="","",'(4).Midterm Results'!E9)</f>
        <v>9</v>
      </c>
      <c r="F9" s="52">
        <f>IF('(4).Midterm Results'!F9="","",'(4).Midterm Results'!F9)</f>
        <v>9</v>
      </c>
      <c r="G9" s="52">
        <f>IF('(4).Midterm Results'!G9="","",'(4).Midterm Results'!G9)</f>
        <v>8.25</v>
      </c>
      <c r="H9" s="52">
        <f>IF('(4).Midterm Results'!H9="","",'(4).Midterm Results'!H9)</f>
        <v>8</v>
      </c>
      <c r="I9" s="52">
        <f>IF('(4).Midterm Results'!I9="","",'(4).Midterm Results'!I9)</f>
        <v>7.25</v>
      </c>
      <c r="J9" s="52">
        <f>IF('(4).Midterm Results'!J9="","",'(4).Midterm Results'!J9)</f>
        <v>9</v>
      </c>
      <c r="K9" s="52">
        <f>IF('(4).Midterm Results'!K9="","",'(4).Midterm Results'!K9)</f>
        <v>10</v>
      </c>
      <c r="L9" s="52">
        <f>IF('(4).Midterm Results'!L9="","",'(4).Midterm Results'!L9)</f>
        <v>8</v>
      </c>
      <c r="M9" s="52">
        <f>IF('(4).Midterm Results'!M9="","",'(4).Midterm Results'!M9)</f>
        <v>10</v>
      </c>
      <c r="N9" s="52">
        <f>IF('(4).Midterm Results'!N9="","",'(4).Midterm Results'!N9)</f>
        <v>8.5</v>
      </c>
      <c r="O9" s="53">
        <f>IF('(4).Midterm Results'!O9="","",'(4).Midterm Results'!O9)</f>
        <v>87.525000000000006</v>
      </c>
      <c r="P9" s="51" t="str">
        <f>IF('(5).Promotion Daily'!AH9="","",'(5).Promotion Daily'!AH9)</f>
        <v>Incomplete</v>
      </c>
      <c r="Q9" s="52" t="str">
        <f>IF('(6).Promotion Exam'!D9="","",'(6).Promotion Exam'!D9)</f>
        <v/>
      </c>
      <c r="R9" s="52" t="str">
        <f>IF('(6).Promotion Exam'!E9="","",'(6).Promotion Exam'!E9)</f>
        <v/>
      </c>
      <c r="S9" s="52" t="str">
        <f>IF('(6).Promotion Exam'!F9="","",'(6).Promotion Exam'!F9)</f>
        <v/>
      </c>
      <c r="T9" s="52" t="str">
        <f>IF('(6).Promotion Exam'!G9="","",'(6).Promotion Exam'!G9)</f>
        <v/>
      </c>
      <c r="U9" s="52" t="str">
        <f>IF('(6).Promotion Exam'!H9="","",'(6).Promotion Exam'!H9)</f>
        <v/>
      </c>
      <c r="V9" s="52" t="str">
        <f>IF('(6).Promotion Exam'!I9="","",'(6).Promotion Exam'!I9)</f>
        <v/>
      </c>
      <c r="W9" s="52" t="str">
        <f>IF('(6).Promotion Exam'!J9="","",'(6).Promotion Exam'!J9)</f>
        <v/>
      </c>
      <c r="X9" s="52" t="str">
        <f>IF('(6).Promotion Exam'!K9="","",'(6).Promotion Exam'!K9)</f>
        <v/>
      </c>
      <c r="Y9" s="52" t="str">
        <f>IF('(6).Promotion Exam'!L9="","",'(6).Promotion Exam'!L9)</f>
        <v/>
      </c>
      <c r="Z9" s="52" t="str">
        <f>IF('(6).Promotion Exam'!M9="","",'(6).Promotion Exam'!M9)</f>
        <v/>
      </c>
      <c r="AA9" s="53" t="str">
        <f>IF(B9="","",IF(P9="Incomplete","Incomplete",IF('(6).Promotion Exam'!N9="Change","Change",IF('(6).Promotion Exam'!N9="Stop","Stop",IF('(6).Promotion Exam'!N9="Incomplete","Incomplete",IF(COUNTBLANK(Q9:Z9)&gt;=1,"Incomplete",P9*20%+SUM(Q9:Z9)*80%))))))</f>
        <v>Incomplete</v>
      </c>
      <c r="AB9" s="54">
        <f t="shared" si="0"/>
        <v>43.762500000000003</v>
      </c>
      <c r="AC9" s="55" t="str">
        <f t="shared" si="1"/>
        <v>Repeat</v>
      </c>
      <c r="AD9" s="55" t="str">
        <f t="shared" si="2"/>
        <v>Repeat</v>
      </c>
      <c r="AE9" s="56" t="str">
        <f t="shared" si="3"/>
        <v>ត្រួតថ្នាក់</v>
      </c>
      <c r="AF9" s="57" t="str">
        <f t="shared" si="4"/>
        <v>C2</v>
      </c>
      <c r="AG9" s="97" t="str">
        <f t="shared" si="5"/>
        <v>WK</v>
      </c>
      <c r="AH9" s="58" t="str">
        <f t="shared" si="6"/>
        <v>3:00-5:30</v>
      </c>
      <c r="AI9" s="58" t="str">
        <f t="shared" si="7"/>
        <v>Hong Leeheng</v>
      </c>
      <c r="AJ9" s="59"/>
    </row>
    <row r="10" spans="1:36" ht="15.95" customHeight="1">
      <c r="A10" s="66">
        <v>4</v>
      </c>
      <c r="B10" s="63" t="str">
        <f>IF('(6).Promotion Exam'!B10="","",'(6).Promotion Exam'!B10)</f>
        <v>Dy Chanto</v>
      </c>
      <c r="C10" s="67" t="str">
        <f>IF('(6).Promotion Exam'!C10="","",'(6).Promotion Exam'!C10)</f>
        <v>M</v>
      </c>
      <c r="D10" s="51">
        <f>IF('(4).Midterm Results'!D10="","",'(4).Midterm Results'!D10)</f>
        <v>49</v>
      </c>
      <c r="E10" s="52">
        <f>IF('(4).Midterm Results'!E10="","",'(4).Midterm Results'!E10)</f>
        <v>6.5</v>
      </c>
      <c r="F10" s="52">
        <f>IF('(4).Midterm Results'!F10="","",'(4).Midterm Results'!F10)</f>
        <v>4</v>
      </c>
      <c r="G10" s="52">
        <f>IF('(4).Midterm Results'!G10="","",'(4).Midterm Results'!G10)</f>
        <v>0.5</v>
      </c>
      <c r="H10" s="52">
        <f>IF('(4).Midterm Results'!H10="","",'(4).Midterm Results'!H10)</f>
        <v>5.5</v>
      </c>
      <c r="I10" s="52">
        <f>IF('(4).Midterm Results'!I10="","",'(4).Midterm Results'!I10)</f>
        <v>3</v>
      </c>
      <c r="J10" s="52">
        <f>IF('(4).Midterm Results'!J10="","",'(4).Midterm Results'!J10)</f>
        <v>2</v>
      </c>
      <c r="K10" s="52">
        <f>IF('(4).Midterm Results'!K10="","",'(4).Midterm Results'!K10)</f>
        <v>10</v>
      </c>
      <c r="L10" s="52">
        <f>IF('(4).Midterm Results'!L10="","",'(4).Midterm Results'!L10)</f>
        <v>9</v>
      </c>
      <c r="M10" s="52">
        <f>IF('(4).Midterm Results'!M10="","",'(4).Midterm Results'!M10)</f>
        <v>6.5</v>
      </c>
      <c r="N10" s="52">
        <f>IF('(4).Midterm Results'!N10="","",'(4).Midterm Results'!N10)</f>
        <v>8</v>
      </c>
      <c r="O10" s="53">
        <f>IF('(4).Midterm Results'!O10="","",'(4).Midterm Results'!O10)</f>
        <v>53.8</v>
      </c>
      <c r="P10" s="51" t="str">
        <f>IF('(5).Promotion Daily'!AH10="","",'(5).Promotion Daily'!AH10)</f>
        <v>Incomplete</v>
      </c>
      <c r="Q10" s="52" t="str">
        <f>IF('(6).Promotion Exam'!D10="","",'(6).Promotion Exam'!D10)</f>
        <v/>
      </c>
      <c r="R10" s="52" t="str">
        <f>IF('(6).Promotion Exam'!E10="","",'(6).Promotion Exam'!E10)</f>
        <v/>
      </c>
      <c r="S10" s="52" t="str">
        <f>IF('(6).Promotion Exam'!F10="","",'(6).Promotion Exam'!F10)</f>
        <v/>
      </c>
      <c r="T10" s="52" t="str">
        <f>IF('(6).Promotion Exam'!G10="","",'(6).Promotion Exam'!G10)</f>
        <v/>
      </c>
      <c r="U10" s="52" t="str">
        <f>IF('(6).Promotion Exam'!H10="","",'(6).Promotion Exam'!H10)</f>
        <v/>
      </c>
      <c r="V10" s="52" t="str">
        <f>IF('(6).Promotion Exam'!I10="","",'(6).Promotion Exam'!I10)</f>
        <v/>
      </c>
      <c r="W10" s="52" t="str">
        <f>IF('(6).Promotion Exam'!J10="","",'(6).Promotion Exam'!J10)</f>
        <v/>
      </c>
      <c r="X10" s="52" t="str">
        <f>IF('(6).Promotion Exam'!K10="","",'(6).Promotion Exam'!K10)</f>
        <v/>
      </c>
      <c r="Y10" s="52" t="str">
        <f>IF('(6).Promotion Exam'!L10="","",'(6).Promotion Exam'!L10)</f>
        <v/>
      </c>
      <c r="Z10" s="52" t="str">
        <f>IF('(6).Promotion Exam'!M10="","",'(6).Promotion Exam'!M10)</f>
        <v/>
      </c>
      <c r="AA10" s="53" t="str">
        <f>IF(B10="","",IF(P10="Incomplete","Incomplete",IF('(6).Promotion Exam'!N10="Change","Change",IF('(6).Promotion Exam'!N10="Stop","Stop",IF('(6).Promotion Exam'!N10="Incomplete","Incomplete",IF(COUNTBLANK(Q10:Z10)&gt;=1,"Incomplete",P10*20%+SUM(Q10:Z10)*80%))))))</f>
        <v>Incomplete</v>
      </c>
      <c r="AB10" s="54">
        <f t="shared" si="0"/>
        <v>26.9</v>
      </c>
      <c r="AC10" s="55" t="str">
        <f t="shared" si="1"/>
        <v>Repeat</v>
      </c>
      <c r="AD10" s="55" t="str">
        <f t="shared" si="2"/>
        <v>Repeat</v>
      </c>
      <c r="AE10" s="56" t="str">
        <f t="shared" si="3"/>
        <v>ត្រួតថ្នាក់</v>
      </c>
      <c r="AF10" s="57" t="str">
        <f t="shared" si="4"/>
        <v>C2</v>
      </c>
      <c r="AG10" s="97" t="str">
        <f t="shared" si="5"/>
        <v>WK</v>
      </c>
      <c r="AH10" s="58" t="str">
        <f t="shared" si="6"/>
        <v>3:00-5:30</v>
      </c>
      <c r="AI10" s="58" t="str">
        <f t="shared" si="7"/>
        <v>Hong Leeheng</v>
      </c>
      <c r="AJ10" s="59"/>
    </row>
    <row r="11" spans="1:36" ht="15.95" customHeight="1">
      <c r="A11" s="66">
        <v>5</v>
      </c>
      <c r="B11" s="63" t="str">
        <f>IF('(6).Promotion Exam'!B11="","",'(6).Promotion Exam'!B11)</f>
        <v>Dy Meyly</v>
      </c>
      <c r="C11" s="67" t="str">
        <f>IF('(6).Promotion Exam'!C11="","",'(6).Promotion Exam'!C11)</f>
        <v>F</v>
      </c>
      <c r="D11" s="51">
        <f>IF('(4).Midterm Results'!D11="","",'(4).Midterm Results'!D11)</f>
        <v>96.625</v>
      </c>
      <c r="E11" s="52">
        <f>IF('(4).Midterm Results'!E11="","",'(4).Midterm Results'!E11)</f>
        <v>10</v>
      </c>
      <c r="F11" s="52">
        <f>IF('(4).Midterm Results'!F11="","",'(4).Midterm Results'!F11)</f>
        <v>10</v>
      </c>
      <c r="G11" s="52">
        <f>IF('(4).Midterm Results'!G11="","",'(4).Midterm Results'!G11)</f>
        <v>10</v>
      </c>
      <c r="H11" s="52">
        <f>IF('(4).Midterm Results'!H11="","",'(4).Midterm Results'!H11)</f>
        <v>10</v>
      </c>
      <c r="I11" s="52">
        <f>IF('(4).Midterm Results'!I11="","",'(4).Midterm Results'!I11)</f>
        <v>10</v>
      </c>
      <c r="J11" s="52">
        <f>IF('(4).Midterm Results'!J11="","",'(4).Midterm Results'!J11)</f>
        <v>10</v>
      </c>
      <c r="K11" s="52">
        <f>IF('(4).Midterm Results'!K11="","",'(4).Midterm Results'!K11)</f>
        <v>10</v>
      </c>
      <c r="L11" s="52">
        <f>IF('(4).Midterm Results'!L11="","",'(4).Midterm Results'!L11)</f>
        <v>10</v>
      </c>
      <c r="M11" s="52">
        <f>IF('(4).Midterm Results'!M11="","",'(4).Midterm Results'!M11)</f>
        <v>10</v>
      </c>
      <c r="N11" s="52">
        <f>IF('(4).Midterm Results'!N11="","",'(4).Midterm Results'!N11)</f>
        <v>10</v>
      </c>
      <c r="O11" s="53">
        <f>IF('(4).Midterm Results'!O11="","",'(4).Midterm Results'!O11)</f>
        <v>99.325000000000003</v>
      </c>
      <c r="P11" s="51" t="str">
        <f>IF('(5).Promotion Daily'!AH11="","",'(5).Promotion Daily'!AH11)</f>
        <v>Incomplete</v>
      </c>
      <c r="Q11" s="52" t="str">
        <f>IF('(6).Promotion Exam'!D11="","",'(6).Promotion Exam'!D11)</f>
        <v/>
      </c>
      <c r="R11" s="52" t="str">
        <f>IF('(6).Promotion Exam'!E11="","",'(6).Promotion Exam'!E11)</f>
        <v/>
      </c>
      <c r="S11" s="52" t="str">
        <f>IF('(6).Promotion Exam'!F11="","",'(6).Promotion Exam'!F11)</f>
        <v/>
      </c>
      <c r="T11" s="52" t="str">
        <f>IF('(6).Promotion Exam'!G11="","",'(6).Promotion Exam'!G11)</f>
        <v/>
      </c>
      <c r="U11" s="52" t="str">
        <f>IF('(6).Promotion Exam'!H11="","",'(6).Promotion Exam'!H11)</f>
        <v/>
      </c>
      <c r="V11" s="52" t="str">
        <f>IF('(6).Promotion Exam'!I11="","",'(6).Promotion Exam'!I11)</f>
        <v/>
      </c>
      <c r="W11" s="52" t="str">
        <f>IF('(6).Promotion Exam'!J11="","",'(6).Promotion Exam'!J11)</f>
        <v/>
      </c>
      <c r="X11" s="52" t="str">
        <f>IF('(6).Promotion Exam'!K11="","",'(6).Promotion Exam'!K11)</f>
        <v/>
      </c>
      <c r="Y11" s="52" t="str">
        <f>IF('(6).Promotion Exam'!L11="","",'(6).Promotion Exam'!L11)</f>
        <v/>
      </c>
      <c r="Z11" s="52" t="str">
        <f>IF('(6).Promotion Exam'!M11="","",'(6).Promotion Exam'!M11)</f>
        <v/>
      </c>
      <c r="AA11" s="53" t="str">
        <f>IF(B11="","",IF(P11="Incomplete","Incomplete",IF('(6).Promotion Exam'!N11="Change","Change",IF('(6).Promotion Exam'!N11="Stop","Stop",IF('(6).Promotion Exam'!N11="Incomplete","Incomplete",IF(COUNTBLANK(Q11:Z11)&gt;=1,"Incomplete",P11*20%+SUM(Q11:Z11)*80%))))))</f>
        <v>Incomplete</v>
      </c>
      <c r="AB11" s="54">
        <f t="shared" si="0"/>
        <v>49.662500000000001</v>
      </c>
      <c r="AC11" s="55" t="str">
        <f t="shared" si="1"/>
        <v>Repeat</v>
      </c>
      <c r="AD11" s="55" t="str">
        <f t="shared" si="2"/>
        <v>Repeat</v>
      </c>
      <c r="AE11" s="56" t="str">
        <f t="shared" si="3"/>
        <v>ត្រួតថ្នាក់</v>
      </c>
      <c r="AF11" s="57" t="str">
        <f t="shared" si="4"/>
        <v>C2</v>
      </c>
      <c r="AG11" s="97" t="str">
        <f t="shared" si="5"/>
        <v>WK</v>
      </c>
      <c r="AH11" s="58" t="str">
        <f t="shared" si="6"/>
        <v>3:00-5:30</v>
      </c>
      <c r="AI11" s="58" t="str">
        <f t="shared" si="7"/>
        <v>Hong Leeheng</v>
      </c>
      <c r="AJ11" s="59"/>
    </row>
    <row r="12" spans="1:36" ht="15.95" customHeight="1">
      <c r="A12" s="66">
        <v>6</v>
      </c>
      <c r="B12" s="63" t="str">
        <f>IF('(6).Promotion Exam'!B12="","",'(6).Promotion Exam'!B12)</f>
        <v>Heang Limhak</v>
      </c>
      <c r="C12" s="67" t="str">
        <f>IF('(6).Promotion Exam'!C12="","",'(6).Promotion Exam'!C12)</f>
        <v>M</v>
      </c>
      <c r="D12" s="51">
        <f>IF('(4).Midterm Results'!D12="","",'(4).Midterm Results'!D12)</f>
        <v>83.25</v>
      </c>
      <c r="E12" s="52">
        <f>IF('(4).Midterm Results'!E12="","",'(4).Midterm Results'!E12)</f>
        <v>9.75</v>
      </c>
      <c r="F12" s="52">
        <f>IF('(4).Midterm Results'!F12="","",'(4).Midterm Results'!F12)</f>
        <v>8.75</v>
      </c>
      <c r="G12" s="52">
        <f>IF('(4).Midterm Results'!G12="","",'(4).Midterm Results'!G12)</f>
        <v>9.5</v>
      </c>
      <c r="H12" s="52">
        <f>IF('(4).Midterm Results'!H12="","",'(4).Midterm Results'!H12)</f>
        <v>8</v>
      </c>
      <c r="I12" s="52">
        <f>IF('(4).Midterm Results'!I12="","",'(4).Midterm Results'!I12)</f>
        <v>5</v>
      </c>
      <c r="J12" s="52">
        <f>IF('(4).Midterm Results'!J12="","",'(4).Midterm Results'!J12)</f>
        <v>10</v>
      </c>
      <c r="K12" s="52">
        <f>IF('(4).Midterm Results'!K12="","",'(4).Midterm Results'!K12)</f>
        <v>7</v>
      </c>
      <c r="L12" s="52">
        <f>IF('(4).Midterm Results'!L12="","",'(4).Midterm Results'!L12)</f>
        <v>7</v>
      </c>
      <c r="M12" s="52">
        <f>IF('(4).Midterm Results'!M12="","",'(4).Midterm Results'!M12)</f>
        <v>9</v>
      </c>
      <c r="N12" s="52">
        <f>IF('(4).Midterm Results'!N12="","",'(4).Midterm Results'!N12)</f>
        <v>9.5</v>
      </c>
      <c r="O12" s="53">
        <f>IF('(4).Midterm Results'!O12="","",'(4).Midterm Results'!O12)</f>
        <v>83.45</v>
      </c>
      <c r="P12" s="51" t="str">
        <f>IF('(5).Promotion Daily'!AH12="","",'(5).Promotion Daily'!AH12)</f>
        <v>Incomplete</v>
      </c>
      <c r="Q12" s="52" t="str">
        <f>IF('(6).Promotion Exam'!D12="","",'(6).Promotion Exam'!D12)</f>
        <v/>
      </c>
      <c r="R12" s="52" t="str">
        <f>IF('(6).Promotion Exam'!E12="","",'(6).Promotion Exam'!E12)</f>
        <v/>
      </c>
      <c r="S12" s="52" t="str">
        <f>IF('(6).Promotion Exam'!F12="","",'(6).Promotion Exam'!F12)</f>
        <v/>
      </c>
      <c r="T12" s="52" t="str">
        <f>IF('(6).Promotion Exam'!G12="","",'(6).Promotion Exam'!G12)</f>
        <v/>
      </c>
      <c r="U12" s="52" t="str">
        <f>IF('(6).Promotion Exam'!H12="","",'(6).Promotion Exam'!H12)</f>
        <v/>
      </c>
      <c r="V12" s="52" t="str">
        <f>IF('(6).Promotion Exam'!I12="","",'(6).Promotion Exam'!I12)</f>
        <v/>
      </c>
      <c r="W12" s="52" t="str">
        <f>IF('(6).Promotion Exam'!J12="","",'(6).Promotion Exam'!J12)</f>
        <v/>
      </c>
      <c r="X12" s="52" t="str">
        <f>IF('(6).Promotion Exam'!K12="","",'(6).Promotion Exam'!K12)</f>
        <v/>
      </c>
      <c r="Y12" s="52" t="str">
        <f>IF('(6).Promotion Exam'!L12="","",'(6).Promotion Exam'!L12)</f>
        <v/>
      </c>
      <c r="Z12" s="52" t="str">
        <f>IF('(6).Promotion Exam'!M12="","",'(6).Promotion Exam'!M12)</f>
        <v/>
      </c>
      <c r="AA12" s="53" t="str">
        <f>IF(B12="","",IF(P12="Incomplete","Incomplete",IF('(6).Promotion Exam'!N12="Change","Change",IF('(6).Promotion Exam'!N12="Stop","Stop",IF('(6).Promotion Exam'!N12="Incomplete","Incomplete",IF(COUNTBLANK(Q12:Z12)&gt;=1,"Incomplete",P12*20%+SUM(Q12:Z12)*80%))))))</f>
        <v>Incomplete</v>
      </c>
      <c r="AB12" s="54">
        <f t="shared" si="0"/>
        <v>41.725000000000001</v>
      </c>
      <c r="AC12" s="55" t="str">
        <f t="shared" si="1"/>
        <v>Repeat</v>
      </c>
      <c r="AD12" s="55" t="str">
        <f t="shared" si="2"/>
        <v>Repeat</v>
      </c>
      <c r="AE12" s="56" t="str">
        <f t="shared" si="3"/>
        <v>ត្រួតថ្នាក់</v>
      </c>
      <c r="AF12" s="57" t="str">
        <f t="shared" si="4"/>
        <v>C2</v>
      </c>
      <c r="AG12" s="97" t="str">
        <f t="shared" si="5"/>
        <v>WK</v>
      </c>
      <c r="AH12" s="58" t="str">
        <f t="shared" si="6"/>
        <v>3:00-5:30</v>
      </c>
      <c r="AI12" s="58" t="str">
        <f t="shared" si="7"/>
        <v>Hong Leeheng</v>
      </c>
      <c r="AJ12" s="59"/>
    </row>
    <row r="13" spans="1:36" ht="15.95" customHeight="1">
      <c r="A13" s="66">
        <v>7</v>
      </c>
      <c r="B13" s="63" t="str">
        <f>IF('(6).Promotion Exam'!B13="","",'(6).Promotion Exam'!B13)</f>
        <v>Keo Tepsatsjak</v>
      </c>
      <c r="C13" s="67" t="str">
        <f>IF('(6).Promotion Exam'!C13="","",'(6).Promotion Exam'!C13)</f>
        <v>M</v>
      </c>
      <c r="D13" s="51">
        <f>IF('(4).Midterm Results'!D13="","",'(4).Midterm Results'!D13)</f>
        <v>91.5</v>
      </c>
      <c r="E13" s="52">
        <f>IF('(4).Midterm Results'!E13="","",'(4).Midterm Results'!E13)</f>
        <v>9</v>
      </c>
      <c r="F13" s="52">
        <f>IF('(4).Midterm Results'!F13="","",'(4).Midterm Results'!F13)</f>
        <v>8.5</v>
      </c>
      <c r="G13" s="52">
        <f>IF('(4).Midterm Results'!G13="","",'(4).Midterm Results'!G13)</f>
        <v>10</v>
      </c>
      <c r="H13" s="52">
        <f>IF('(4).Midterm Results'!H13="","",'(4).Midterm Results'!H13)</f>
        <v>9.5</v>
      </c>
      <c r="I13" s="52">
        <f>IF('(4).Midterm Results'!I13="","",'(4).Midterm Results'!I13)</f>
        <v>9</v>
      </c>
      <c r="J13" s="52">
        <f>IF('(4).Midterm Results'!J13="","",'(4).Midterm Results'!J13)</f>
        <v>10</v>
      </c>
      <c r="K13" s="52">
        <f>IF('(4).Midterm Results'!K13="","",'(4).Midterm Results'!K13)</f>
        <v>10</v>
      </c>
      <c r="L13" s="52">
        <f>IF('(4).Midterm Results'!L13="","",'(4).Midterm Results'!L13)</f>
        <v>10</v>
      </c>
      <c r="M13" s="52">
        <f>IF('(4).Midterm Results'!M13="","",'(4).Midterm Results'!M13)</f>
        <v>10</v>
      </c>
      <c r="N13" s="52">
        <f>IF('(4).Midterm Results'!N13="","",'(4).Midterm Results'!N13)</f>
        <v>9.75</v>
      </c>
      <c r="O13" s="53">
        <f>IF('(4).Midterm Results'!O13="","",'(4).Midterm Results'!O13)</f>
        <v>94.9</v>
      </c>
      <c r="P13" s="51" t="str">
        <f>IF('(5).Promotion Daily'!AH13="","",'(5).Promotion Daily'!AH13)</f>
        <v>Incomplete</v>
      </c>
      <c r="Q13" s="52" t="str">
        <f>IF('(6).Promotion Exam'!D13="","",'(6).Promotion Exam'!D13)</f>
        <v/>
      </c>
      <c r="R13" s="52" t="str">
        <f>IF('(6).Promotion Exam'!E13="","",'(6).Promotion Exam'!E13)</f>
        <v/>
      </c>
      <c r="S13" s="52" t="str">
        <f>IF('(6).Promotion Exam'!F13="","",'(6).Promotion Exam'!F13)</f>
        <v/>
      </c>
      <c r="T13" s="52" t="str">
        <f>IF('(6).Promotion Exam'!G13="","",'(6).Promotion Exam'!G13)</f>
        <v/>
      </c>
      <c r="U13" s="52" t="str">
        <f>IF('(6).Promotion Exam'!H13="","",'(6).Promotion Exam'!H13)</f>
        <v/>
      </c>
      <c r="V13" s="52" t="str">
        <f>IF('(6).Promotion Exam'!I13="","",'(6).Promotion Exam'!I13)</f>
        <v/>
      </c>
      <c r="W13" s="52" t="str">
        <f>IF('(6).Promotion Exam'!J13="","",'(6).Promotion Exam'!J13)</f>
        <v/>
      </c>
      <c r="X13" s="52" t="str">
        <f>IF('(6).Promotion Exam'!K13="","",'(6).Promotion Exam'!K13)</f>
        <v/>
      </c>
      <c r="Y13" s="52" t="str">
        <f>IF('(6).Promotion Exam'!L13="","",'(6).Promotion Exam'!L13)</f>
        <v/>
      </c>
      <c r="Z13" s="52" t="str">
        <f>IF('(6).Promotion Exam'!M13="","",'(6).Promotion Exam'!M13)</f>
        <v/>
      </c>
      <c r="AA13" s="53" t="str">
        <f>IF(B13="","",IF(P13="Incomplete","Incomplete",IF('(6).Promotion Exam'!N13="Change","Change",IF('(6).Promotion Exam'!N13="Stop","Stop",IF('(6).Promotion Exam'!N13="Incomplete","Incomplete",IF(COUNTBLANK(Q13:Z13)&gt;=1,"Incomplete",P13*20%+SUM(Q13:Z13)*80%))))))</f>
        <v>Incomplete</v>
      </c>
      <c r="AB13" s="54">
        <f t="shared" si="0"/>
        <v>47.45</v>
      </c>
      <c r="AC13" s="55" t="str">
        <f t="shared" si="1"/>
        <v>Repeat</v>
      </c>
      <c r="AD13" s="55" t="str">
        <f t="shared" si="2"/>
        <v>Repeat</v>
      </c>
      <c r="AE13" s="56" t="str">
        <f t="shared" si="3"/>
        <v>ត្រួតថ្នាក់</v>
      </c>
      <c r="AF13" s="57" t="str">
        <f t="shared" si="4"/>
        <v>C2</v>
      </c>
      <c r="AG13" s="97" t="str">
        <f t="shared" si="5"/>
        <v>WK</v>
      </c>
      <c r="AH13" s="58" t="str">
        <f t="shared" si="6"/>
        <v>3:00-5:30</v>
      </c>
      <c r="AI13" s="58" t="str">
        <f t="shared" si="7"/>
        <v>Hong Leeheng</v>
      </c>
      <c r="AJ13" s="59"/>
    </row>
    <row r="14" spans="1:36" ht="15.95" customHeight="1">
      <c r="A14" s="66">
        <v>8</v>
      </c>
      <c r="B14" s="63" t="str">
        <f>IF('(6).Promotion Exam'!B14="","",'(6).Promotion Exam'!B14)</f>
        <v>Kong Yonghae</v>
      </c>
      <c r="C14" s="67" t="str">
        <f>IF('(6).Promotion Exam'!C14="","",'(6).Promotion Exam'!C14)</f>
        <v>M</v>
      </c>
      <c r="D14" s="51">
        <f>IF('(4).Midterm Results'!D14="","",'(4).Midterm Results'!D14)</f>
        <v>91</v>
      </c>
      <c r="E14" s="52">
        <f>IF('(4).Midterm Results'!E14="","",'(4).Midterm Results'!E14)</f>
        <v>10</v>
      </c>
      <c r="F14" s="52">
        <f>IF('(4).Midterm Results'!F14="","",'(4).Midterm Results'!F14)</f>
        <v>9.25</v>
      </c>
      <c r="G14" s="52">
        <f>IF('(4).Midterm Results'!G14="","",'(4).Midterm Results'!G14)</f>
        <v>9.75</v>
      </c>
      <c r="H14" s="52">
        <f>IF('(4).Midterm Results'!H14="","",'(4).Midterm Results'!H14)</f>
        <v>10</v>
      </c>
      <c r="I14" s="52">
        <f>IF('(4).Midterm Results'!I14="","",'(4).Midterm Results'!I14)</f>
        <v>9</v>
      </c>
      <c r="J14" s="52">
        <f>IF('(4).Midterm Results'!J14="","",'(4).Midterm Results'!J14)</f>
        <v>10</v>
      </c>
      <c r="K14" s="52">
        <f>IF('(4).Midterm Results'!K14="","",'(4).Midterm Results'!K14)</f>
        <v>10</v>
      </c>
      <c r="L14" s="52">
        <f>IF('(4).Midterm Results'!L14="","",'(4).Midterm Results'!L14)</f>
        <v>10</v>
      </c>
      <c r="M14" s="52">
        <f>IF('(4).Midterm Results'!M14="","",'(4).Midterm Results'!M14)</f>
        <v>10</v>
      </c>
      <c r="N14" s="52">
        <f>IF('(4).Midterm Results'!N14="","",'(4).Midterm Results'!N14)</f>
        <v>10</v>
      </c>
      <c r="O14" s="53">
        <f>IF('(4).Midterm Results'!O14="","",'(4).Midterm Results'!O14)</f>
        <v>96.600000000000009</v>
      </c>
      <c r="P14" s="51" t="str">
        <f>IF('(5).Promotion Daily'!AH14="","",'(5).Promotion Daily'!AH14)</f>
        <v>Incomplete</v>
      </c>
      <c r="Q14" s="52" t="str">
        <f>IF('(6).Promotion Exam'!D14="","",'(6).Promotion Exam'!D14)</f>
        <v/>
      </c>
      <c r="R14" s="52" t="str">
        <f>IF('(6).Promotion Exam'!E14="","",'(6).Promotion Exam'!E14)</f>
        <v/>
      </c>
      <c r="S14" s="52" t="str">
        <f>IF('(6).Promotion Exam'!F14="","",'(6).Promotion Exam'!F14)</f>
        <v/>
      </c>
      <c r="T14" s="52" t="str">
        <f>IF('(6).Promotion Exam'!G14="","",'(6).Promotion Exam'!G14)</f>
        <v/>
      </c>
      <c r="U14" s="52" t="str">
        <f>IF('(6).Promotion Exam'!H14="","",'(6).Promotion Exam'!H14)</f>
        <v/>
      </c>
      <c r="V14" s="52" t="str">
        <f>IF('(6).Promotion Exam'!I14="","",'(6).Promotion Exam'!I14)</f>
        <v/>
      </c>
      <c r="W14" s="52" t="str">
        <f>IF('(6).Promotion Exam'!J14="","",'(6).Promotion Exam'!J14)</f>
        <v/>
      </c>
      <c r="X14" s="52" t="str">
        <f>IF('(6).Promotion Exam'!K14="","",'(6).Promotion Exam'!K14)</f>
        <v/>
      </c>
      <c r="Y14" s="52" t="str">
        <f>IF('(6).Promotion Exam'!L14="","",'(6).Promotion Exam'!L14)</f>
        <v/>
      </c>
      <c r="Z14" s="52" t="str">
        <f>IF('(6).Promotion Exam'!M14="","",'(6).Promotion Exam'!M14)</f>
        <v/>
      </c>
      <c r="AA14" s="53" t="str">
        <f>IF(B14="","",IF(P14="Incomplete","Incomplete",IF('(6).Promotion Exam'!N14="Change","Change",IF('(6).Promotion Exam'!N14="Stop","Stop",IF('(6).Promotion Exam'!N14="Incomplete","Incomplete",IF(COUNTBLANK(Q14:Z14)&gt;=1,"Incomplete",P14*20%+SUM(Q14:Z14)*80%))))))</f>
        <v>Incomplete</v>
      </c>
      <c r="AB14" s="54">
        <f t="shared" si="0"/>
        <v>48.300000000000004</v>
      </c>
      <c r="AC14" s="55" t="str">
        <f t="shared" si="1"/>
        <v>Repeat</v>
      </c>
      <c r="AD14" s="55" t="str">
        <f t="shared" si="2"/>
        <v>Repeat</v>
      </c>
      <c r="AE14" s="56" t="str">
        <f t="shared" si="3"/>
        <v>ត្រួតថ្នាក់</v>
      </c>
      <c r="AF14" s="57" t="str">
        <f t="shared" si="4"/>
        <v>C2</v>
      </c>
      <c r="AG14" s="97" t="str">
        <f t="shared" si="5"/>
        <v>WK</v>
      </c>
      <c r="AH14" s="58" t="str">
        <f t="shared" si="6"/>
        <v>3:00-5:30</v>
      </c>
      <c r="AI14" s="58" t="str">
        <f t="shared" si="7"/>
        <v>Hong Leeheng</v>
      </c>
      <c r="AJ14" s="59"/>
    </row>
    <row r="15" spans="1:36" ht="15.95" customHeight="1">
      <c r="A15" s="66">
        <v>9</v>
      </c>
      <c r="B15" s="63" t="str">
        <f>IF('(6).Promotion Exam'!B15="","",'(6).Promotion Exam'!B15)</f>
        <v>Lim Davymulika</v>
      </c>
      <c r="C15" s="67" t="str">
        <f>IF('(6).Promotion Exam'!C15="","",'(6).Promotion Exam'!C15)</f>
        <v>F</v>
      </c>
      <c r="D15" s="51">
        <f>IF('(4).Midterm Results'!D15="","",'(4).Midterm Results'!D15)</f>
        <v>60.875</v>
      </c>
      <c r="E15" s="52">
        <f>IF('(4).Midterm Results'!E15="","",'(4).Midterm Results'!E15)</f>
        <v>9.5</v>
      </c>
      <c r="F15" s="52">
        <f>IF('(4).Midterm Results'!F15="","",'(4).Midterm Results'!F15)</f>
        <v>7</v>
      </c>
      <c r="G15" s="52">
        <f>IF('(4).Midterm Results'!G15="","",'(4).Midterm Results'!G15)</f>
        <v>9</v>
      </c>
      <c r="H15" s="52">
        <f>IF('(4).Midterm Results'!H15="","",'(4).Midterm Results'!H15)</f>
        <v>6</v>
      </c>
      <c r="I15" s="52">
        <f>IF('(4).Midterm Results'!I15="","",'(4).Midterm Results'!I15)</f>
        <v>7.75</v>
      </c>
      <c r="J15" s="52">
        <f>IF('(4).Midterm Results'!J15="","",'(4).Midterm Results'!J15)</f>
        <v>7</v>
      </c>
      <c r="K15" s="52">
        <f>IF('(4).Midterm Results'!K15="","",'(4).Midterm Results'!K15)</f>
        <v>10</v>
      </c>
      <c r="L15" s="52">
        <f>IF('(4).Midterm Results'!L15="","",'(4).Midterm Results'!L15)</f>
        <v>7</v>
      </c>
      <c r="M15" s="52">
        <f>IF('(4).Midterm Results'!M15="","",'(4).Midterm Results'!M15)</f>
        <v>10</v>
      </c>
      <c r="N15" s="52">
        <f>IF('(4).Midterm Results'!N15="","",'(4).Midterm Results'!N15)</f>
        <v>9</v>
      </c>
      <c r="O15" s="53">
        <f>IF('(4).Midterm Results'!O15="","",'(4).Midterm Results'!O15)</f>
        <v>77.974999999999994</v>
      </c>
      <c r="P15" s="51" t="str">
        <f>IF('(5).Promotion Daily'!AH15="","",'(5).Promotion Daily'!AH15)</f>
        <v>Incomplete</v>
      </c>
      <c r="Q15" s="52" t="str">
        <f>IF('(6).Promotion Exam'!D15="","",'(6).Promotion Exam'!D15)</f>
        <v/>
      </c>
      <c r="R15" s="52" t="str">
        <f>IF('(6).Promotion Exam'!E15="","",'(6).Promotion Exam'!E15)</f>
        <v/>
      </c>
      <c r="S15" s="52" t="str">
        <f>IF('(6).Promotion Exam'!F15="","",'(6).Promotion Exam'!F15)</f>
        <v/>
      </c>
      <c r="T15" s="52" t="str">
        <f>IF('(6).Promotion Exam'!G15="","",'(6).Promotion Exam'!G15)</f>
        <v/>
      </c>
      <c r="U15" s="52" t="str">
        <f>IF('(6).Promotion Exam'!H15="","",'(6).Promotion Exam'!H15)</f>
        <v/>
      </c>
      <c r="V15" s="52" t="str">
        <f>IF('(6).Promotion Exam'!I15="","",'(6).Promotion Exam'!I15)</f>
        <v/>
      </c>
      <c r="W15" s="52" t="str">
        <f>IF('(6).Promotion Exam'!J15="","",'(6).Promotion Exam'!J15)</f>
        <v/>
      </c>
      <c r="X15" s="52" t="str">
        <f>IF('(6).Promotion Exam'!K15="","",'(6).Promotion Exam'!K15)</f>
        <v/>
      </c>
      <c r="Y15" s="52" t="str">
        <f>IF('(6).Promotion Exam'!L15="","",'(6).Promotion Exam'!L15)</f>
        <v/>
      </c>
      <c r="Z15" s="52" t="str">
        <f>IF('(6).Promotion Exam'!M15="","",'(6).Promotion Exam'!M15)</f>
        <v/>
      </c>
      <c r="AA15" s="53" t="str">
        <f>IF(B15="","",IF(P15="Incomplete","Incomplete",IF('(6).Promotion Exam'!N15="Change","Change",IF('(6).Promotion Exam'!N15="Stop","Stop",IF('(6).Promotion Exam'!N15="Incomplete","Incomplete",IF(COUNTBLANK(Q15:Z15)&gt;=1,"Incomplete",P15*20%+SUM(Q15:Z15)*80%))))))</f>
        <v>Incomplete</v>
      </c>
      <c r="AB15" s="54">
        <f t="shared" si="0"/>
        <v>38.987499999999997</v>
      </c>
      <c r="AC15" s="55" t="str">
        <f t="shared" si="1"/>
        <v>Repeat</v>
      </c>
      <c r="AD15" s="55" t="str">
        <f t="shared" si="2"/>
        <v>Repeat</v>
      </c>
      <c r="AE15" s="56" t="str">
        <f t="shared" si="3"/>
        <v>ត្រួតថ្នាក់</v>
      </c>
      <c r="AF15" s="57" t="str">
        <f t="shared" si="4"/>
        <v>C2</v>
      </c>
      <c r="AG15" s="97" t="str">
        <f t="shared" si="5"/>
        <v>WK</v>
      </c>
      <c r="AH15" s="58" t="str">
        <f t="shared" si="6"/>
        <v>3:00-5:30</v>
      </c>
      <c r="AI15" s="58" t="str">
        <f t="shared" si="7"/>
        <v>Hong Leeheng</v>
      </c>
      <c r="AJ15" s="59"/>
    </row>
    <row r="16" spans="1:36" ht="15.95" customHeight="1">
      <c r="A16" s="66">
        <v>10</v>
      </c>
      <c r="B16" s="63" t="str">
        <f>IF('(6).Promotion Exam'!B16="","",'(6).Promotion Exam'!B16)</f>
        <v>Lot SamAngvichara</v>
      </c>
      <c r="C16" s="67" t="str">
        <f>IF('(6).Promotion Exam'!C16="","",'(6).Promotion Exam'!C16)</f>
        <v>F</v>
      </c>
      <c r="D16" s="51">
        <f>IF('(4).Midterm Results'!D16="","",'(4).Midterm Results'!D16)</f>
        <v>93.5</v>
      </c>
      <c r="E16" s="52">
        <f>IF('(4).Midterm Results'!E16="","",'(4).Midterm Results'!E16)</f>
        <v>9</v>
      </c>
      <c r="F16" s="52">
        <f>IF('(4).Midterm Results'!F16="","",'(4).Midterm Results'!F16)</f>
        <v>9.5</v>
      </c>
      <c r="G16" s="52">
        <f>IF('(4).Midterm Results'!G16="","",'(4).Midterm Results'!G16)</f>
        <v>10</v>
      </c>
      <c r="H16" s="52">
        <f>IF('(4).Midterm Results'!H16="","",'(4).Midterm Results'!H16)</f>
        <v>10</v>
      </c>
      <c r="I16" s="52">
        <f>IF('(4).Midterm Results'!I16="","",'(4).Midterm Results'!I16)</f>
        <v>10</v>
      </c>
      <c r="J16" s="52">
        <f>IF('(4).Midterm Results'!J16="","",'(4).Midterm Results'!J16)</f>
        <v>10</v>
      </c>
      <c r="K16" s="52">
        <f>IF('(4).Midterm Results'!K16="","",'(4).Midterm Results'!K16)</f>
        <v>10</v>
      </c>
      <c r="L16" s="52">
        <f>IF('(4).Midterm Results'!L16="","",'(4).Midterm Results'!L16)</f>
        <v>10</v>
      </c>
      <c r="M16" s="52">
        <f>IF('(4).Midterm Results'!M16="","",'(4).Midterm Results'!M16)</f>
        <v>10</v>
      </c>
      <c r="N16" s="52">
        <f>IF('(4).Midterm Results'!N16="","",'(4).Midterm Results'!N16)</f>
        <v>9</v>
      </c>
      <c r="O16" s="53">
        <f>IF('(4).Midterm Results'!O16="","",'(4).Midterm Results'!O16)</f>
        <v>96.7</v>
      </c>
      <c r="P16" s="51" t="str">
        <f>IF('(5).Promotion Daily'!AH16="","",'(5).Promotion Daily'!AH16)</f>
        <v>Incomplete</v>
      </c>
      <c r="Q16" s="52" t="str">
        <f>IF('(6).Promotion Exam'!D16="","",'(6).Promotion Exam'!D16)</f>
        <v/>
      </c>
      <c r="R16" s="52" t="str">
        <f>IF('(6).Promotion Exam'!E16="","",'(6).Promotion Exam'!E16)</f>
        <v/>
      </c>
      <c r="S16" s="52" t="str">
        <f>IF('(6).Promotion Exam'!F16="","",'(6).Promotion Exam'!F16)</f>
        <v/>
      </c>
      <c r="T16" s="52" t="str">
        <f>IF('(6).Promotion Exam'!G16="","",'(6).Promotion Exam'!G16)</f>
        <v/>
      </c>
      <c r="U16" s="52" t="str">
        <f>IF('(6).Promotion Exam'!H16="","",'(6).Promotion Exam'!H16)</f>
        <v/>
      </c>
      <c r="V16" s="52" t="str">
        <f>IF('(6).Promotion Exam'!I16="","",'(6).Promotion Exam'!I16)</f>
        <v/>
      </c>
      <c r="W16" s="52" t="str">
        <f>IF('(6).Promotion Exam'!J16="","",'(6).Promotion Exam'!J16)</f>
        <v/>
      </c>
      <c r="X16" s="52" t="str">
        <f>IF('(6).Promotion Exam'!K16="","",'(6).Promotion Exam'!K16)</f>
        <v/>
      </c>
      <c r="Y16" s="52" t="str">
        <f>IF('(6).Promotion Exam'!L16="","",'(6).Promotion Exam'!L16)</f>
        <v/>
      </c>
      <c r="Z16" s="52" t="str">
        <f>IF('(6).Promotion Exam'!M16="","",'(6).Promotion Exam'!M16)</f>
        <v/>
      </c>
      <c r="AA16" s="53" t="str">
        <f>IF(B16="","",IF(P16="Incomplete","Incomplete",IF('(6).Promotion Exam'!N16="Change","Change",IF('(6).Promotion Exam'!N16="Stop","Stop",IF('(6).Promotion Exam'!N16="Incomplete","Incomplete",IF(COUNTBLANK(Q16:Z16)&gt;=1,"Incomplete",P16*20%+SUM(Q16:Z16)*80%))))))</f>
        <v>Incomplete</v>
      </c>
      <c r="AB16" s="54">
        <f t="shared" si="0"/>
        <v>48.35</v>
      </c>
      <c r="AC16" s="55" t="str">
        <f t="shared" si="1"/>
        <v>Repeat</v>
      </c>
      <c r="AD16" s="55" t="str">
        <f t="shared" si="2"/>
        <v>Repeat</v>
      </c>
      <c r="AE16" s="56" t="str">
        <f t="shared" si="3"/>
        <v>ត្រួតថ្នាក់</v>
      </c>
      <c r="AF16" s="57" t="str">
        <f t="shared" si="4"/>
        <v>C2</v>
      </c>
      <c r="AG16" s="97" t="str">
        <f t="shared" si="5"/>
        <v>WK</v>
      </c>
      <c r="AH16" s="58" t="str">
        <f t="shared" si="6"/>
        <v>3:00-5:30</v>
      </c>
      <c r="AI16" s="58" t="str">
        <f t="shared" si="7"/>
        <v>Hong Leeheng</v>
      </c>
      <c r="AJ16" s="59"/>
    </row>
    <row r="17" spans="1:36" ht="15.95" customHeight="1">
      <c r="A17" s="66">
        <v>11</v>
      </c>
      <c r="B17" s="63" t="str">
        <f>IF('(6).Promotion Exam'!B17="","",'(6).Promotion Exam'!B17)</f>
        <v>Lot Vichheka</v>
      </c>
      <c r="C17" s="67" t="str">
        <f>IF('(6).Promotion Exam'!C17="","",'(6).Promotion Exam'!C17)</f>
        <v>M</v>
      </c>
      <c r="D17" s="51">
        <f>IF('(4).Midterm Results'!D17="","",'(4).Midterm Results'!D17)</f>
        <v>92</v>
      </c>
      <c r="E17" s="52">
        <f>IF('(4).Midterm Results'!E17="","",'(4).Midterm Results'!E17)</f>
        <v>9.5</v>
      </c>
      <c r="F17" s="52">
        <f>IF('(4).Midterm Results'!F17="","",'(4).Midterm Results'!F17)</f>
        <v>10</v>
      </c>
      <c r="G17" s="52">
        <f>IF('(4).Midterm Results'!G17="","",'(4).Midterm Results'!G17)</f>
        <v>10</v>
      </c>
      <c r="H17" s="52">
        <f>IF('(4).Midterm Results'!H17="","",'(4).Midterm Results'!H17)</f>
        <v>10</v>
      </c>
      <c r="I17" s="52">
        <f>IF('(4).Midterm Results'!I17="","",'(4).Midterm Results'!I17)</f>
        <v>10</v>
      </c>
      <c r="J17" s="52">
        <f>IF('(4).Midterm Results'!J17="","",'(4).Midterm Results'!J17)</f>
        <v>10</v>
      </c>
      <c r="K17" s="52">
        <f>IF('(4).Midterm Results'!K17="","",'(4).Midterm Results'!K17)</f>
        <v>10</v>
      </c>
      <c r="L17" s="52">
        <f>IF('(4).Midterm Results'!L17="","",'(4).Midterm Results'!L17)</f>
        <v>10</v>
      </c>
      <c r="M17" s="52">
        <f>IF('(4).Midterm Results'!M17="","",'(4).Midterm Results'!M17)</f>
        <v>10</v>
      </c>
      <c r="N17" s="52">
        <f>IF('(4).Midterm Results'!N17="","",'(4).Midterm Results'!N17)</f>
        <v>9.75</v>
      </c>
      <c r="O17" s="53">
        <f>IF('(4).Midterm Results'!O17="","",'(4).Midterm Results'!O17)</f>
        <v>97.800000000000011</v>
      </c>
      <c r="P17" s="51" t="str">
        <f>IF('(5).Promotion Daily'!AH17="","",'(5).Promotion Daily'!AH17)</f>
        <v>Incomplete</v>
      </c>
      <c r="Q17" s="52" t="str">
        <f>IF('(6).Promotion Exam'!D17="","",'(6).Promotion Exam'!D17)</f>
        <v/>
      </c>
      <c r="R17" s="52" t="str">
        <f>IF('(6).Promotion Exam'!E17="","",'(6).Promotion Exam'!E17)</f>
        <v/>
      </c>
      <c r="S17" s="52" t="str">
        <f>IF('(6).Promotion Exam'!F17="","",'(6).Promotion Exam'!F17)</f>
        <v/>
      </c>
      <c r="T17" s="52" t="str">
        <f>IF('(6).Promotion Exam'!G17="","",'(6).Promotion Exam'!G17)</f>
        <v/>
      </c>
      <c r="U17" s="52" t="str">
        <f>IF('(6).Promotion Exam'!H17="","",'(6).Promotion Exam'!H17)</f>
        <v/>
      </c>
      <c r="V17" s="52" t="str">
        <f>IF('(6).Promotion Exam'!I17="","",'(6).Promotion Exam'!I17)</f>
        <v/>
      </c>
      <c r="W17" s="52" t="str">
        <f>IF('(6).Promotion Exam'!J17="","",'(6).Promotion Exam'!J17)</f>
        <v/>
      </c>
      <c r="X17" s="52" t="str">
        <f>IF('(6).Promotion Exam'!K17="","",'(6).Promotion Exam'!K17)</f>
        <v/>
      </c>
      <c r="Y17" s="52" t="str">
        <f>IF('(6).Promotion Exam'!L17="","",'(6).Promotion Exam'!L17)</f>
        <v/>
      </c>
      <c r="Z17" s="52" t="str">
        <f>IF('(6).Promotion Exam'!M17="","",'(6).Promotion Exam'!M17)</f>
        <v/>
      </c>
      <c r="AA17" s="53" t="str">
        <f>IF(B17="","",IF(P17="Incomplete","Incomplete",IF('(6).Promotion Exam'!N17="Change","Change",IF('(6).Promotion Exam'!N17="Stop","Stop",IF('(6).Promotion Exam'!N17="Incomplete","Incomplete",IF(COUNTBLANK(Q17:Z17)&gt;=1,"Incomplete",P17*20%+SUM(Q17:Z17)*80%))))))</f>
        <v>Incomplete</v>
      </c>
      <c r="AB17" s="54">
        <f t="shared" si="0"/>
        <v>48.900000000000006</v>
      </c>
      <c r="AC17" s="55" t="str">
        <f t="shared" si="1"/>
        <v>Repeat</v>
      </c>
      <c r="AD17" s="55" t="str">
        <f t="shared" si="2"/>
        <v>Repeat</v>
      </c>
      <c r="AE17" s="56" t="str">
        <f t="shared" si="3"/>
        <v>ត្រួតថ្នាក់</v>
      </c>
      <c r="AF17" s="57" t="str">
        <f t="shared" si="4"/>
        <v>C2</v>
      </c>
      <c r="AG17" s="97" t="str">
        <f t="shared" si="5"/>
        <v>WK</v>
      </c>
      <c r="AH17" s="58" t="str">
        <f t="shared" si="6"/>
        <v>3:00-5:30</v>
      </c>
      <c r="AI17" s="58" t="str">
        <f t="shared" si="7"/>
        <v>Hong Leeheng</v>
      </c>
      <c r="AJ17" s="59"/>
    </row>
    <row r="18" spans="1:36" ht="15.95" customHeight="1">
      <c r="A18" s="66">
        <v>12</v>
      </c>
      <c r="B18" s="63" t="str">
        <f>IF('(6).Promotion Exam'!B18="","",'(6).Promotion Exam'!B18)</f>
        <v>Ly Kanha</v>
      </c>
      <c r="C18" s="67" t="str">
        <f>IF('(6).Promotion Exam'!C18="","",'(6).Promotion Exam'!C18)</f>
        <v>F</v>
      </c>
      <c r="D18" s="51">
        <f>IF('(4).Midterm Results'!D18="","",'(4).Midterm Results'!D18)</f>
        <v>89.5</v>
      </c>
      <c r="E18" s="52">
        <f>IF('(4).Midterm Results'!E18="","",'(4).Midterm Results'!E18)</f>
        <v>8</v>
      </c>
      <c r="F18" s="52">
        <f>IF('(4).Midterm Results'!F18="","",'(4).Midterm Results'!F18)</f>
        <v>8.5</v>
      </c>
      <c r="G18" s="52">
        <f>IF('(4).Midterm Results'!G18="","",'(4).Midterm Results'!G18)</f>
        <v>10</v>
      </c>
      <c r="H18" s="52">
        <f>IF('(4).Midterm Results'!H18="","",'(4).Midterm Results'!H18)</f>
        <v>9</v>
      </c>
      <c r="I18" s="52">
        <f>IF('(4).Midterm Results'!I18="","",'(4).Midterm Results'!I18)</f>
        <v>9</v>
      </c>
      <c r="J18" s="52">
        <f>IF('(4).Midterm Results'!J18="","",'(4).Midterm Results'!J18)</f>
        <v>9</v>
      </c>
      <c r="K18" s="52">
        <f>IF('(4).Midterm Results'!K18="","",'(4).Midterm Results'!K18)</f>
        <v>10</v>
      </c>
      <c r="L18" s="52">
        <f>IF('(4).Midterm Results'!L18="","",'(4).Midterm Results'!L18)</f>
        <v>10</v>
      </c>
      <c r="M18" s="52">
        <f>IF('(4).Midterm Results'!M18="","",'(4).Midterm Results'!M18)</f>
        <v>8</v>
      </c>
      <c r="N18" s="52">
        <f>IF('(4).Midterm Results'!N18="","",'(4).Midterm Results'!N18)</f>
        <v>10</v>
      </c>
      <c r="O18" s="53">
        <f>IF('(4).Midterm Results'!O18="","",'(4).Midterm Results'!O18)</f>
        <v>91.100000000000009</v>
      </c>
      <c r="P18" s="51" t="str">
        <f>IF('(5).Promotion Daily'!AH18="","",'(5).Promotion Daily'!AH18)</f>
        <v>Incomplete</v>
      </c>
      <c r="Q18" s="52" t="str">
        <f>IF('(6).Promotion Exam'!D18="","",'(6).Promotion Exam'!D18)</f>
        <v/>
      </c>
      <c r="R18" s="52" t="str">
        <f>IF('(6).Promotion Exam'!E18="","",'(6).Promotion Exam'!E18)</f>
        <v/>
      </c>
      <c r="S18" s="52" t="str">
        <f>IF('(6).Promotion Exam'!F18="","",'(6).Promotion Exam'!F18)</f>
        <v/>
      </c>
      <c r="T18" s="52" t="str">
        <f>IF('(6).Promotion Exam'!G18="","",'(6).Promotion Exam'!G18)</f>
        <v/>
      </c>
      <c r="U18" s="52" t="str">
        <f>IF('(6).Promotion Exam'!H18="","",'(6).Promotion Exam'!H18)</f>
        <v/>
      </c>
      <c r="V18" s="52" t="str">
        <f>IF('(6).Promotion Exam'!I18="","",'(6).Promotion Exam'!I18)</f>
        <v/>
      </c>
      <c r="W18" s="52" t="str">
        <f>IF('(6).Promotion Exam'!J18="","",'(6).Promotion Exam'!J18)</f>
        <v/>
      </c>
      <c r="X18" s="52" t="str">
        <f>IF('(6).Promotion Exam'!K18="","",'(6).Promotion Exam'!K18)</f>
        <v/>
      </c>
      <c r="Y18" s="52" t="str">
        <f>IF('(6).Promotion Exam'!L18="","",'(6).Promotion Exam'!L18)</f>
        <v/>
      </c>
      <c r="Z18" s="52" t="str">
        <f>IF('(6).Promotion Exam'!M18="","",'(6).Promotion Exam'!M18)</f>
        <v/>
      </c>
      <c r="AA18" s="53" t="str">
        <f>IF(B18="","",IF(P18="Incomplete","Incomplete",IF('(6).Promotion Exam'!N18="Change","Change",IF('(6).Promotion Exam'!N18="Stop","Stop",IF('(6).Promotion Exam'!N18="Incomplete","Incomplete",IF(COUNTBLANK(Q18:Z18)&gt;=1,"Incomplete",P18*20%+SUM(Q18:Z18)*80%))))))</f>
        <v>Incomplete</v>
      </c>
      <c r="AB18" s="54">
        <f t="shared" si="0"/>
        <v>45.550000000000004</v>
      </c>
      <c r="AC18" s="55" t="str">
        <f t="shared" si="1"/>
        <v>Repeat</v>
      </c>
      <c r="AD18" s="55" t="str">
        <f t="shared" si="2"/>
        <v>Repeat</v>
      </c>
      <c r="AE18" s="56" t="str">
        <f t="shared" si="3"/>
        <v>ត្រួតថ្នាក់</v>
      </c>
      <c r="AF18" s="57" t="str">
        <f t="shared" si="4"/>
        <v>C2</v>
      </c>
      <c r="AG18" s="97" t="str">
        <f t="shared" si="5"/>
        <v>WK</v>
      </c>
      <c r="AH18" s="58" t="str">
        <f t="shared" si="6"/>
        <v>3:00-5:30</v>
      </c>
      <c r="AI18" s="58" t="str">
        <f t="shared" si="7"/>
        <v>Hong Leeheng</v>
      </c>
      <c r="AJ18" s="59"/>
    </row>
    <row r="19" spans="1:36" ht="15.95" customHeight="1">
      <c r="A19" s="66">
        <v>13</v>
      </c>
      <c r="B19" s="63" t="str">
        <f>IF('(6).Promotion Exam'!B19="","",'(6).Promotion Exam'!B19)</f>
        <v>Ly Sanmoniroth</v>
      </c>
      <c r="C19" s="67" t="str">
        <f>IF('(6).Promotion Exam'!C19="","",'(6).Promotion Exam'!C19)</f>
        <v>F</v>
      </c>
      <c r="D19" s="51">
        <f>IF('(4).Midterm Results'!D19="","",'(4).Midterm Results'!D19)</f>
        <v>69</v>
      </c>
      <c r="E19" s="52">
        <f>IF('(4).Midterm Results'!E19="","",'(4).Midterm Results'!E19)</f>
        <v>8</v>
      </c>
      <c r="F19" s="52">
        <f>IF('(4).Midterm Results'!F19="","",'(4).Midterm Results'!F19)</f>
        <v>7.75</v>
      </c>
      <c r="G19" s="52">
        <f>IF('(4).Midterm Results'!G19="","",'(4).Midterm Results'!G19)</f>
        <v>9.5</v>
      </c>
      <c r="H19" s="52">
        <f>IF('(4).Midterm Results'!H19="","",'(4).Midterm Results'!H19)</f>
        <v>8</v>
      </c>
      <c r="I19" s="52">
        <f>IF('(4).Midterm Results'!I19="","",'(4).Midterm Results'!I19)</f>
        <v>7</v>
      </c>
      <c r="J19" s="52">
        <f>IF('(4).Midterm Results'!J19="","",'(4).Midterm Results'!J19)</f>
        <v>9</v>
      </c>
      <c r="K19" s="52">
        <f>IF('(4).Midterm Results'!K19="","",'(4).Midterm Results'!K19)</f>
        <v>9.5</v>
      </c>
      <c r="L19" s="52">
        <f>IF('(4).Midterm Results'!L19="","",'(4).Midterm Results'!L19)</f>
        <v>6</v>
      </c>
      <c r="M19" s="52">
        <f>IF('(4).Midterm Results'!M19="","",'(4).Midterm Results'!M19)</f>
        <v>9</v>
      </c>
      <c r="N19" s="52">
        <f>IF('(4).Midterm Results'!N19="","",'(4).Midterm Results'!N19)</f>
        <v>9</v>
      </c>
      <c r="O19" s="53">
        <f>IF('(4).Midterm Results'!O19="","",'(4).Midterm Results'!O19)</f>
        <v>80</v>
      </c>
      <c r="P19" s="51" t="str">
        <f>IF('(5).Promotion Daily'!AH19="","",'(5).Promotion Daily'!AH19)</f>
        <v>Incomplete</v>
      </c>
      <c r="Q19" s="52" t="str">
        <f>IF('(6).Promotion Exam'!D19="","",'(6).Promotion Exam'!D19)</f>
        <v/>
      </c>
      <c r="R19" s="52" t="str">
        <f>IF('(6).Promotion Exam'!E19="","",'(6).Promotion Exam'!E19)</f>
        <v/>
      </c>
      <c r="S19" s="52" t="str">
        <f>IF('(6).Promotion Exam'!F19="","",'(6).Promotion Exam'!F19)</f>
        <v/>
      </c>
      <c r="T19" s="52" t="str">
        <f>IF('(6).Promotion Exam'!G19="","",'(6).Promotion Exam'!G19)</f>
        <v/>
      </c>
      <c r="U19" s="52" t="str">
        <f>IF('(6).Promotion Exam'!H19="","",'(6).Promotion Exam'!H19)</f>
        <v/>
      </c>
      <c r="V19" s="52" t="str">
        <f>IF('(6).Promotion Exam'!I19="","",'(6).Promotion Exam'!I19)</f>
        <v/>
      </c>
      <c r="W19" s="52" t="str">
        <f>IF('(6).Promotion Exam'!J19="","",'(6).Promotion Exam'!J19)</f>
        <v/>
      </c>
      <c r="X19" s="52" t="str">
        <f>IF('(6).Promotion Exam'!K19="","",'(6).Promotion Exam'!K19)</f>
        <v/>
      </c>
      <c r="Y19" s="52" t="str">
        <f>IF('(6).Promotion Exam'!L19="","",'(6).Promotion Exam'!L19)</f>
        <v/>
      </c>
      <c r="Z19" s="52" t="str">
        <f>IF('(6).Promotion Exam'!M19="","",'(6).Promotion Exam'!M19)</f>
        <v/>
      </c>
      <c r="AA19" s="53" t="str">
        <f>IF(B19="","",IF(P19="Incomplete","Incomplete",IF('(6).Promotion Exam'!N19="Change","Change",IF('(6).Promotion Exam'!N19="Stop","Stop",IF('(6).Promotion Exam'!N19="Incomplete","Incomplete",IF(COUNTBLANK(Q19:Z19)&gt;=1,"Incomplete",P19*20%+SUM(Q19:Z19)*80%))))))</f>
        <v>Incomplete</v>
      </c>
      <c r="AB19" s="54">
        <f t="shared" si="0"/>
        <v>40</v>
      </c>
      <c r="AC19" s="55" t="str">
        <f t="shared" si="1"/>
        <v>Repeat</v>
      </c>
      <c r="AD19" s="55" t="str">
        <f t="shared" si="2"/>
        <v>Repeat</v>
      </c>
      <c r="AE19" s="56" t="str">
        <f t="shared" si="3"/>
        <v>ត្រួតថ្នាក់</v>
      </c>
      <c r="AF19" s="57" t="str">
        <f t="shared" si="4"/>
        <v>C2</v>
      </c>
      <c r="AG19" s="97" t="str">
        <f t="shared" si="5"/>
        <v>WK</v>
      </c>
      <c r="AH19" s="58" t="str">
        <f t="shared" si="6"/>
        <v>3:00-5:30</v>
      </c>
      <c r="AI19" s="58" t="str">
        <f t="shared" si="7"/>
        <v>Hong Leeheng</v>
      </c>
      <c r="AJ19" s="59"/>
    </row>
    <row r="20" spans="1:36" ht="15.95" customHeight="1">
      <c r="A20" s="66">
        <v>14</v>
      </c>
      <c r="B20" s="63" t="str">
        <f>IF('(6).Promotion Exam'!B20="","",'(6).Promotion Exam'!B20)</f>
        <v>Noun Thoreakrith</v>
      </c>
      <c r="C20" s="67" t="str">
        <f>IF('(6).Promotion Exam'!C20="","",'(6).Promotion Exam'!C20)</f>
        <v>M</v>
      </c>
      <c r="D20" s="51">
        <f>IF('(4).Midterm Results'!D20="","",'(4).Midterm Results'!D20)</f>
        <v>85</v>
      </c>
      <c r="E20" s="52">
        <f>IF('(4).Midterm Results'!E20="","",'(4).Midterm Results'!E20)</f>
        <v>9</v>
      </c>
      <c r="F20" s="52">
        <f>IF('(4).Midterm Results'!F20="","",'(4).Midterm Results'!F20)</f>
        <v>8</v>
      </c>
      <c r="G20" s="52">
        <f>IF('(4).Midterm Results'!G20="","",'(4).Midterm Results'!G20)</f>
        <v>8.5</v>
      </c>
      <c r="H20" s="52">
        <f>IF('(4).Midterm Results'!H20="","",'(4).Midterm Results'!H20)</f>
        <v>8</v>
      </c>
      <c r="I20" s="52">
        <f>IF('(4).Midterm Results'!I20="","",'(4).Midterm Results'!I20)</f>
        <v>7.5</v>
      </c>
      <c r="J20" s="52">
        <f>IF('(4).Midterm Results'!J20="","",'(4).Midterm Results'!J20)</f>
        <v>10</v>
      </c>
      <c r="K20" s="52">
        <f>IF('(4).Midterm Results'!K20="","",'(4).Midterm Results'!K20)</f>
        <v>10</v>
      </c>
      <c r="L20" s="52">
        <f>IF('(4).Midterm Results'!L20="","",'(4).Midterm Results'!L20)</f>
        <v>10</v>
      </c>
      <c r="M20" s="52">
        <f>IF('(4).Midterm Results'!M20="","",'(4).Midterm Results'!M20)</f>
        <v>10</v>
      </c>
      <c r="N20" s="52">
        <f>IF('(4).Midterm Results'!N20="","",'(4).Midterm Results'!N20)</f>
        <v>9.5</v>
      </c>
      <c r="O20" s="53">
        <f>IF('(4).Midterm Results'!O20="","",'(4).Midterm Results'!O20)</f>
        <v>89.4</v>
      </c>
      <c r="P20" s="51" t="str">
        <f>IF('(5).Promotion Daily'!AH20="","",'(5).Promotion Daily'!AH20)</f>
        <v>Incomplete</v>
      </c>
      <c r="Q20" s="52" t="str">
        <f>IF('(6).Promotion Exam'!D20="","",'(6).Promotion Exam'!D20)</f>
        <v/>
      </c>
      <c r="R20" s="52" t="str">
        <f>IF('(6).Promotion Exam'!E20="","",'(6).Promotion Exam'!E20)</f>
        <v/>
      </c>
      <c r="S20" s="52" t="str">
        <f>IF('(6).Promotion Exam'!F20="","",'(6).Promotion Exam'!F20)</f>
        <v/>
      </c>
      <c r="T20" s="52" t="str">
        <f>IF('(6).Promotion Exam'!G20="","",'(6).Promotion Exam'!G20)</f>
        <v/>
      </c>
      <c r="U20" s="52" t="str">
        <f>IF('(6).Promotion Exam'!H20="","",'(6).Promotion Exam'!H20)</f>
        <v/>
      </c>
      <c r="V20" s="52" t="str">
        <f>IF('(6).Promotion Exam'!I20="","",'(6).Promotion Exam'!I20)</f>
        <v/>
      </c>
      <c r="W20" s="52" t="str">
        <f>IF('(6).Promotion Exam'!J20="","",'(6).Promotion Exam'!J20)</f>
        <v/>
      </c>
      <c r="X20" s="52" t="str">
        <f>IF('(6).Promotion Exam'!K20="","",'(6).Promotion Exam'!K20)</f>
        <v/>
      </c>
      <c r="Y20" s="52" t="str">
        <f>IF('(6).Promotion Exam'!L20="","",'(6).Promotion Exam'!L20)</f>
        <v/>
      </c>
      <c r="Z20" s="52" t="str">
        <f>IF('(6).Promotion Exam'!M20="","",'(6).Promotion Exam'!M20)</f>
        <v/>
      </c>
      <c r="AA20" s="53" t="str">
        <f>IF(B20="","",IF(P20="Incomplete","Incomplete",IF('(6).Promotion Exam'!N20="Change","Change",IF('(6).Promotion Exam'!N20="Stop","Stop",IF('(6).Promotion Exam'!N20="Incomplete","Incomplete",IF(COUNTBLANK(Q20:Z20)&gt;=1,"Incomplete",P20*20%+SUM(Q20:Z20)*80%))))))</f>
        <v>Incomplete</v>
      </c>
      <c r="AB20" s="54">
        <f t="shared" si="0"/>
        <v>44.7</v>
      </c>
      <c r="AC20" s="55" t="str">
        <f t="shared" si="1"/>
        <v>Repeat</v>
      </c>
      <c r="AD20" s="55" t="str">
        <f t="shared" si="2"/>
        <v>Repeat</v>
      </c>
      <c r="AE20" s="56" t="str">
        <f t="shared" si="3"/>
        <v>ត្រួតថ្នាក់</v>
      </c>
      <c r="AF20" s="57" t="str">
        <f t="shared" si="4"/>
        <v>C2</v>
      </c>
      <c r="AG20" s="97" t="str">
        <f t="shared" si="5"/>
        <v>WK</v>
      </c>
      <c r="AH20" s="58" t="str">
        <f t="shared" si="6"/>
        <v>3:00-5:30</v>
      </c>
      <c r="AI20" s="58" t="str">
        <f t="shared" si="7"/>
        <v>Hong Leeheng</v>
      </c>
      <c r="AJ20" s="59"/>
    </row>
    <row r="21" spans="1:36" ht="15.95" customHeight="1">
      <c r="A21" s="66">
        <v>15</v>
      </c>
      <c r="B21" s="63" t="str">
        <f>IF('(6).Promotion Exam'!B21="","",'(6).Promotion Exam'!B21)</f>
        <v>OL Amara</v>
      </c>
      <c r="C21" s="67" t="str">
        <f>IF('(6).Promotion Exam'!C21="","",'(6).Promotion Exam'!C21)</f>
        <v>F</v>
      </c>
      <c r="D21" s="51">
        <f>IF('(4).Midterm Results'!D21="","",'(4).Midterm Results'!D21)</f>
        <v>93.75</v>
      </c>
      <c r="E21" s="52">
        <f>IF('(4).Midterm Results'!E21="","",'(4).Midterm Results'!E21)</f>
        <v>10</v>
      </c>
      <c r="F21" s="52">
        <f>IF('(4).Midterm Results'!F21="","",'(4).Midterm Results'!F21)</f>
        <v>9</v>
      </c>
      <c r="G21" s="52">
        <f>IF('(4).Midterm Results'!G21="","",'(4).Midterm Results'!G21)</f>
        <v>10</v>
      </c>
      <c r="H21" s="52">
        <f>IF('(4).Midterm Results'!H21="","",'(4).Midterm Results'!H21)</f>
        <v>10</v>
      </c>
      <c r="I21" s="52">
        <f>IF('(4).Midterm Results'!I21="","",'(4).Midterm Results'!I21)</f>
        <v>9</v>
      </c>
      <c r="J21" s="52">
        <f>IF('(4).Midterm Results'!J21="","",'(4).Midterm Results'!J21)</f>
        <v>10</v>
      </c>
      <c r="K21" s="52">
        <f>IF('(4).Midterm Results'!K21="","",'(4).Midterm Results'!K21)</f>
        <v>10</v>
      </c>
      <c r="L21" s="52">
        <f>IF('(4).Midterm Results'!L21="","",'(4).Midterm Results'!L21)</f>
        <v>10</v>
      </c>
      <c r="M21" s="52">
        <f>IF('(4).Midterm Results'!M21="","",'(4).Midterm Results'!M21)</f>
        <v>10</v>
      </c>
      <c r="N21" s="52">
        <f>IF('(4).Midterm Results'!N21="","",'(4).Midterm Results'!N21)</f>
        <v>10</v>
      </c>
      <c r="O21" s="53">
        <f>IF('(4).Midterm Results'!O21="","",'(4).Midterm Results'!O21)</f>
        <v>97.15</v>
      </c>
      <c r="P21" s="51" t="str">
        <f>IF('(5).Promotion Daily'!AH21="","",'(5).Promotion Daily'!AH21)</f>
        <v>Incomplete</v>
      </c>
      <c r="Q21" s="52" t="str">
        <f>IF('(6).Promotion Exam'!D21="","",'(6).Promotion Exam'!D21)</f>
        <v/>
      </c>
      <c r="R21" s="52" t="str">
        <f>IF('(6).Promotion Exam'!E21="","",'(6).Promotion Exam'!E21)</f>
        <v/>
      </c>
      <c r="S21" s="52" t="str">
        <f>IF('(6).Promotion Exam'!F21="","",'(6).Promotion Exam'!F21)</f>
        <v/>
      </c>
      <c r="T21" s="52" t="str">
        <f>IF('(6).Promotion Exam'!G21="","",'(6).Promotion Exam'!G21)</f>
        <v/>
      </c>
      <c r="U21" s="52" t="str">
        <f>IF('(6).Promotion Exam'!H21="","",'(6).Promotion Exam'!H21)</f>
        <v/>
      </c>
      <c r="V21" s="52" t="str">
        <f>IF('(6).Promotion Exam'!I21="","",'(6).Promotion Exam'!I21)</f>
        <v/>
      </c>
      <c r="W21" s="52" t="str">
        <f>IF('(6).Promotion Exam'!J21="","",'(6).Promotion Exam'!J21)</f>
        <v/>
      </c>
      <c r="X21" s="52" t="str">
        <f>IF('(6).Promotion Exam'!K21="","",'(6).Promotion Exam'!K21)</f>
        <v/>
      </c>
      <c r="Y21" s="52" t="str">
        <f>IF('(6).Promotion Exam'!L21="","",'(6).Promotion Exam'!L21)</f>
        <v/>
      </c>
      <c r="Z21" s="52" t="str">
        <f>IF('(6).Promotion Exam'!M21="","",'(6).Promotion Exam'!M21)</f>
        <v/>
      </c>
      <c r="AA21" s="53" t="str">
        <f>IF(B21="","",IF(P21="Incomplete","Incomplete",IF('(6).Promotion Exam'!N21="Change","Change",IF('(6).Promotion Exam'!N21="Stop","Stop",IF('(6).Promotion Exam'!N21="Incomplete","Incomplete",IF(COUNTBLANK(Q21:Z21)&gt;=1,"Incomplete",P21*20%+SUM(Q21:Z21)*80%))))))</f>
        <v>Incomplete</v>
      </c>
      <c r="AB21" s="54">
        <f t="shared" si="0"/>
        <v>48.575000000000003</v>
      </c>
      <c r="AC21" s="55" t="str">
        <f t="shared" si="1"/>
        <v>Repeat</v>
      </c>
      <c r="AD21" s="55" t="str">
        <f t="shared" si="2"/>
        <v>Repeat</v>
      </c>
      <c r="AE21" s="56" t="str">
        <f t="shared" si="3"/>
        <v>ត្រួតថ្នាក់</v>
      </c>
      <c r="AF21" s="57" t="str">
        <f t="shared" si="4"/>
        <v>C2</v>
      </c>
      <c r="AG21" s="97" t="str">
        <f t="shared" si="5"/>
        <v>WK</v>
      </c>
      <c r="AH21" s="58" t="str">
        <f t="shared" si="6"/>
        <v>3:00-5:30</v>
      </c>
      <c r="AI21" s="58" t="str">
        <f t="shared" si="7"/>
        <v>Hong Leeheng</v>
      </c>
      <c r="AJ21" s="59"/>
    </row>
    <row r="22" spans="1:36" ht="15.95" customHeight="1">
      <c r="A22" s="66">
        <v>16</v>
      </c>
      <c r="B22" s="63" t="str">
        <f>IF('(6).Promotion Exam'!B22="","",'(6).Promotion Exam'!B22)</f>
        <v>Prom Monometa</v>
      </c>
      <c r="C22" s="67" t="str">
        <f>IF('(6).Promotion Exam'!C22="","",'(6).Promotion Exam'!C22)</f>
        <v>M</v>
      </c>
      <c r="D22" s="51">
        <f>IF('(4).Midterm Results'!D22="","",'(4).Midterm Results'!D22)</f>
        <v>77.25</v>
      </c>
      <c r="E22" s="52">
        <f>IF('(4).Midterm Results'!E22="","",'(4).Midterm Results'!E22)</f>
        <v>9.5</v>
      </c>
      <c r="F22" s="52">
        <f>IF('(4).Midterm Results'!F22="","",'(4).Midterm Results'!F22)</f>
        <v>7.5</v>
      </c>
      <c r="G22" s="52">
        <f>IF('(4).Midterm Results'!G22="","",'(4).Midterm Results'!G22)</f>
        <v>8.5</v>
      </c>
      <c r="H22" s="52">
        <f>IF('(4).Midterm Results'!H22="","",'(4).Midterm Results'!H22)</f>
        <v>5</v>
      </c>
      <c r="I22" s="52">
        <f>IF('(4).Midterm Results'!I22="","",'(4).Midterm Results'!I22)</f>
        <v>6</v>
      </c>
      <c r="J22" s="52">
        <f>IF('(4).Midterm Results'!J22="","",'(4).Midterm Results'!J22)</f>
        <v>9</v>
      </c>
      <c r="K22" s="52">
        <f>IF('(4).Midterm Results'!K22="","",'(4).Midterm Results'!K22)</f>
        <v>10</v>
      </c>
      <c r="L22" s="52">
        <f>IF('(4).Midterm Results'!L22="","",'(4).Midterm Results'!L22)</f>
        <v>8</v>
      </c>
      <c r="M22" s="52">
        <f>IF('(4).Midterm Results'!M22="","",'(4).Midterm Results'!M22)</f>
        <v>9</v>
      </c>
      <c r="N22" s="52">
        <f>IF('(4).Midterm Results'!N22="","",'(4).Midterm Results'!N22)</f>
        <v>9</v>
      </c>
      <c r="O22" s="53">
        <f>IF('(4).Midterm Results'!O22="","",'(4).Midterm Results'!O22)</f>
        <v>80.650000000000006</v>
      </c>
      <c r="P22" s="51" t="str">
        <f>IF('(5).Promotion Daily'!AH22="","",'(5).Promotion Daily'!AH22)</f>
        <v>Incomplete</v>
      </c>
      <c r="Q22" s="52" t="str">
        <f>IF('(6).Promotion Exam'!D22="","",'(6).Promotion Exam'!D22)</f>
        <v/>
      </c>
      <c r="R22" s="52" t="str">
        <f>IF('(6).Promotion Exam'!E22="","",'(6).Promotion Exam'!E22)</f>
        <v/>
      </c>
      <c r="S22" s="52" t="str">
        <f>IF('(6).Promotion Exam'!F22="","",'(6).Promotion Exam'!F22)</f>
        <v/>
      </c>
      <c r="T22" s="52" t="str">
        <f>IF('(6).Promotion Exam'!G22="","",'(6).Promotion Exam'!G22)</f>
        <v/>
      </c>
      <c r="U22" s="52" t="str">
        <f>IF('(6).Promotion Exam'!H22="","",'(6).Promotion Exam'!H22)</f>
        <v/>
      </c>
      <c r="V22" s="52" t="str">
        <f>IF('(6).Promotion Exam'!I22="","",'(6).Promotion Exam'!I22)</f>
        <v/>
      </c>
      <c r="W22" s="52" t="str">
        <f>IF('(6).Promotion Exam'!J22="","",'(6).Promotion Exam'!J22)</f>
        <v/>
      </c>
      <c r="X22" s="52" t="str">
        <f>IF('(6).Promotion Exam'!K22="","",'(6).Promotion Exam'!K22)</f>
        <v/>
      </c>
      <c r="Y22" s="52" t="str">
        <f>IF('(6).Promotion Exam'!L22="","",'(6).Promotion Exam'!L22)</f>
        <v/>
      </c>
      <c r="Z22" s="52" t="str">
        <f>IF('(6).Promotion Exam'!M22="","",'(6).Promotion Exam'!M22)</f>
        <v/>
      </c>
      <c r="AA22" s="53" t="str">
        <f>IF(B22="","",IF(P22="Incomplete","Incomplete",IF('(6).Promotion Exam'!N22="Change","Change",IF('(6).Promotion Exam'!N22="Stop","Stop",IF('(6).Promotion Exam'!N22="Incomplete","Incomplete",IF(COUNTBLANK(Q22:Z22)&gt;=1,"Incomplete",P22*20%+SUM(Q22:Z22)*80%))))))</f>
        <v>Incomplete</v>
      </c>
      <c r="AB22" s="54">
        <f t="shared" si="0"/>
        <v>40.325000000000003</v>
      </c>
      <c r="AC22" s="55" t="str">
        <f t="shared" si="1"/>
        <v>Repeat</v>
      </c>
      <c r="AD22" s="55" t="str">
        <f t="shared" si="2"/>
        <v>Repeat</v>
      </c>
      <c r="AE22" s="56" t="str">
        <f t="shared" si="3"/>
        <v>ត្រួតថ្នាក់</v>
      </c>
      <c r="AF22" s="57" t="str">
        <f t="shared" si="4"/>
        <v>C2</v>
      </c>
      <c r="AG22" s="97" t="str">
        <f t="shared" si="5"/>
        <v>WK</v>
      </c>
      <c r="AH22" s="58" t="str">
        <f t="shared" si="6"/>
        <v>3:00-5:30</v>
      </c>
      <c r="AI22" s="58" t="str">
        <f t="shared" si="7"/>
        <v>Hong Leeheng</v>
      </c>
      <c r="AJ22" s="59"/>
    </row>
    <row r="23" spans="1:36" ht="15.95" customHeight="1">
      <c r="A23" s="66">
        <v>17</v>
      </c>
      <c r="B23" s="63" t="str">
        <f>IF('(6).Promotion Exam'!B23="","",'(6).Promotion Exam'!B23)</f>
        <v>Seng Moamunyriangsey</v>
      </c>
      <c r="C23" s="67" t="str">
        <f>IF('(6).Promotion Exam'!C23="","",'(6).Promotion Exam'!C23)</f>
        <v>F</v>
      </c>
      <c r="D23" s="51">
        <f>IF('(4).Midterm Results'!D23="","",'(4).Midterm Results'!D23)</f>
        <v>73.625</v>
      </c>
      <c r="E23" s="52">
        <f>IF('(4).Midterm Results'!E23="","",'(4).Midterm Results'!E23)</f>
        <v>8</v>
      </c>
      <c r="F23" s="52">
        <f>IF('(4).Midterm Results'!F23="","",'(4).Midterm Results'!F23)</f>
        <v>8.5</v>
      </c>
      <c r="G23" s="52">
        <f>IF('(4).Midterm Results'!G23="","",'(4).Midterm Results'!G23)</f>
        <v>8</v>
      </c>
      <c r="H23" s="52">
        <f>IF('(4).Midterm Results'!H23="","",'(4).Midterm Results'!H23)</f>
        <v>5</v>
      </c>
      <c r="I23" s="52">
        <f>IF('(4).Midterm Results'!I23="","",'(4).Midterm Results'!I23)</f>
        <v>6</v>
      </c>
      <c r="J23" s="52">
        <f>IF('(4).Midterm Results'!J23="","",'(4).Midterm Results'!J23)</f>
        <v>8</v>
      </c>
      <c r="K23" s="52">
        <f>IF('(4).Midterm Results'!K23="","",'(4).Midterm Results'!K23)</f>
        <v>10</v>
      </c>
      <c r="L23" s="52">
        <f>IF('(4).Midterm Results'!L23="","",'(4).Midterm Results'!L23)</f>
        <v>8</v>
      </c>
      <c r="M23" s="52">
        <f>IF('(4).Midterm Results'!M23="","",'(4).Midterm Results'!M23)</f>
        <v>9</v>
      </c>
      <c r="N23" s="52">
        <f>IF('(4).Midterm Results'!N23="","",'(4).Midterm Results'!N23)</f>
        <v>8.5</v>
      </c>
      <c r="O23" s="53">
        <f>IF('(4).Midterm Results'!O23="","",'(4).Midterm Results'!O23)</f>
        <v>77.925000000000011</v>
      </c>
      <c r="P23" s="51" t="str">
        <f>IF('(5).Promotion Daily'!AH23="","",'(5).Promotion Daily'!AH23)</f>
        <v>Incomplete</v>
      </c>
      <c r="Q23" s="52" t="str">
        <f>IF('(6).Promotion Exam'!D23="","",'(6).Promotion Exam'!D23)</f>
        <v/>
      </c>
      <c r="R23" s="52" t="str">
        <f>IF('(6).Promotion Exam'!E23="","",'(6).Promotion Exam'!E23)</f>
        <v/>
      </c>
      <c r="S23" s="52" t="str">
        <f>IF('(6).Promotion Exam'!F23="","",'(6).Promotion Exam'!F23)</f>
        <v/>
      </c>
      <c r="T23" s="52" t="str">
        <f>IF('(6).Promotion Exam'!G23="","",'(6).Promotion Exam'!G23)</f>
        <v/>
      </c>
      <c r="U23" s="52" t="str">
        <f>IF('(6).Promotion Exam'!H23="","",'(6).Promotion Exam'!H23)</f>
        <v/>
      </c>
      <c r="V23" s="52" t="str">
        <f>IF('(6).Promotion Exam'!I23="","",'(6).Promotion Exam'!I23)</f>
        <v/>
      </c>
      <c r="W23" s="52" t="str">
        <f>IF('(6).Promotion Exam'!J23="","",'(6).Promotion Exam'!J23)</f>
        <v/>
      </c>
      <c r="X23" s="52" t="str">
        <f>IF('(6).Promotion Exam'!K23="","",'(6).Promotion Exam'!K23)</f>
        <v/>
      </c>
      <c r="Y23" s="52" t="str">
        <f>IF('(6).Promotion Exam'!L23="","",'(6).Promotion Exam'!L23)</f>
        <v/>
      </c>
      <c r="Z23" s="52" t="str">
        <f>IF('(6).Promotion Exam'!M23="","",'(6).Promotion Exam'!M23)</f>
        <v/>
      </c>
      <c r="AA23" s="53" t="str">
        <f>IF(B23="","",IF(P23="Incomplete","Incomplete",IF('(6).Promotion Exam'!N23="Change","Change",IF('(6).Promotion Exam'!N23="Stop","Stop",IF('(6).Promotion Exam'!N23="Incomplete","Incomplete",IF(COUNTBLANK(Q23:Z23)&gt;=1,"Incomplete",P23*20%+SUM(Q23:Z23)*80%))))))</f>
        <v>Incomplete</v>
      </c>
      <c r="AB23" s="54">
        <f t="shared" si="0"/>
        <v>38.962500000000006</v>
      </c>
      <c r="AC23" s="55" t="str">
        <f t="shared" si="1"/>
        <v>Repeat</v>
      </c>
      <c r="AD23" s="55" t="str">
        <f t="shared" si="2"/>
        <v>Repeat</v>
      </c>
      <c r="AE23" s="56" t="str">
        <f t="shared" si="3"/>
        <v>ត្រួតថ្នាក់</v>
      </c>
      <c r="AF23" s="57" t="str">
        <f t="shared" si="4"/>
        <v>C2</v>
      </c>
      <c r="AG23" s="97" t="str">
        <f t="shared" si="5"/>
        <v>WK</v>
      </c>
      <c r="AH23" s="58" t="str">
        <f t="shared" si="6"/>
        <v>3:00-5:30</v>
      </c>
      <c r="AI23" s="58" t="str">
        <f t="shared" si="7"/>
        <v>Hong Leeheng</v>
      </c>
      <c r="AJ23" s="59"/>
    </row>
    <row r="24" spans="1:36" ht="15.95" customHeight="1">
      <c r="A24" s="66">
        <v>18</v>
      </c>
      <c r="B24" s="63" t="str">
        <f>IF('(6).Promotion Exam'!B24="","",'(6).Promotion Exam'!B24)</f>
        <v>Thuy Chanmeylinh</v>
      </c>
      <c r="C24" s="67" t="str">
        <f>IF('(6).Promotion Exam'!C24="","",'(6).Promotion Exam'!C24)</f>
        <v>F</v>
      </c>
      <c r="D24" s="51">
        <f>IF('(4).Midterm Results'!D24="","",'(4).Midterm Results'!D24)</f>
        <v>97</v>
      </c>
      <c r="E24" s="52">
        <f>IF('(4).Midterm Results'!E24="","",'(4).Midterm Results'!E24)</f>
        <v>9</v>
      </c>
      <c r="F24" s="52">
        <f>IF('(4).Midterm Results'!F24="","",'(4).Midterm Results'!F24)</f>
        <v>9.75</v>
      </c>
      <c r="G24" s="52">
        <f>IF('(4).Midterm Results'!G24="","",'(4).Midterm Results'!G24)</f>
        <v>10</v>
      </c>
      <c r="H24" s="52">
        <f>IF('(4).Midterm Results'!H24="","",'(4).Midterm Results'!H24)</f>
        <v>9</v>
      </c>
      <c r="I24" s="52">
        <f>IF('(4).Midterm Results'!I24="","",'(4).Midterm Results'!I24)</f>
        <v>10</v>
      </c>
      <c r="J24" s="52">
        <f>IF('(4).Midterm Results'!J24="","",'(4).Midterm Results'!J24)</f>
        <v>10</v>
      </c>
      <c r="K24" s="52">
        <f>IF('(4).Midterm Results'!K24="","",'(4).Midterm Results'!K24)</f>
        <v>10</v>
      </c>
      <c r="L24" s="52">
        <f>IF('(4).Midterm Results'!L24="","",'(4).Midterm Results'!L24)</f>
        <v>10</v>
      </c>
      <c r="M24" s="52">
        <f>IF('(4).Midterm Results'!M24="","",'(4).Midterm Results'!M24)</f>
        <v>10</v>
      </c>
      <c r="N24" s="52">
        <f>IF('(4).Midterm Results'!N24="","",'(4).Midterm Results'!N24)</f>
        <v>10</v>
      </c>
      <c r="O24" s="53">
        <f>IF('(4).Midterm Results'!O24="","",'(4).Midterm Results'!O24)</f>
        <v>97.600000000000009</v>
      </c>
      <c r="P24" s="51" t="str">
        <f>IF('(5).Promotion Daily'!AH24="","",'(5).Promotion Daily'!AH24)</f>
        <v>Incomplete</v>
      </c>
      <c r="Q24" s="52" t="str">
        <f>IF('(6).Promotion Exam'!D24="","",'(6).Promotion Exam'!D24)</f>
        <v/>
      </c>
      <c r="R24" s="52" t="str">
        <f>IF('(6).Promotion Exam'!E24="","",'(6).Promotion Exam'!E24)</f>
        <v/>
      </c>
      <c r="S24" s="52" t="str">
        <f>IF('(6).Promotion Exam'!F24="","",'(6).Promotion Exam'!F24)</f>
        <v/>
      </c>
      <c r="T24" s="52" t="str">
        <f>IF('(6).Promotion Exam'!G24="","",'(6).Promotion Exam'!G24)</f>
        <v/>
      </c>
      <c r="U24" s="52" t="str">
        <f>IF('(6).Promotion Exam'!H24="","",'(6).Promotion Exam'!H24)</f>
        <v/>
      </c>
      <c r="V24" s="52" t="str">
        <f>IF('(6).Promotion Exam'!I24="","",'(6).Promotion Exam'!I24)</f>
        <v/>
      </c>
      <c r="W24" s="52" t="str">
        <f>IF('(6).Promotion Exam'!J24="","",'(6).Promotion Exam'!J24)</f>
        <v/>
      </c>
      <c r="X24" s="52" t="str">
        <f>IF('(6).Promotion Exam'!K24="","",'(6).Promotion Exam'!K24)</f>
        <v/>
      </c>
      <c r="Y24" s="52" t="str">
        <f>IF('(6).Promotion Exam'!L24="","",'(6).Promotion Exam'!L24)</f>
        <v/>
      </c>
      <c r="Z24" s="52" t="str">
        <f>IF('(6).Promotion Exam'!M24="","",'(6).Promotion Exam'!M24)</f>
        <v/>
      </c>
      <c r="AA24" s="53" t="str">
        <f>IF(B24="","",IF(P24="Incomplete","Incomplete",IF('(6).Promotion Exam'!N24="Change","Change",IF('(6).Promotion Exam'!N24="Stop","Stop",IF('(6).Promotion Exam'!N24="Incomplete","Incomplete",IF(COUNTBLANK(Q24:Z24)&gt;=1,"Incomplete",P24*20%+SUM(Q24:Z24)*80%))))))</f>
        <v>Incomplete</v>
      </c>
      <c r="AB24" s="54">
        <f t="shared" si="0"/>
        <v>48.800000000000004</v>
      </c>
      <c r="AC24" s="55" t="str">
        <f t="shared" si="1"/>
        <v>Repeat</v>
      </c>
      <c r="AD24" s="55" t="str">
        <f t="shared" si="2"/>
        <v>Repeat</v>
      </c>
      <c r="AE24" s="56" t="str">
        <f t="shared" si="3"/>
        <v>ត្រួតថ្នាក់</v>
      </c>
      <c r="AF24" s="57" t="str">
        <f t="shared" si="4"/>
        <v>C2</v>
      </c>
      <c r="AG24" s="97" t="str">
        <f t="shared" si="5"/>
        <v>WK</v>
      </c>
      <c r="AH24" s="58" t="str">
        <f t="shared" si="6"/>
        <v>3:00-5:30</v>
      </c>
      <c r="AI24" s="58" t="str">
        <f t="shared" si="7"/>
        <v>Hong Leeheng</v>
      </c>
      <c r="AJ24" s="59"/>
    </row>
    <row r="25" spans="1:36" ht="15.95" customHeight="1">
      <c r="A25" s="66">
        <v>19</v>
      </c>
      <c r="B25" s="63" t="str">
        <f>IF('(6).Promotion Exam'!B25="","",'(6).Promotion Exam'!B25)</f>
        <v>Vy Monineath</v>
      </c>
      <c r="C25" s="67" t="str">
        <f>IF('(6).Promotion Exam'!C25="","",'(6).Promotion Exam'!C25)</f>
        <v>F</v>
      </c>
      <c r="D25" s="51">
        <f>IF('(4).Midterm Results'!D25="","",'(4).Midterm Results'!D25)</f>
        <v>96.625</v>
      </c>
      <c r="E25" s="52">
        <f>IF('(4).Midterm Results'!E25="","",'(4).Midterm Results'!E25)</f>
        <v>9</v>
      </c>
      <c r="F25" s="52">
        <f>IF('(4).Midterm Results'!F25="","",'(4).Midterm Results'!F25)</f>
        <v>10</v>
      </c>
      <c r="G25" s="52">
        <f>IF('(4).Midterm Results'!G25="","",'(4).Midterm Results'!G25)</f>
        <v>10</v>
      </c>
      <c r="H25" s="52">
        <f>IF('(4).Midterm Results'!H25="","",'(4).Midterm Results'!H25)</f>
        <v>10</v>
      </c>
      <c r="I25" s="52">
        <f>IF('(4).Midterm Results'!I25="","",'(4).Midterm Results'!I25)</f>
        <v>9</v>
      </c>
      <c r="J25" s="52">
        <f>IF('(4).Midterm Results'!J25="","",'(4).Midterm Results'!J25)</f>
        <v>10</v>
      </c>
      <c r="K25" s="52">
        <f>IF('(4).Midterm Results'!K25="","",'(4).Midterm Results'!K25)</f>
        <v>10</v>
      </c>
      <c r="L25" s="52">
        <f>IF('(4).Midterm Results'!L25="","",'(4).Midterm Results'!L25)</f>
        <v>10</v>
      </c>
      <c r="M25" s="52">
        <f>IF('(4).Midterm Results'!M25="","",'(4).Midterm Results'!M25)</f>
        <v>10</v>
      </c>
      <c r="N25" s="52">
        <f>IF('(4).Midterm Results'!N25="","",'(4).Midterm Results'!N25)</f>
        <v>10</v>
      </c>
      <c r="O25" s="53">
        <f>IF('(4).Midterm Results'!O25="","",'(4).Midterm Results'!O25)</f>
        <v>97.725000000000009</v>
      </c>
      <c r="P25" s="51" t="str">
        <f>IF('(5).Promotion Daily'!AH25="","",'(5).Promotion Daily'!AH25)</f>
        <v>Incomplete</v>
      </c>
      <c r="Q25" s="52" t="str">
        <f>IF('(6).Promotion Exam'!D25="","",'(6).Promotion Exam'!D25)</f>
        <v/>
      </c>
      <c r="R25" s="52" t="str">
        <f>IF('(6).Promotion Exam'!E25="","",'(6).Promotion Exam'!E25)</f>
        <v/>
      </c>
      <c r="S25" s="52" t="str">
        <f>IF('(6).Promotion Exam'!F25="","",'(6).Promotion Exam'!F25)</f>
        <v/>
      </c>
      <c r="T25" s="52" t="str">
        <f>IF('(6).Promotion Exam'!G25="","",'(6).Promotion Exam'!G25)</f>
        <v/>
      </c>
      <c r="U25" s="52" t="str">
        <f>IF('(6).Promotion Exam'!H25="","",'(6).Promotion Exam'!H25)</f>
        <v/>
      </c>
      <c r="V25" s="52" t="str">
        <f>IF('(6).Promotion Exam'!I25="","",'(6).Promotion Exam'!I25)</f>
        <v/>
      </c>
      <c r="W25" s="52" t="str">
        <f>IF('(6).Promotion Exam'!J25="","",'(6).Promotion Exam'!J25)</f>
        <v/>
      </c>
      <c r="X25" s="52" t="str">
        <f>IF('(6).Promotion Exam'!K25="","",'(6).Promotion Exam'!K25)</f>
        <v/>
      </c>
      <c r="Y25" s="52" t="str">
        <f>IF('(6).Promotion Exam'!L25="","",'(6).Promotion Exam'!L25)</f>
        <v/>
      </c>
      <c r="Z25" s="52" t="str">
        <f>IF('(6).Promotion Exam'!M25="","",'(6).Promotion Exam'!M25)</f>
        <v/>
      </c>
      <c r="AA25" s="53" t="str">
        <f>IF(B25="","",IF(P25="Incomplete","Incomplete",IF('(6).Promotion Exam'!N25="Change","Change",IF('(6).Promotion Exam'!N25="Stop","Stop",IF('(6).Promotion Exam'!N25="Incomplete","Incomplete",IF(COUNTBLANK(Q25:Z25)&gt;=1,"Incomplete",P25*20%+SUM(Q25:Z25)*80%))))))</f>
        <v>Incomplete</v>
      </c>
      <c r="AB25" s="54">
        <f t="shared" si="0"/>
        <v>48.862500000000004</v>
      </c>
      <c r="AC25" s="55" t="str">
        <f t="shared" si="1"/>
        <v>Repeat</v>
      </c>
      <c r="AD25" s="55" t="str">
        <f t="shared" si="2"/>
        <v>Repeat</v>
      </c>
      <c r="AE25" s="56" t="str">
        <f t="shared" si="3"/>
        <v>ត្រួតថ្នាក់</v>
      </c>
      <c r="AF25" s="57" t="str">
        <f t="shared" si="4"/>
        <v>C2</v>
      </c>
      <c r="AG25" s="97" t="str">
        <f t="shared" si="5"/>
        <v>WK</v>
      </c>
      <c r="AH25" s="58" t="str">
        <f t="shared" si="6"/>
        <v>3:00-5:30</v>
      </c>
      <c r="AI25" s="58" t="str">
        <f t="shared" si="7"/>
        <v>Hong Leeheng</v>
      </c>
      <c r="AJ25" s="59"/>
    </row>
    <row r="26" spans="1:36" ht="15.95" customHeight="1">
      <c r="A26" s="66">
        <v>20</v>
      </c>
      <c r="B26" s="63" t="str">
        <f>IF('(6).Promotion Exam'!B26="","",'(6).Promotion Exam'!B26)</f>
        <v/>
      </c>
      <c r="C26" s="67" t="str">
        <f>IF('(6).Promotion Exam'!C26="","",'(6).Promotion Exam'!C26)</f>
        <v/>
      </c>
      <c r="D26" s="51" t="str">
        <f>IF('(4).Midterm Results'!D26="","",'(4).Midterm Results'!D26)</f>
        <v/>
      </c>
      <c r="E26" s="52" t="str">
        <f>IF('(4).Midterm Results'!E26="","",'(4).Midterm Results'!E26)</f>
        <v/>
      </c>
      <c r="F26" s="52" t="str">
        <f>IF('(4).Midterm Results'!F26="","",'(4).Midterm Results'!F26)</f>
        <v/>
      </c>
      <c r="G26" s="52" t="str">
        <f>IF('(4).Midterm Results'!G26="","",'(4).Midterm Results'!G26)</f>
        <v/>
      </c>
      <c r="H26" s="52" t="str">
        <f>IF('(4).Midterm Results'!H26="","",'(4).Midterm Results'!H26)</f>
        <v/>
      </c>
      <c r="I26" s="52" t="str">
        <f>IF('(4).Midterm Results'!I26="","",'(4).Midterm Results'!I26)</f>
        <v/>
      </c>
      <c r="J26" s="52" t="str">
        <f>IF('(4).Midterm Results'!J26="","",'(4).Midterm Results'!J26)</f>
        <v/>
      </c>
      <c r="K26" s="52" t="str">
        <f>IF('(4).Midterm Results'!K26="","",'(4).Midterm Results'!K26)</f>
        <v/>
      </c>
      <c r="L26" s="52" t="str">
        <f>IF('(4).Midterm Results'!L26="","",'(4).Midterm Results'!L26)</f>
        <v/>
      </c>
      <c r="M26" s="52" t="str">
        <f>IF('(4).Midterm Results'!M26="","",'(4).Midterm Results'!M26)</f>
        <v/>
      </c>
      <c r="N26" s="52" t="str">
        <f>IF('(4).Midterm Results'!N26="","",'(4).Midterm Results'!N26)</f>
        <v/>
      </c>
      <c r="O26" s="53" t="str">
        <f>IF('(4).Midterm Results'!O26="","",'(4).Midterm Results'!O26)</f>
        <v/>
      </c>
      <c r="P26" s="51" t="str">
        <f>IF('(5).Promotion Daily'!AH26="","",'(5).Promotion Daily'!AH26)</f>
        <v/>
      </c>
      <c r="Q26" s="52" t="str">
        <f>IF('(6).Promotion Exam'!D26="","",'(6).Promotion Exam'!D26)</f>
        <v/>
      </c>
      <c r="R26" s="52" t="str">
        <f>IF('(6).Promotion Exam'!E26="","",'(6).Promotion Exam'!E26)</f>
        <v/>
      </c>
      <c r="S26" s="52" t="str">
        <f>IF('(6).Promotion Exam'!F26="","",'(6).Promotion Exam'!F26)</f>
        <v/>
      </c>
      <c r="T26" s="52" t="str">
        <f>IF('(6).Promotion Exam'!G26="","",'(6).Promotion Exam'!G26)</f>
        <v/>
      </c>
      <c r="U26" s="52" t="str">
        <f>IF('(6).Promotion Exam'!H26="","",'(6).Promotion Exam'!H26)</f>
        <v/>
      </c>
      <c r="V26" s="52" t="str">
        <f>IF('(6).Promotion Exam'!I26="","",'(6).Promotion Exam'!I26)</f>
        <v/>
      </c>
      <c r="W26" s="52" t="str">
        <f>IF('(6).Promotion Exam'!J26="","",'(6).Promotion Exam'!J26)</f>
        <v/>
      </c>
      <c r="X26" s="52" t="str">
        <f>IF('(6).Promotion Exam'!K26="","",'(6).Promotion Exam'!K26)</f>
        <v/>
      </c>
      <c r="Y26" s="52" t="str">
        <f>IF('(6).Promotion Exam'!L26="","",'(6).Promotion Exam'!L26)</f>
        <v/>
      </c>
      <c r="Z26" s="52" t="str">
        <f>IF('(6).Promotion Exam'!M26="","",'(6).Promotion Exam'!M26)</f>
        <v/>
      </c>
      <c r="AA26" s="53" t="str">
        <f>IF(B26="","",IF(P26="Incomplete","Incomplete",IF('(6).Promotion Exam'!N26="Change","Change",IF('(6).Promotion Exam'!N26="Stop","Stop",IF('(6).Promotion Exam'!N26="Incomplete","Incomplete",IF(COUNTBLANK(Q26:Z26)&gt;=1,"Incomplete",P26*20%+SUM(Q26:Z26)*80%))))))</f>
        <v/>
      </c>
      <c r="AB26" s="54" t="str">
        <f t="shared" si="0"/>
        <v/>
      </c>
      <c r="AC26" s="55" t="str">
        <f t="shared" si="1"/>
        <v/>
      </c>
      <c r="AD26" s="55" t="str">
        <f t="shared" si="2"/>
        <v/>
      </c>
      <c r="AE26" s="56" t="str">
        <f t="shared" si="3"/>
        <v/>
      </c>
      <c r="AF26" s="57" t="str">
        <f t="shared" si="4"/>
        <v/>
      </c>
      <c r="AG26" s="97" t="str">
        <f t="shared" si="5"/>
        <v/>
      </c>
      <c r="AH26" s="58" t="str">
        <f t="shared" si="6"/>
        <v/>
      </c>
      <c r="AI26" s="58" t="str">
        <f t="shared" si="7"/>
        <v/>
      </c>
      <c r="AJ26" s="59"/>
    </row>
    <row r="27" spans="1:36" ht="15.95" customHeight="1">
      <c r="A27" s="66">
        <v>21</v>
      </c>
      <c r="B27" s="63" t="str">
        <f>IF('(6).Promotion Exam'!B27="","",'(6).Promotion Exam'!B27)</f>
        <v/>
      </c>
      <c r="C27" s="67" t="str">
        <f>IF('(6).Promotion Exam'!C27="","",'(6).Promotion Exam'!C27)</f>
        <v/>
      </c>
      <c r="D27" s="51" t="str">
        <f>IF('(4).Midterm Results'!D27="","",'(4).Midterm Results'!D27)</f>
        <v/>
      </c>
      <c r="E27" s="52" t="str">
        <f>IF('(4).Midterm Results'!E27="","",'(4).Midterm Results'!E27)</f>
        <v/>
      </c>
      <c r="F27" s="52" t="str">
        <f>IF('(4).Midterm Results'!F27="","",'(4).Midterm Results'!F27)</f>
        <v/>
      </c>
      <c r="G27" s="52" t="str">
        <f>IF('(4).Midterm Results'!G27="","",'(4).Midterm Results'!G27)</f>
        <v/>
      </c>
      <c r="H27" s="52" t="str">
        <f>IF('(4).Midterm Results'!H27="","",'(4).Midterm Results'!H27)</f>
        <v/>
      </c>
      <c r="I27" s="52" t="str">
        <f>IF('(4).Midterm Results'!I27="","",'(4).Midterm Results'!I27)</f>
        <v/>
      </c>
      <c r="J27" s="52" t="str">
        <f>IF('(4).Midterm Results'!J27="","",'(4).Midterm Results'!J27)</f>
        <v/>
      </c>
      <c r="K27" s="52" t="str">
        <f>IF('(4).Midterm Results'!K27="","",'(4).Midterm Results'!K27)</f>
        <v/>
      </c>
      <c r="L27" s="52" t="str">
        <f>IF('(4).Midterm Results'!L27="","",'(4).Midterm Results'!L27)</f>
        <v/>
      </c>
      <c r="M27" s="52" t="str">
        <f>IF('(4).Midterm Results'!M27="","",'(4).Midterm Results'!M27)</f>
        <v/>
      </c>
      <c r="N27" s="52" t="str">
        <f>IF('(4).Midterm Results'!N27="","",'(4).Midterm Results'!N27)</f>
        <v/>
      </c>
      <c r="O27" s="53" t="str">
        <f>IF('(4).Midterm Results'!O27="","",'(4).Midterm Results'!O27)</f>
        <v/>
      </c>
      <c r="P27" s="51" t="str">
        <f>IF('(5).Promotion Daily'!AH27="","",'(5).Promotion Daily'!AH27)</f>
        <v/>
      </c>
      <c r="Q27" s="52" t="str">
        <f>IF('(6).Promotion Exam'!D27="","",'(6).Promotion Exam'!D27)</f>
        <v/>
      </c>
      <c r="R27" s="52" t="str">
        <f>IF('(6).Promotion Exam'!E27="","",'(6).Promotion Exam'!E27)</f>
        <v/>
      </c>
      <c r="S27" s="52" t="str">
        <f>IF('(6).Promotion Exam'!F27="","",'(6).Promotion Exam'!F27)</f>
        <v/>
      </c>
      <c r="T27" s="52" t="str">
        <f>IF('(6).Promotion Exam'!G27="","",'(6).Promotion Exam'!G27)</f>
        <v/>
      </c>
      <c r="U27" s="52" t="str">
        <f>IF('(6).Promotion Exam'!H27="","",'(6).Promotion Exam'!H27)</f>
        <v/>
      </c>
      <c r="V27" s="52" t="str">
        <f>IF('(6).Promotion Exam'!I27="","",'(6).Promotion Exam'!I27)</f>
        <v/>
      </c>
      <c r="W27" s="52" t="str">
        <f>IF('(6).Promotion Exam'!J27="","",'(6).Promotion Exam'!J27)</f>
        <v/>
      </c>
      <c r="X27" s="52" t="str">
        <f>IF('(6).Promotion Exam'!K27="","",'(6).Promotion Exam'!K27)</f>
        <v/>
      </c>
      <c r="Y27" s="52" t="str">
        <f>IF('(6).Promotion Exam'!L27="","",'(6).Promotion Exam'!L27)</f>
        <v/>
      </c>
      <c r="Z27" s="52" t="str">
        <f>IF('(6).Promotion Exam'!M27="","",'(6).Promotion Exam'!M27)</f>
        <v/>
      </c>
      <c r="AA27" s="53" t="str">
        <f>IF(B27="","",IF(P27="Incomplete","Incomplete",IF('(6).Promotion Exam'!N27="Change","Change",IF('(6).Promotion Exam'!N27="Stop","Stop",IF('(6).Promotion Exam'!N27="Incomplete","Incomplete",IF(COUNTBLANK(Q27:Z27)&gt;=1,"Incomplete",P27*20%+SUM(Q27:Z27)*80%))))))</f>
        <v/>
      </c>
      <c r="AB27" s="54" t="str">
        <f t="shared" si="0"/>
        <v/>
      </c>
      <c r="AC27" s="55" t="str">
        <f t="shared" si="1"/>
        <v/>
      </c>
      <c r="AD27" s="55" t="str">
        <f t="shared" si="2"/>
        <v/>
      </c>
      <c r="AE27" s="56" t="str">
        <f t="shared" si="3"/>
        <v/>
      </c>
      <c r="AF27" s="57" t="str">
        <f t="shared" si="4"/>
        <v/>
      </c>
      <c r="AG27" s="97" t="str">
        <f t="shared" si="5"/>
        <v/>
      </c>
      <c r="AH27" s="58" t="str">
        <f t="shared" si="6"/>
        <v/>
      </c>
      <c r="AI27" s="58" t="str">
        <f t="shared" si="7"/>
        <v/>
      </c>
      <c r="AJ27" s="59"/>
    </row>
    <row r="28" spans="1:36" ht="15.95" customHeight="1">
      <c r="A28" s="66">
        <v>22</v>
      </c>
      <c r="B28" s="63" t="str">
        <f>IF('(6).Promotion Exam'!B28="","",'(6).Promotion Exam'!B28)</f>
        <v/>
      </c>
      <c r="C28" s="67" t="str">
        <f>IF('(6).Promotion Exam'!C28="","",'(6).Promotion Exam'!C28)</f>
        <v/>
      </c>
      <c r="D28" s="51" t="str">
        <f>IF('(4).Midterm Results'!D28="","",'(4).Midterm Results'!D28)</f>
        <v/>
      </c>
      <c r="E28" s="52" t="str">
        <f>IF('(4).Midterm Results'!E28="","",'(4).Midterm Results'!E28)</f>
        <v/>
      </c>
      <c r="F28" s="52" t="str">
        <f>IF('(4).Midterm Results'!F28="","",'(4).Midterm Results'!F28)</f>
        <v/>
      </c>
      <c r="G28" s="52" t="str">
        <f>IF('(4).Midterm Results'!G28="","",'(4).Midterm Results'!G28)</f>
        <v/>
      </c>
      <c r="H28" s="52" t="str">
        <f>IF('(4).Midterm Results'!H28="","",'(4).Midterm Results'!H28)</f>
        <v/>
      </c>
      <c r="I28" s="52" t="str">
        <f>IF('(4).Midterm Results'!I28="","",'(4).Midterm Results'!I28)</f>
        <v/>
      </c>
      <c r="J28" s="52" t="str">
        <f>IF('(4).Midterm Results'!J28="","",'(4).Midterm Results'!J28)</f>
        <v/>
      </c>
      <c r="K28" s="52" t="str">
        <f>IF('(4).Midterm Results'!K28="","",'(4).Midterm Results'!K28)</f>
        <v/>
      </c>
      <c r="L28" s="52" t="str">
        <f>IF('(4).Midterm Results'!L28="","",'(4).Midterm Results'!L28)</f>
        <v/>
      </c>
      <c r="M28" s="52" t="str">
        <f>IF('(4).Midterm Results'!M28="","",'(4).Midterm Results'!M28)</f>
        <v/>
      </c>
      <c r="N28" s="52" t="str">
        <f>IF('(4).Midterm Results'!N28="","",'(4).Midterm Results'!N28)</f>
        <v/>
      </c>
      <c r="O28" s="53" t="str">
        <f>IF('(4).Midterm Results'!O28="","",'(4).Midterm Results'!O28)</f>
        <v/>
      </c>
      <c r="P28" s="51" t="str">
        <f>IF('(5).Promotion Daily'!AH28="","",'(5).Promotion Daily'!AH28)</f>
        <v/>
      </c>
      <c r="Q28" s="52" t="str">
        <f>IF('(6).Promotion Exam'!D28="","",'(6).Promotion Exam'!D28)</f>
        <v/>
      </c>
      <c r="R28" s="52" t="str">
        <f>IF('(6).Promotion Exam'!E28="","",'(6).Promotion Exam'!E28)</f>
        <v/>
      </c>
      <c r="S28" s="52" t="str">
        <f>IF('(6).Promotion Exam'!F28="","",'(6).Promotion Exam'!F28)</f>
        <v/>
      </c>
      <c r="T28" s="52" t="str">
        <f>IF('(6).Promotion Exam'!G28="","",'(6).Promotion Exam'!G28)</f>
        <v/>
      </c>
      <c r="U28" s="52" t="str">
        <f>IF('(6).Promotion Exam'!H28="","",'(6).Promotion Exam'!H28)</f>
        <v/>
      </c>
      <c r="V28" s="52" t="str">
        <f>IF('(6).Promotion Exam'!I28="","",'(6).Promotion Exam'!I28)</f>
        <v/>
      </c>
      <c r="W28" s="52" t="str">
        <f>IF('(6).Promotion Exam'!J28="","",'(6).Promotion Exam'!J28)</f>
        <v/>
      </c>
      <c r="X28" s="52" t="str">
        <f>IF('(6).Promotion Exam'!K28="","",'(6).Promotion Exam'!K28)</f>
        <v/>
      </c>
      <c r="Y28" s="52" t="str">
        <f>IF('(6).Promotion Exam'!L28="","",'(6).Promotion Exam'!L28)</f>
        <v/>
      </c>
      <c r="Z28" s="52" t="str">
        <f>IF('(6).Promotion Exam'!M28="","",'(6).Promotion Exam'!M28)</f>
        <v/>
      </c>
      <c r="AA28" s="53" t="str">
        <f>IF(B28="","",IF(P28="Incomplete","Incomplete",IF('(6).Promotion Exam'!N28="Change","Change",IF('(6).Promotion Exam'!N28="Stop","Stop",IF('(6).Promotion Exam'!N28="Incomplete","Incomplete",IF(COUNTBLANK(Q28:Z28)&gt;=1,"Incomplete",P28*20%+SUM(Q28:Z28)*80%))))))</f>
        <v/>
      </c>
      <c r="AB28" s="54" t="str">
        <f t="shared" si="0"/>
        <v/>
      </c>
      <c r="AC28" s="55" t="str">
        <f t="shared" si="1"/>
        <v/>
      </c>
      <c r="AD28" s="55" t="str">
        <f t="shared" si="2"/>
        <v/>
      </c>
      <c r="AE28" s="56" t="str">
        <f t="shared" si="3"/>
        <v/>
      </c>
      <c r="AF28" s="57" t="str">
        <f t="shared" si="4"/>
        <v/>
      </c>
      <c r="AG28" s="97" t="str">
        <f t="shared" si="5"/>
        <v/>
      </c>
      <c r="AH28" s="58" t="str">
        <f t="shared" si="6"/>
        <v/>
      </c>
      <c r="AI28" s="58" t="str">
        <f t="shared" si="7"/>
        <v/>
      </c>
      <c r="AJ28" s="59"/>
    </row>
    <row r="29" spans="1:36" ht="15.95" customHeight="1">
      <c r="A29" s="66">
        <v>23</v>
      </c>
      <c r="B29" s="63" t="str">
        <f>IF('(6).Promotion Exam'!B29="","",'(6).Promotion Exam'!B29)</f>
        <v/>
      </c>
      <c r="C29" s="67" t="str">
        <f>IF('(6).Promotion Exam'!C29="","",'(6).Promotion Exam'!C29)</f>
        <v/>
      </c>
      <c r="D29" s="51" t="str">
        <f>IF('(4).Midterm Results'!D29="","",'(4).Midterm Results'!D29)</f>
        <v/>
      </c>
      <c r="E29" s="52" t="str">
        <f>IF('(4).Midterm Results'!E29="","",'(4).Midterm Results'!E29)</f>
        <v/>
      </c>
      <c r="F29" s="52" t="str">
        <f>IF('(4).Midterm Results'!F29="","",'(4).Midterm Results'!F29)</f>
        <v/>
      </c>
      <c r="G29" s="52" t="str">
        <f>IF('(4).Midterm Results'!G29="","",'(4).Midterm Results'!G29)</f>
        <v/>
      </c>
      <c r="H29" s="52" t="str">
        <f>IF('(4).Midterm Results'!H29="","",'(4).Midterm Results'!H29)</f>
        <v/>
      </c>
      <c r="I29" s="52" t="str">
        <f>IF('(4).Midterm Results'!I29="","",'(4).Midterm Results'!I29)</f>
        <v/>
      </c>
      <c r="J29" s="52" t="str">
        <f>IF('(4).Midterm Results'!J29="","",'(4).Midterm Results'!J29)</f>
        <v/>
      </c>
      <c r="K29" s="52" t="str">
        <f>IF('(4).Midterm Results'!K29="","",'(4).Midterm Results'!K29)</f>
        <v/>
      </c>
      <c r="L29" s="52" t="str">
        <f>IF('(4).Midterm Results'!L29="","",'(4).Midterm Results'!L29)</f>
        <v/>
      </c>
      <c r="M29" s="52" t="str">
        <f>IF('(4).Midterm Results'!M29="","",'(4).Midterm Results'!M29)</f>
        <v/>
      </c>
      <c r="N29" s="52" t="str">
        <f>IF('(4).Midterm Results'!N29="","",'(4).Midterm Results'!N29)</f>
        <v/>
      </c>
      <c r="O29" s="53" t="str">
        <f>IF('(4).Midterm Results'!O29="","",'(4).Midterm Results'!O29)</f>
        <v/>
      </c>
      <c r="P29" s="51" t="str">
        <f>IF('(5).Promotion Daily'!AH29="","",'(5).Promotion Daily'!AH29)</f>
        <v/>
      </c>
      <c r="Q29" s="52" t="str">
        <f>IF('(6).Promotion Exam'!D29="","",'(6).Promotion Exam'!D29)</f>
        <v/>
      </c>
      <c r="R29" s="52" t="str">
        <f>IF('(6).Promotion Exam'!E29="","",'(6).Promotion Exam'!E29)</f>
        <v/>
      </c>
      <c r="S29" s="52" t="str">
        <f>IF('(6).Promotion Exam'!F29="","",'(6).Promotion Exam'!F29)</f>
        <v/>
      </c>
      <c r="T29" s="52" t="str">
        <f>IF('(6).Promotion Exam'!G29="","",'(6).Promotion Exam'!G29)</f>
        <v/>
      </c>
      <c r="U29" s="52" t="str">
        <f>IF('(6).Promotion Exam'!H29="","",'(6).Promotion Exam'!H29)</f>
        <v/>
      </c>
      <c r="V29" s="52" t="str">
        <f>IF('(6).Promotion Exam'!I29="","",'(6).Promotion Exam'!I29)</f>
        <v/>
      </c>
      <c r="W29" s="52" t="str">
        <f>IF('(6).Promotion Exam'!J29="","",'(6).Promotion Exam'!J29)</f>
        <v/>
      </c>
      <c r="X29" s="52" t="str">
        <f>IF('(6).Promotion Exam'!K29="","",'(6).Promotion Exam'!K29)</f>
        <v/>
      </c>
      <c r="Y29" s="52" t="str">
        <f>IF('(6).Promotion Exam'!L29="","",'(6).Promotion Exam'!L29)</f>
        <v/>
      </c>
      <c r="Z29" s="52" t="str">
        <f>IF('(6).Promotion Exam'!M29="","",'(6).Promotion Exam'!M29)</f>
        <v/>
      </c>
      <c r="AA29" s="53" t="str">
        <f>IF(B29="","",IF(P29="Incomplete","Incomplete",IF('(6).Promotion Exam'!N29="Change","Change",IF('(6).Promotion Exam'!N29="Stop","Stop",IF('(6).Promotion Exam'!N29="Incomplete","Incomplete",IF(COUNTBLANK(Q29:Z29)&gt;=1,"Incomplete",P29*20%+SUM(Q29:Z29)*80%))))))</f>
        <v/>
      </c>
      <c r="AB29" s="54" t="str">
        <f t="shared" si="0"/>
        <v/>
      </c>
      <c r="AC29" s="55" t="str">
        <f t="shared" si="1"/>
        <v/>
      </c>
      <c r="AD29" s="55" t="str">
        <f t="shared" si="2"/>
        <v/>
      </c>
      <c r="AE29" s="56" t="str">
        <f t="shared" si="3"/>
        <v/>
      </c>
      <c r="AF29" s="57" t="str">
        <f t="shared" si="4"/>
        <v/>
      </c>
      <c r="AG29" s="97" t="str">
        <f t="shared" si="5"/>
        <v/>
      </c>
      <c r="AH29" s="58" t="str">
        <f t="shared" si="6"/>
        <v/>
      </c>
      <c r="AI29" s="58" t="str">
        <f t="shared" si="7"/>
        <v/>
      </c>
      <c r="AJ29" s="59"/>
    </row>
    <row r="30" spans="1:36" ht="15.95" customHeight="1">
      <c r="A30" s="66">
        <v>24</v>
      </c>
      <c r="B30" s="63" t="str">
        <f>IF('(6).Promotion Exam'!B30="","",'(6).Promotion Exam'!B30)</f>
        <v/>
      </c>
      <c r="C30" s="67" t="str">
        <f>IF('(6).Promotion Exam'!C30="","",'(6).Promotion Exam'!C30)</f>
        <v/>
      </c>
      <c r="D30" s="51" t="str">
        <f>IF('(4).Midterm Results'!D30="","",'(4).Midterm Results'!D30)</f>
        <v/>
      </c>
      <c r="E30" s="52" t="str">
        <f>IF('(4).Midterm Results'!E30="","",'(4).Midterm Results'!E30)</f>
        <v/>
      </c>
      <c r="F30" s="52" t="str">
        <f>IF('(4).Midterm Results'!F30="","",'(4).Midterm Results'!F30)</f>
        <v/>
      </c>
      <c r="G30" s="52" t="str">
        <f>IF('(4).Midterm Results'!G30="","",'(4).Midterm Results'!G30)</f>
        <v/>
      </c>
      <c r="H30" s="52" t="str">
        <f>IF('(4).Midterm Results'!H30="","",'(4).Midterm Results'!H30)</f>
        <v/>
      </c>
      <c r="I30" s="52" t="str">
        <f>IF('(4).Midterm Results'!I30="","",'(4).Midterm Results'!I30)</f>
        <v/>
      </c>
      <c r="J30" s="52" t="str">
        <f>IF('(4).Midterm Results'!J30="","",'(4).Midterm Results'!J30)</f>
        <v/>
      </c>
      <c r="K30" s="52" t="str">
        <f>IF('(4).Midterm Results'!K30="","",'(4).Midterm Results'!K30)</f>
        <v/>
      </c>
      <c r="L30" s="52" t="str">
        <f>IF('(4).Midterm Results'!L30="","",'(4).Midterm Results'!L30)</f>
        <v/>
      </c>
      <c r="M30" s="52" t="str">
        <f>IF('(4).Midterm Results'!M30="","",'(4).Midterm Results'!M30)</f>
        <v/>
      </c>
      <c r="N30" s="52" t="str">
        <f>IF('(4).Midterm Results'!N30="","",'(4).Midterm Results'!N30)</f>
        <v/>
      </c>
      <c r="O30" s="53" t="str">
        <f>IF('(4).Midterm Results'!O30="","",'(4).Midterm Results'!O30)</f>
        <v/>
      </c>
      <c r="P30" s="51" t="str">
        <f>IF('(5).Promotion Daily'!AH30="","",'(5).Promotion Daily'!AH30)</f>
        <v/>
      </c>
      <c r="Q30" s="52" t="str">
        <f>IF('(6).Promotion Exam'!D30="","",'(6).Promotion Exam'!D30)</f>
        <v/>
      </c>
      <c r="R30" s="52" t="str">
        <f>IF('(6).Promotion Exam'!E30="","",'(6).Promotion Exam'!E30)</f>
        <v/>
      </c>
      <c r="S30" s="52" t="str">
        <f>IF('(6).Promotion Exam'!F30="","",'(6).Promotion Exam'!F30)</f>
        <v/>
      </c>
      <c r="T30" s="52" t="str">
        <f>IF('(6).Promotion Exam'!G30="","",'(6).Promotion Exam'!G30)</f>
        <v/>
      </c>
      <c r="U30" s="52" t="str">
        <f>IF('(6).Promotion Exam'!H30="","",'(6).Promotion Exam'!H30)</f>
        <v/>
      </c>
      <c r="V30" s="52" t="str">
        <f>IF('(6).Promotion Exam'!I30="","",'(6).Promotion Exam'!I30)</f>
        <v/>
      </c>
      <c r="W30" s="52" t="str">
        <f>IF('(6).Promotion Exam'!J30="","",'(6).Promotion Exam'!J30)</f>
        <v/>
      </c>
      <c r="X30" s="52" t="str">
        <f>IF('(6).Promotion Exam'!K30="","",'(6).Promotion Exam'!K30)</f>
        <v/>
      </c>
      <c r="Y30" s="52" t="str">
        <f>IF('(6).Promotion Exam'!L30="","",'(6).Promotion Exam'!L30)</f>
        <v/>
      </c>
      <c r="Z30" s="52" t="str">
        <f>IF('(6).Promotion Exam'!M30="","",'(6).Promotion Exam'!M30)</f>
        <v/>
      </c>
      <c r="AA30" s="53" t="str">
        <f>IF(B30="","",IF(P30="Incomplete","Incomplete",IF('(6).Promotion Exam'!N30="Change","Change",IF('(6).Promotion Exam'!N30="Stop","Stop",IF('(6).Promotion Exam'!N30="Incomplete","Incomplete",IF(COUNTBLANK(Q30:Z30)&gt;=1,"Incomplete",P30*20%+SUM(Q30:Z30)*80%))))))</f>
        <v/>
      </c>
      <c r="AB30" s="54" t="str">
        <f t="shared" si="0"/>
        <v/>
      </c>
      <c r="AC30" s="55" t="str">
        <f t="shared" si="1"/>
        <v/>
      </c>
      <c r="AD30" s="55" t="str">
        <f t="shared" si="2"/>
        <v/>
      </c>
      <c r="AE30" s="56" t="str">
        <f t="shared" si="3"/>
        <v/>
      </c>
      <c r="AF30" s="57" t="str">
        <f t="shared" si="4"/>
        <v/>
      </c>
      <c r="AG30" s="97" t="str">
        <f t="shared" si="5"/>
        <v/>
      </c>
      <c r="AH30" s="58" t="str">
        <f t="shared" si="6"/>
        <v/>
      </c>
      <c r="AI30" s="58" t="str">
        <f t="shared" si="7"/>
        <v/>
      </c>
      <c r="AJ30" s="59"/>
    </row>
    <row r="31" spans="1:36" ht="15.95" customHeight="1">
      <c r="A31" s="66">
        <v>25</v>
      </c>
      <c r="B31" s="63" t="str">
        <f>IF('(6).Promotion Exam'!B31="","",'(6).Promotion Exam'!B31)</f>
        <v/>
      </c>
      <c r="C31" s="67" t="str">
        <f>IF('(6).Promotion Exam'!C31="","",'(6).Promotion Exam'!C31)</f>
        <v/>
      </c>
      <c r="D31" s="51" t="str">
        <f>IF('(4).Midterm Results'!D31="","",'(4).Midterm Results'!D31)</f>
        <v/>
      </c>
      <c r="E31" s="52" t="str">
        <f>IF('(4).Midterm Results'!E31="","",'(4).Midterm Results'!E31)</f>
        <v/>
      </c>
      <c r="F31" s="52" t="str">
        <f>IF('(4).Midterm Results'!F31="","",'(4).Midterm Results'!F31)</f>
        <v/>
      </c>
      <c r="G31" s="52" t="str">
        <f>IF('(4).Midterm Results'!G31="","",'(4).Midterm Results'!G31)</f>
        <v/>
      </c>
      <c r="H31" s="52" t="str">
        <f>IF('(4).Midterm Results'!H31="","",'(4).Midterm Results'!H31)</f>
        <v/>
      </c>
      <c r="I31" s="52" t="str">
        <f>IF('(4).Midterm Results'!I31="","",'(4).Midterm Results'!I31)</f>
        <v/>
      </c>
      <c r="J31" s="52" t="str">
        <f>IF('(4).Midterm Results'!J31="","",'(4).Midterm Results'!J31)</f>
        <v/>
      </c>
      <c r="K31" s="52" t="str">
        <f>IF('(4).Midterm Results'!K31="","",'(4).Midterm Results'!K31)</f>
        <v/>
      </c>
      <c r="L31" s="52" t="str">
        <f>IF('(4).Midterm Results'!L31="","",'(4).Midterm Results'!L31)</f>
        <v/>
      </c>
      <c r="M31" s="52" t="str">
        <f>IF('(4).Midterm Results'!M31="","",'(4).Midterm Results'!M31)</f>
        <v/>
      </c>
      <c r="N31" s="52" t="str">
        <f>IF('(4).Midterm Results'!N31="","",'(4).Midterm Results'!N31)</f>
        <v/>
      </c>
      <c r="O31" s="53" t="str">
        <f>IF('(4).Midterm Results'!O31="","",'(4).Midterm Results'!O31)</f>
        <v/>
      </c>
      <c r="P31" s="51" t="str">
        <f>IF('(5).Promotion Daily'!AH31="","",'(5).Promotion Daily'!AH31)</f>
        <v/>
      </c>
      <c r="Q31" s="52" t="str">
        <f>IF('(6).Promotion Exam'!D31="","",'(6).Promotion Exam'!D31)</f>
        <v/>
      </c>
      <c r="R31" s="52" t="str">
        <f>IF('(6).Promotion Exam'!E31="","",'(6).Promotion Exam'!E31)</f>
        <v/>
      </c>
      <c r="S31" s="52" t="str">
        <f>IF('(6).Promotion Exam'!F31="","",'(6).Promotion Exam'!F31)</f>
        <v/>
      </c>
      <c r="T31" s="52" t="str">
        <f>IF('(6).Promotion Exam'!G31="","",'(6).Promotion Exam'!G31)</f>
        <v/>
      </c>
      <c r="U31" s="52" t="str">
        <f>IF('(6).Promotion Exam'!H31="","",'(6).Promotion Exam'!H31)</f>
        <v/>
      </c>
      <c r="V31" s="52" t="str">
        <f>IF('(6).Promotion Exam'!I31="","",'(6).Promotion Exam'!I31)</f>
        <v/>
      </c>
      <c r="W31" s="52" t="str">
        <f>IF('(6).Promotion Exam'!J31="","",'(6).Promotion Exam'!J31)</f>
        <v/>
      </c>
      <c r="X31" s="52" t="str">
        <f>IF('(6).Promotion Exam'!K31="","",'(6).Promotion Exam'!K31)</f>
        <v/>
      </c>
      <c r="Y31" s="52" t="str">
        <f>IF('(6).Promotion Exam'!L31="","",'(6).Promotion Exam'!L31)</f>
        <v/>
      </c>
      <c r="Z31" s="52" t="str">
        <f>IF('(6).Promotion Exam'!M31="","",'(6).Promotion Exam'!M31)</f>
        <v/>
      </c>
      <c r="AA31" s="53" t="str">
        <f>IF(B31="","",IF(P31="Incomplete","Incomplete",IF('(6).Promotion Exam'!N31="Change","Change",IF('(6).Promotion Exam'!N31="Stop","Stop",IF('(6).Promotion Exam'!N31="Incomplete","Incomplete",IF(COUNTBLANK(Q31:Z31)&gt;=1,"Incomplete",P31*20%+SUM(Q31:Z31)*80%))))))</f>
        <v/>
      </c>
      <c r="AB31" s="54" t="str">
        <f t="shared" si="0"/>
        <v/>
      </c>
      <c r="AC31" s="55" t="str">
        <f t="shared" si="1"/>
        <v/>
      </c>
      <c r="AD31" s="55" t="str">
        <f t="shared" si="2"/>
        <v/>
      </c>
      <c r="AE31" s="56" t="str">
        <f t="shared" si="3"/>
        <v/>
      </c>
      <c r="AF31" s="57" t="str">
        <f t="shared" si="4"/>
        <v/>
      </c>
      <c r="AG31" s="97" t="str">
        <f t="shared" si="5"/>
        <v/>
      </c>
      <c r="AH31" s="58" t="str">
        <f t="shared" si="6"/>
        <v/>
      </c>
      <c r="AI31" s="58" t="str">
        <f t="shared" si="7"/>
        <v/>
      </c>
      <c r="AJ31" s="59"/>
    </row>
    <row r="32" spans="1:36" ht="15.95" customHeight="1">
      <c r="A32" s="66">
        <v>26</v>
      </c>
      <c r="B32" s="63" t="str">
        <f>IF('(6).Promotion Exam'!B32="","",'(6).Promotion Exam'!B32)</f>
        <v/>
      </c>
      <c r="C32" s="67" t="str">
        <f>IF('(6).Promotion Exam'!C32="","",'(6).Promotion Exam'!C32)</f>
        <v/>
      </c>
      <c r="D32" s="51" t="str">
        <f>IF('(4).Midterm Results'!D32="","",'(4).Midterm Results'!D32)</f>
        <v/>
      </c>
      <c r="E32" s="52" t="str">
        <f>IF('(4).Midterm Results'!E32="","",'(4).Midterm Results'!E32)</f>
        <v/>
      </c>
      <c r="F32" s="52" t="str">
        <f>IF('(4).Midterm Results'!F32="","",'(4).Midterm Results'!F32)</f>
        <v/>
      </c>
      <c r="G32" s="52" t="str">
        <f>IF('(4).Midterm Results'!G32="","",'(4).Midterm Results'!G32)</f>
        <v/>
      </c>
      <c r="H32" s="52" t="str">
        <f>IF('(4).Midterm Results'!H32="","",'(4).Midterm Results'!H32)</f>
        <v/>
      </c>
      <c r="I32" s="52" t="str">
        <f>IF('(4).Midterm Results'!I32="","",'(4).Midterm Results'!I32)</f>
        <v/>
      </c>
      <c r="J32" s="52" t="str">
        <f>IF('(4).Midterm Results'!J32="","",'(4).Midterm Results'!J32)</f>
        <v/>
      </c>
      <c r="K32" s="52" t="str">
        <f>IF('(4).Midterm Results'!K32="","",'(4).Midterm Results'!K32)</f>
        <v/>
      </c>
      <c r="L32" s="52" t="str">
        <f>IF('(4).Midterm Results'!L32="","",'(4).Midterm Results'!L32)</f>
        <v/>
      </c>
      <c r="M32" s="52" t="str">
        <f>IF('(4).Midterm Results'!M32="","",'(4).Midterm Results'!M32)</f>
        <v/>
      </c>
      <c r="N32" s="52" t="str">
        <f>IF('(4).Midterm Results'!N32="","",'(4).Midterm Results'!N32)</f>
        <v/>
      </c>
      <c r="O32" s="53" t="str">
        <f>IF('(4).Midterm Results'!O32="","",'(4).Midterm Results'!O32)</f>
        <v/>
      </c>
      <c r="P32" s="51" t="str">
        <f>IF('(5).Promotion Daily'!AH32="","",'(5).Promotion Daily'!AH32)</f>
        <v/>
      </c>
      <c r="Q32" s="52" t="str">
        <f>IF('(6).Promotion Exam'!D32="","",'(6).Promotion Exam'!D32)</f>
        <v/>
      </c>
      <c r="R32" s="52" t="str">
        <f>IF('(6).Promotion Exam'!E32="","",'(6).Promotion Exam'!E32)</f>
        <v/>
      </c>
      <c r="S32" s="52" t="str">
        <f>IF('(6).Promotion Exam'!F32="","",'(6).Promotion Exam'!F32)</f>
        <v/>
      </c>
      <c r="T32" s="52" t="str">
        <f>IF('(6).Promotion Exam'!G32="","",'(6).Promotion Exam'!G32)</f>
        <v/>
      </c>
      <c r="U32" s="52" t="str">
        <f>IF('(6).Promotion Exam'!H32="","",'(6).Promotion Exam'!H32)</f>
        <v/>
      </c>
      <c r="V32" s="52" t="str">
        <f>IF('(6).Promotion Exam'!I32="","",'(6).Promotion Exam'!I32)</f>
        <v/>
      </c>
      <c r="W32" s="52" t="str">
        <f>IF('(6).Promotion Exam'!J32="","",'(6).Promotion Exam'!J32)</f>
        <v/>
      </c>
      <c r="X32" s="52" t="str">
        <f>IF('(6).Promotion Exam'!K32="","",'(6).Promotion Exam'!K32)</f>
        <v/>
      </c>
      <c r="Y32" s="52" t="str">
        <f>IF('(6).Promotion Exam'!L32="","",'(6).Promotion Exam'!L32)</f>
        <v/>
      </c>
      <c r="Z32" s="52" t="str">
        <f>IF('(6).Promotion Exam'!M32="","",'(6).Promotion Exam'!M32)</f>
        <v/>
      </c>
      <c r="AA32" s="53" t="str">
        <f>IF(B32="","",IF(P32="Incomplete","Incomplete",IF('(6).Promotion Exam'!N32="Change","Change",IF('(6).Promotion Exam'!N32="Stop","Stop",IF('(6).Promotion Exam'!N32="Incomplete","Incomplete",IF(COUNTBLANK(Q32:Z32)&gt;=1,"Incomplete",P32*20%+SUM(Q32:Z32)*80%))))))</f>
        <v/>
      </c>
      <c r="AB32" s="54" t="str">
        <f t="shared" si="0"/>
        <v/>
      </c>
      <c r="AC32" s="55" t="str">
        <f t="shared" si="1"/>
        <v/>
      </c>
      <c r="AD32" s="55" t="str">
        <f t="shared" si="2"/>
        <v/>
      </c>
      <c r="AE32" s="56" t="str">
        <f t="shared" si="3"/>
        <v/>
      </c>
      <c r="AF32" s="57" t="str">
        <f t="shared" si="4"/>
        <v/>
      </c>
      <c r="AG32" s="97" t="str">
        <f t="shared" si="5"/>
        <v/>
      </c>
      <c r="AH32" s="58" t="str">
        <f t="shared" si="6"/>
        <v/>
      </c>
      <c r="AI32" s="58" t="str">
        <f t="shared" si="7"/>
        <v/>
      </c>
      <c r="AJ32" s="59"/>
    </row>
    <row r="33" spans="1:36" ht="15.95" customHeight="1">
      <c r="A33" s="66">
        <v>27</v>
      </c>
      <c r="B33" s="63" t="str">
        <f>IF('(6).Promotion Exam'!B33="","",'(6).Promotion Exam'!B33)</f>
        <v/>
      </c>
      <c r="C33" s="67" t="str">
        <f>IF('(6).Promotion Exam'!C33="","",'(6).Promotion Exam'!C33)</f>
        <v/>
      </c>
      <c r="D33" s="51" t="str">
        <f>IF('(4).Midterm Results'!D33="","",'(4).Midterm Results'!D33)</f>
        <v/>
      </c>
      <c r="E33" s="52" t="str">
        <f>IF('(4).Midterm Results'!E33="","",'(4).Midterm Results'!E33)</f>
        <v/>
      </c>
      <c r="F33" s="52" t="str">
        <f>IF('(4).Midterm Results'!F33="","",'(4).Midterm Results'!F33)</f>
        <v/>
      </c>
      <c r="G33" s="52" t="str">
        <f>IF('(4).Midterm Results'!G33="","",'(4).Midterm Results'!G33)</f>
        <v/>
      </c>
      <c r="H33" s="52" t="str">
        <f>IF('(4).Midterm Results'!H33="","",'(4).Midterm Results'!H33)</f>
        <v/>
      </c>
      <c r="I33" s="52" t="str">
        <f>IF('(4).Midterm Results'!I33="","",'(4).Midterm Results'!I33)</f>
        <v/>
      </c>
      <c r="J33" s="52" t="str">
        <f>IF('(4).Midterm Results'!J33="","",'(4).Midterm Results'!J33)</f>
        <v/>
      </c>
      <c r="K33" s="52" t="str">
        <f>IF('(4).Midterm Results'!K33="","",'(4).Midterm Results'!K33)</f>
        <v/>
      </c>
      <c r="L33" s="52" t="str">
        <f>IF('(4).Midterm Results'!L33="","",'(4).Midterm Results'!L33)</f>
        <v/>
      </c>
      <c r="M33" s="52" t="str">
        <f>IF('(4).Midterm Results'!M33="","",'(4).Midterm Results'!M33)</f>
        <v/>
      </c>
      <c r="N33" s="52" t="str">
        <f>IF('(4).Midterm Results'!N33="","",'(4).Midterm Results'!N33)</f>
        <v/>
      </c>
      <c r="O33" s="53" t="str">
        <f>IF('(4).Midterm Results'!O33="","",'(4).Midterm Results'!O33)</f>
        <v/>
      </c>
      <c r="P33" s="51" t="str">
        <f>IF('(5).Promotion Daily'!AH33="","",'(5).Promotion Daily'!AH33)</f>
        <v/>
      </c>
      <c r="Q33" s="52" t="str">
        <f>IF('(6).Promotion Exam'!D33="","",'(6).Promotion Exam'!D33)</f>
        <v/>
      </c>
      <c r="R33" s="52" t="str">
        <f>IF('(6).Promotion Exam'!E33="","",'(6).Promotion Exam'!E33)</f>
        <v/>
      </c>
      <c r="S33" s="52" t="str">
        <f>IF('(6).Promotion Exam'!F33="","",'(6).Promotion Exam'!F33)</f>
        <v/>
      </c>
      <c r="T33" s="52" t="str">
        <f>IF('(6).Promotion Exam'!G33="","",'(6).Promotion Exam'!G33)</f>
        <v/>
      </c>
      <c r="U33" s="52" t="str">
        <f>IF('(6).Promotion Exam'!H33="","",'(6).Promotion Exam'!H33)</f>
        <v/>
      </c>
      <c r="V33" s="52" t="str">
        <f>IF('(6).Promotion Exam'!I33="","",'(6).Promotion Exam'!I33)</f>
        <v/>
      </c>
      <c r="W33" s="52" t="str">
        <f>IF('(6).Promotion Exam'!J33="","",'(6).Promotion Exam'!J33)</f>
        <v/>
      </c>
      <c r="X33" s="52" t="str">
        <f>IF('(6).Promotion Exam'!K33="","",'(6).Promotion Exam'!K33)</f>
        <v/>
      </c>
      <c r="Y33" s="52" t="str">
        <f>IF('(6).Promotion Exam'!L33="","",'(6).Promotion Exam'!L33)</f>
        <v/>
      </c>
      <c r="Z33" s="52" t="str">
        <f>IF('(6).Promotion Exam'!M33="","",'(6).Promotion Exam'!M33)</f>
        <v/>
      </c>
      <c r="AA33" s="53" t="str">
        <f>IF(B33="","",IF(P33="Incomplete","Incomplete",IF('(6).Promotion Exam'!N33="Change","Change",IF('(6).Promotion Exam'!N33="Stop","Stop",IF('(6).Promotion Exam'!N33="Incomplete","Incomplete",IF(COUNTBLANK(Q33:Z33)&gt;=1,"Incomplete",P33*20%+SUM(Q33:Z33)*80%))))))</f>
        <v/>
      </c>
      <c r="AB33" s="54" t="str">
        <f t="shared" si="0"/>
        <v/>
      </c>
      <c r="AC33" s="55" t="str">
        <f t="shared" si="1"/>
        <v/>
      </c>
      <c r="AD33" s="55" t="str">
        <f t="shared" si="2"/>
        <v/>
      </c>
      <c r="AE33" s="56" t="str">
        <f t="shared" si="3"/>
        <v/>
      </c>
      <c r="AF33" s="57" t="str">
        <f t="shared" si="4"/>
        <v/>
      </c>
      <c r="AG33" s="97" t="str">
        <f t="shared" si="5"/>
        <v/>
      </c>
      <c r="AH33" s="58" t="str">
        <f t="shared" si="6"/>
        <v/>
      </c>
      <c r="AI33" s="58" t="str">
        <f t="shared" si="7"/>
        <v/>
      </c>
      <c r="AJ33" s="59"/>
    </row>
    <row r="34" spans="1:36" ht="15.95" customHeight="1">
      <c r="A34" s="66">
        <v>28</v>
      </c>
      <c r="B34" s="63" t="str">
        <f>IF('(6).Promotion Exam'!B34="","",'(6).Promotion Exam'!B34)</f>
        <v/>
      </c>
      <c r="C34" s="67" t="str">
        <f>IF('(6).Promotion Exam'!C34="","",'(6).Promotion Exam'!C34)</f>
        <v/>
      </c>
      <c r="D34" s="51" t="str">
        <f>IF('(4).Midterm Results'!D34="","",'(4).Midterm Results'!D34)</f>
        <v/>
      </c>
      <c r="E34" s="52" t="str">
        <f>IF('(4).Midterm Results'!E34="","",'(4).Midterm Results'!E34)</f>
        <v/>
      </c>
      <c r="F34" s="52" t="str">
        <f>IF('(4).Midterm Results'!F34="","",'(4).Midterm Results'!F34)</f>
        <v/>
      </c>
      <c r="G34" s="52" t="str">
        <f>IF('(4).Midterm Results'!G34="","",'(4).Midterm Results'!G34)</f>
        <v/>
      </c>
      <c r="H34" s="52" t="str">
        <f>IF('(4).Midterm Results'!H34="","",'(4).Midterm Results'!H34)</f>
        <v/>
      </c>
      <c r="I34" s="52" t="str">
        <f>IF('(4).Midterm Results'!I34="","",'(4).Midterm Results'!I34)</f>
        <v/>
      </c>
      <c r="J34" s="52" t="str">
        <f>IF('(4).Midterm Results'!J34="","",'(4).Midterm Results'!J34)</f>
        <v/>
      </c>
      <c r="K34" s="52" t="str">
        <f>IF('(4).Midterm Results'!K34="","",'(4).Midterm Results'!K34)</f>
        <v/>
      </c>
      <c r="L34" s="52" t="str">
        <f>IF('(4).Midterm Results'!L34="","",'(4).Midterm Results'!L34)</f>
        <v/>
      </c>
      <c r="M34" s="52" t="str">
        <f>IF('(4).Midterm Results'!M34="","",'(4).Midterm Results'!M34)</f>
        <v/>
      </c>
      <c r="N34" s="52" t="str">
        <f>IF('(4).Midterm Results'!N34="","",'(4).Midterm Results'!N34)</f>
        <v/>
      </c>
      <c r="O34" s="53" t="str">
        <f>IF('(4).Midterm Results'!O34="","",'(4).Midterm Results'!O34)</f>
        <v/>
      </c>
      <c r="P34" s="51" t="str">
        <f>IF('(5).Promotion Daily'!AH34="","",'(5).Promotion Daily'!AH34)</f>
        <v/>
      </c>
      <c r="Q34" s="52" t="str">
        <f>IF('(6).Promotion Exam'!D34="","",'(6).Promotion Exam'!D34)</f>
        <v/>
      </c>
      <c r="R34" s="52" t="str">
        <f>IF('(6).Promotion Exam'!E34="","",'(6).Promotion Exam'!E34)</f>
        <v/>
      </c>
      <c r="S34" s="52" t="str">
        <f>IF('(6).Promotion Exam'!F34="","",'(6).Promotion Exam'!F34)</f>
        <v/>
      </c>
      <c r="T34" s="52" t="str">
        <f>IF('(6).Promotion Exam'!G34="","",'(6).Promotion Exam'!G34)</f>
        <v/>
      </c>
      <c r="U34" s="52" t="str">
        <f>IF('(6).Promotion Exam'!H34="","",'(6).Promotion Exam'!H34)</f>
        <v/>
      </c>
      <c r="V34" s="52" t="str">
        <f>IF('(6).Promotion Exam'!I34="","",'(6).Promotion Exam'!I34)</f>
        <v/>
      </c>
      <c r="W34" s="52" t="str">
        <f>IF('(6).Promotion Exam'!J34="","",'(6).Promotion Exam'!J34)</f>
        <v/>
      </c>
      <c r="X34" s="52" t="str">
        <f>IF('(6).Promotion Exam'!K34="","",'(6).Promotion Exam'!K34)</f>
        <v/>
      </c>
      <c r="Y34" s="52" t="str">
        <f>IF('(6).Promotion Exam'!L34="","",'(6).Promotion Exam'!L34)</f>
        <v/>
      </c>
      <c r="Z34" s="52" t="str">
        <f>IF('(6).Promotion Exam'!M34="","",'(6).Promotion Exam'!M34)</f>
        <v/>
      </c>
      <c r="AA34" s="53" t="str">
        <f>IF(B34="","",IF(P34="Incomplete","Incomplete",IF('(6).Promotion Exam'!N34="Change","Change",IF('(6).Promotion Exam'!N34="Stop","Stop",IF('(6).Promotion Exam'!N34="Incomplete","Incomplete",IF(COUNTBLANK(Q34:Z34)&gt;=1,"Incomplete",P34*20%+SUM(Q34:Z34)*80%))))))</f>
        <v/>
      </c>
      <c r="AB34" s="54" t="str">
        <f t="shared" si="0"/>
        <v/>
      </c>
      <c r="AC34" s="55" t="str">
        <f t="shared" si="1"/>
        <v/>
      </c>
      <c r="AD34" s="55" t="str">
        <f t="shared" si="2"/>
        <v/>
      </c>
      <c r="AE34" s="56" t="str">
        <f t="shared" si="3"/>
        <v/>
      </c>
      <c r="AF34" s="57" t="str">
        <f t="shared" si="4"/>
        <v/>
      </c>
      <c r="AG34" s="97" t="str">
        <f t="shared" si="5"/>
        <v/>
      </c>
      <c r="AH34" s="58" t="str">
        <f t="shared" si="6"/>
        <v/>
      </c>
      <c r="AI34" s="58" t="str">
        <f t="shared" si="7"/>
        <v/>
      </c>
      <c r="AJ34" s="59"/>
    </row>
    <row r="35" spans="1:36" ht="15.95" customHeight="1">
      <c r="A35" s="66">
        <v>29</v>
      </c>
      <c r="B35" s="63" t="str">
        <f>IF('(6).Promotion Exam'!B35="","",'(6).Promotion Exam'!B35)</f>
        <v/>
      </c>
      <c r="C35" s="67" t="str">
        <f>IF('(6).Promotion Exam'!C35="","",'(6).Promotion Exam'!C35)</f>
        <v/>
      </c>
      <c r="D35" s="51" t="str">
        <f>IF('(4).Midterm Results'!D35="","",'(4).Midterm Results'!D35)</f>
        <v/>
      </c>
      <c r="E35" s="52" t="str">
        <f>IF('(4).Midterm Results'!E35="","",'(4).Midterm Results'!E35)</f>
        <v/>
      </c>
      <c r="F35" s="52" t="str">
        <f>IF('(4).Midterm Results'!F35="","",'(4).Midterm Results'!F35)</f>
        <v/>
      </c>
      <c r="G35" s="52" t="str">
        <f>IF('(4).Midterm Results'!G35="","",'(4).Midterm Results'!G35)</f>
        <v/>
      </c>
      <c r="H35" s="52" t="str">
        <f>IF('(4).Midterm Results'!H35="","",'(4).Midterm Results'!H35)</f>
        <v/>
      </c>
      <c r="I35" s="52" t="str">
        <f>IF('(4).Midterm Results'!I35="","",'(4).Midterm Results'!I35)</f>
        <v/>
      </c>
      <c r="J35" s="52" t="str">
        <f>IF('(4).Midterm Results'!J35="","",'(4).Midterm Results'!J35)</f>
        <v/>
      </c>
      <c r="K35" s="52" t="str">
        <f>IF('(4).Midterm Results'!K35="","",'(4).Midterm Results'!K35)</f>
        <v/>
      </c>
      <c r="L35" s="52" t="str">
        <f>IF('(4).Midterm Results'!L35="","",'(4).Midterm Results'!L35)</f>
        <v/>
      </c>
      <c r="M35" s="52" t="str">
        <f>IF('(4).Midterm Results'!M35="","",'(4).Midterm Results'!M35)</f>
        <v/>
      </c>
      <c r="N35" s="52" t="str">
        <f>IF('(4).Midterm Results'!N35="","",'(4).Midterm Results'!N35)</f>
        <v/>
      </c>
      <c r="O35" s="53" t="str">
        <f>IF('(4).Midterm Results'!O35="","",'(4).Midterm Results'!O35)</f>
        <v/>
      </c>
      <c r="P35" s="51" t="str">
        <f>IF('(5).Promotion Daily'!AH35="","",'(5).Promotion Daily'!AH35)</f>
        <v/>
      </c>
      <c r="Q35" s="52" t="str">
        <f>IF('(6).Promotion Exam'!D35="","",'(6).Promotion Exam'!D35)</f>
        <v/>
      </c>
      <c r="R35" s="52" t="str">
        <f>IF('(6).Promotion Exam'!E35="","",'(6).Promotion Exam'!E35)</f>
        <v/>
      </c>
      <c r="S35" s="52" t="str">
        <f>IF('(6).Promotion Exam'!F35="","",'(6).Promotion Exam'!F35)</f>
        <v/>
      </c>
      <c r="T35" s="52" t="str">
        <f>IF('(6).Promotion Exam'!G35="","",'(6).Promotion Exam'!G35)</f>
        <v/>
      </c>
      <c r="U35" s="52" t="str">
        <f>IF('(6).Promotion Exam'!H35="","",'(6).Promotion Exam'!H35)</f>
        <v/>
      </c>
      <c r="V35" s="52" t="str">
        <f>IF('(6).Promotion Exam'!I35="","",'(6).Promotion Exam'!I35)</f>
        <v/>
      </c>
      <c r="W35" s="52" t="str">
        <f>IF('(6).Promotion Exam'!J35="","",'(6).Promotion Exam'!J35)</f>
        <v/>
      </c>
      <c r="X35" s="52" t="str">
        <f>IF('(6).Promotion Exam'!K35="","",'(6).Promotion Exam'!K35)</f>
        <v/>
      </c>
      <c r="Y35" s="52" t="str">
        <f>IF('(6).Promotion Exam'!L35="","",'(6).Promotion Exam'!L35)</f>
        <v/>
      </c>
      <c r="Z35" s="52" t="str">
        <f>IF('(6).Promotion Exam'!M35="","",'(6).Promotion Exam'!M35)</f>
        <v/>
      </c>
      <c r="AA35" s="53" t="str">
        <f>IF(B35="","",IF(P35="Incomplete","Incomplete",IF('(6).Promotion Exam'!N35="Change","Change",IF('(6).Promotion Exam'!N35="Stop","Stop",IF('(6).Promotion Exam'!N35="Incomplete","Incomplete",IF(COUNTBLANK(Q35:Z35)&gt;=1,"Incomplete",P35*20%+SUM(Q35:Z35)*80%))))))</f>
        <v/>
      </c>
      <c r="AB35" s="54" t="str">
        <f t="shared" si="0"/>
        <v/>
      </c>
      <c r="AC35" s="55" t="str">
        <f t="shared" si="1"/>
        <v/>
      </c>
      <c r="AD35" s="55" t="str">
        <f t="shared" si="2"/>
        <v/>
      </c>
      <c r="AE35" s="56" t="str">
        <f t="shared" si="3"/>
        <v/>
      </c>
      <c r="AF35" s="57" t="str">
        <f t="shared" si="4"/>
        <v/>
      </c>
      <c r="AG35" s="97" t="str">
        <f t="shared" si="5"/>
        <v/>
      </c>
      <c r="AH35" s="58" t="str">
        <f t="shared" si="6"/>
        <v/>
      </c>
      <c r="AI35" s="58" t="str">
        <f t="shared" si="7"/>
        <v/>
      </c>
      <c r="AJ35" s="59"/>
    </row>
    <row r="36" spans="1:36" ht="15.95" customHeight="1">
      <c r="A36" s="66">
        <v>30</v>
      </c>
      <c r="B36" s="63" t="str">
        <f>IF('(6).Promotion Exam'!B36="","",'(6).Promotion Exam'!B36)</f>
        <v/>
      </c>
      <c r="C36" s="67" t="str">
        <f>IF('(6).Promotion Exam'!C36="","",'(6).Promotion Exam'!C36)</f>
        <v/>
      </c>
      <c r="D36" s="51" t="str">
        <f>IF('(4).Midterm Results'!D36="","",'(4).Midterm Results'!D36)</f>
        <v/>
      </c>
      <c r="E36" s="52" t="str">
        <f>IF('(4).Midterm Results'!E36="","",'(4).Midterm Results'!E36)</f>
        <v/>
      </c>
      <c r="F36" s="52" t="str">
        <f>IF('(4).Midterm Results'!F36="","",'(4).Midterm Results'!F36)</f>
        <v/>
      </c>
      <c r="G36" s="52" t="str">
        <f>IF('(4).Midterm Results'!G36="","",'(4).Midterm Results'!G36)</f>
        <v/>
      </c>
      <c r="H36" s="52" t="str">
        <f>IF('(4).Midterm Results'!H36="","",'(4).Midterm Results'!H36)</f>
        <v/>
      </c>
      <c r="I36" s="52" t="str">
        <f>IF('(4).Midterm Results'!I36="","",'(4).Midterm Results'!I36)</f>
        <v/>
      </c>
      <c r="J36" s="52" t="str">
        <f>IF('(4).Midterm Results'!J36="","",'(4).Midterm Results'!J36)</f>
        <v/>
      </c>
      <c r="K36" s="52" t="str">
        <f>IF('(4).Midterm Results'!K36="","",'(4).Midterm Results'!K36)</f>
        <v/>
      </c>
      <c r="L36" s="52" t="str">
        <f>IF('(4).Midterm Results'!L36="","",'(4).Midterm Results'!L36)</f>
        <v/>
      </c>
      <c r="M36" s="52" t="str">
        <f>IF('(4).Midterm Results'!M36="","",'(4).Midterm Results'!M36)</f>
        <v/>
      </c>
      <c r="N36" s="52" t="str">
        <f>IF('(4).Midterm Results'!N36="","",'(4).Midterm Results'!N36)</f>
        <v/>
      </c>
      <c r="O36" s="53" t="str">
        <f>IF('(4).Midterm Results'!O36="","",'(4).Midterm Results'!O36)</f>
        <v/>
      </c>
      <c r="P36" s="51" t="str">
        <f>IF('(5).Promotion Daily'!AH36="","",'(5).Promotion Daily'!AH36)</f>
        <v/>
      </c>
      <c r="Q36" s="52" t="str">
        <f>IF('(6).Promotion Exam'!D36="","",'(6).Promotion Exam'!D36)</f>
        <v/>
      </c>
      <c r="R36" s="52" t="str">
        <f>IF('(6).Promotion Exam'!E36="","",'(6).Promotion Exam'!E36)</f>
        <v/>
      </c>
      <c r="S36" s="52" t="str">
        <f>IF('(6).Promotion Exam'!F36="","",'(6).Promotion Exam'!F36)</f>
        <v/>
      </c>
      <c r="T36" s="52" t="str">
        <f>IF('(6).Promotion Exam'!G36="","",'(6).Promotion Exam'!G36)</f>
        <v/>
      </c>
      <c r="U36" s="52" t="str">
        <f>IF('(6).Promotion Exam'!H36="","",'(6).Promotion Exam'!H36)</f>
        <v/>
      </c>
      <c r="V36" s="52" t="str">
        <f>IF('(6).Promotion Exam'!I36="","",'(6).Promotion Exam'!I36)</f>
        <v/>
      </c>
      <c r="W36" s="52" t="str">
        <f>IF('(6).Promotion Exam'!J36="","",'(6).Promotion Exam'!J36)</f>
        <v/>
      </c>
      <c r="X36" s="52" t="str">
        <f>IF('(6).Promotion Exam'!K36="","",'(6).Promotion Exam'!K36)</f>
        <v/>
      </c>
      <c r="Y36" s="52" t="str">
        <f>IF('(6).Promotion Exam'!L36="","",'(6).Promotion Exam'!L36)</f>
        <v/>
      </c>
      <c r="Z36" s="52" t="str">
        <f>IF('(6).Promotion Exam'!M36="","",'(6).Promotion Exam'!M36)</f>
        <v/>
      </c>
      <c r="AA36" s="53" t="str">
        <f>IF(B36="","",IF(P36="Incomplete","Incomplete",IF('(6).Promotion Exam'!N36="Change","Change",IF('(6).Promotion Exam'!N36="Stop","Stop",IF('(6).Promotion Exam'!N36="Incomplete","Incomplete",IF(COUNTBLANK(Q36:Z36)&gt;=1,"Incomplete",P36*20%+SUM(Q36:Z36)*80%))))))</f>
        <v/>
      </c>
      <c r="AB36" s="54" t="str">
        <f t="shared" si="0"/>
        <v/>
      </c>
      <c r="AC36" s="55" t="str">
        <f t="shared" si="1"/>
        <v/>
      </c>
      <c r="AD36" s="55" t="str">
        <f t="shared" si="2"/>
        <v/>
      </c>
      <c r="AE36" s="56" t="str">
        <f t="shared" si="3"/>
        <v/>
      </c>
      <c r="AF36" s="57" t="str">
        <f t="shared" si="4"/>
        <v/>
      </c>
      <c r="AG36" s="97" t="str">
        <f t="shared" si="5"/>
        <v/>
      </c>
      <c r="AH36" s="58" t="str">
        <f t="shared" si="6"/>
        <v/>
      </c>
      <c r="AI36" s="58" t="str">
        <f t="shared" si="7"/>
        <v/>
      </c>
      <c r="AJ36" s="59"/>
    </row>
    <row r="37" spans="1:36" ht="15.95" customHeight="1">
      <c r="A37" s="18" t="s">
        <v>0</v>
      </c>
      <c r="B37" s="19">
        <f>'(6).Promotion Exam'!B37</f>
        <v>0</v>
      </c>
      <c r="C37" s="60"/>
      <c r="D37" s="222" t="s">
        <v>94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F37" s="5">
        <f>B37</f>
        <v>0</v>
      </c>
      <c r="AG37" s="5" t="str">
        <f>IF(AH37="12:30-3:00","WK",IF(AH37="3:00-5:30","WK","MF"))</f>
        <v>MF</v>
      </c>
      <c r="AH37" s="5">
        <f>B39</f>
        <v>0</v>
      </c>
      <c r="AI37" s="5">
        <f>B41</f>
        <v>0</v>
      </c>
    </row>
    <row r="38" spans="1:36" ht="15.95" customHeight="1">
      <c r="A38" s="18" t="s">
        <v>1</v>
      </c>
      <c r="B38" s="19">
        <f>'(6).Promotion Exam'!B38</f>
        <v>0</v>
      </c>
      <c r="C38" s="60"/>
      <c r="D38" s="222" t="str">
        <f>'(3).Midterm Exam'!D39</f>
        <v>FEBRUARY - JULY 2026</v>
      </c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72"/>
      <c r="AB38" s="5"/>
    </row>
    <row r="39" spans="1:36" ht="15.95" customHeight="1">
      <c r="A39" s="18" t="s">
        <v>2</v>
      </c>
      <c r="B39" s="19">
        <f>'(6).Promotion Exam'!B39</f>
        <v>0</v>
      </c>
      <c r="C39" s="60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3"/>
      <c r="AB39" s="5"/>
    </row>
    <row r="40" spans="1:36" ht="15.95" customHeight="1">
      <c r="A40" s="18" t="s">
        <v>3</v>
      </c>
      <c r="B40" s="19">
        <f>'(6).Promotion Exam'!B40</f>
        <v>0</v>
      </c>
      <c r="C40" s="60"/>
      <c r="D40" s="92" t="s">
        <v>19</v>
      </c>
      <c r="E40" s="268" t="s">
        <v>93</v>
      </c>
      <c r="F40" s="269"/>
      <c r="G40" s="269"/>
      <c r="H40" s="269"/>
      <c r="I40" s="269"/>
      <c r="J40" s="269"/>
      <c r="K40" s="269"/>
      <c r="L40" s="269"/>
      <c r="M40" s="269"/>
      <c r="N40" s="270"/>
      <c r="O40" s="93" t="s">
        <v>95</v>
      </c>
      <c r="P40" s="92" t="s">
        <v>31</v>
      </c>
      <c r="Q40" s="268" t="s">
        <v>96</v>
      </c>
      <c r="R40" s="269"/>
      <c r="S40" s="269"/>
      <c r="T40" s="269"/>
      <c r="U40" s="269"/>
      <c r="V40" s="269"/>
      <c r="W40" s="269"/>
      <c r="X40" s="269"/>
      <c r="Y40" s="269"/>
      <c r="Z40" s="270"/>
      <c r="AA40" s="93" t="s">
        <v>95</v>
      </c>
      <c r="AB40" s="252" t="s">
        <v>27</v>
      </c>
      <c r="AC40" s="253"/>
      <c r="AD40" s="253"/>
      <c r="AE40" s="254"/>
      <c r="AF40" s="255" t="s">
        <v>20</v>
      </c>
      <c r="AG40" s="256"/>
      <c r="AH40" s="256"/>
      <c r="AI40" s="256"/>
      <c r="AJ40" s="257"/>
    </row>
    <row r="41" spans="1:36" ht="15.95" customHeight="1">
      <c r="A41" s="18" t="s">
        <v>4</v>
      </c>
      <c r="B41" s="19">
        <f>'(6).Promotion Exam'!B41</f>
        <v>0</v>
      </c>
      <c r="C41" s="60"/>
      <c r="D41" s="95" t="s">
        <v>18</v>
      </c>
      <c r="E41" s="91" t="str">
        <f>IF(OR($B38="K5",$B38="K6",$B38="K7",$B38="K8",$B38="K9",$B38="K10"),"Lis","ULC")</f>
        <v>ULC</v>
      </c>
      <c r="F41" s="91" t="str">
        <f>IF(OR($B38="K5",$B38="K6",$B38="K7",$B38="K8",$B38="K9",$B38="K10"),"Spk","Alp.N")</f>
        <v>Alp.N</v>
      </c>
      <c r="G41" s="91" t="str">
        <f>IF(OR($B38="K5",$B38="K6",$B38="K7",$B38="K8",$B38="K9",$B38="K10"),"Rea","Alp.S")</f>
        <v>Alp.S</v>
      </c>
      <c r="H41" s="91" t="str">
        <f>IF(OR($B38="K5",$B38="K6",$B38="K7",$B38="K8",$B38="K9",$B38="K10"),"Wri","Voc")</f>
        <v>Voc</v>
      </c>
      <c r="I41" s="91" t="str">
        <f>IF(OR($B38="K5",$B38="K6",$B38="K7",$B38="K8",$B38="K9",$B38="K10"),"Gra","Spr")</f>
        <v>Spr</v>
      </c>
      <c r="J41" s="91" t="str">
        <f>IF(OR($B38="K5",$B38="K6",$B38="K7",$B38="K8",$B38="K9",$B38="K10"),"Voc","Pho")</f>
        <v>Pho</v>
      </c>
      <c r="K41" s="91" t="str">
        <f>IF(OR($B38="K5",$B38="K6",$B38="K7",$B38="K8",$B38="K9",$B38="K10"),"Roots","Math")</f>
        <v>Math</v>
      </c>
      <c r="L41" s="91" t="str">
        <f>IF(OR($B38="K5",$B38="K6",$B38="K7",$B38="K8",$B38="K9",$B38="K10"),"Pho","Shap")</f>
        <v>Shap</v>
      </c>
      <c r="M41" s="91" t="str">
        <f>IF(OR($B38="K5",$B38="K6",$B38="K7",$B38="K8",$B38="K9",$B38="K10"),"Math","Sci")</f>
        <v>Sci</v>
      </c>
      <c r="N41" s="91" t="str">
        <f>IF(OR($B38="K5",$B38="K6",$B38="K7",$B38="K8",$B38="K9",$B38="K10"),"Sci","Trac")</f>
        <v>Trac</v>
      </c>
      <c r="O41" s="94" t="s">
        <v>24</v>
      </c>
      <c r="P41" s="95" t="s">
        <v>18</v>
      </c>
      <c r="Q41" s="91" t="str">
        <f>IF(OR($B38="K5",$B38="K6",$B38="K7",$B38="K8",$B38="K9",$B38="K10"),"Lis","ULC")</f>
        <v>ULC</v>
      </c>
      <c r="R41" s="91" t="str">
        <f>IF(OR($B38="K5",$B38="K6",$B38="K7",$B38="K8",$B38="K9",$B38="K10"),"Spk","Alp.N")</f>
        <v>Alp.N</v>
      </c>
      <c r="S41" s="91" t="str">
        <f>IF(OR($B38="K5",$B38="K6",$B38="K7",$B38="K8",$B38="K9",$B38="K10"),"Rea","Alp.S")</f>
        <v>Alp.S</v>
      </c>
      <c r="T41" s="91" t="str">
        <f>IF(OR($B38="K5",$B38="K6",$B38="K7",$B38="K8",$B38="K9",$B38="K10"),"Wri","Voc")</f>
        <v>Voc</v>
      </c>
      <c r="U41" s="91" t="str">
        <f>IF(OR($B38="K5",$B38="K6",$B38="K7",$B38="K8",$B38="K9",$B38="K10"),"Gra","Spr")</f>
        <v>Spr</v>
      </c>
      <c r="V41" s="91" t="str">
        <f>IF(OR($B38="K5",$B38="K6",$B38="K7",$B38="K8",$B38="K9",$B38="K10"),"Voc","Pho")</f>
        <v>Pho</v>
      </c>
      <c r="W41" s="91" t="str">
        <f>IF(OR($B38="K5",$B38="K6",$B38="K7",$B38="K8",$B38="K9",$B38="K10"),"Roots","Math")</f>
        <v>Math</v>
      </c>
      <c r="X41" s="91" t="str">
        <f>IF(OR($B38="K5",$B38="K6",$B38="K7",$B38="K8",$B38="K9",$B38="K10"),"Pho","Shap")</f>
        <v>Shap</v>
      </c>
      <c r="Y41" s="91" t="str">
        <f>IF(OR($B38="K5",$B38="K6",$B38="K7",$B38="K8",$B38="K9",$B38="K10"),"Math","Sci")</f>
        <v>Sci</v>
      </c>
      <c r="Z41" s="91" t="str">
        <f>IF(OR($B38="K5",$B38="K6",$B38="K7",$B38="K8",$B38="K9",$B38="K10"),"Sci","Trac")</f>
        <v>Trac</v>
      </c>
      <c r="AA41" s="94" t="s">
        <v>24</v>
      </c>
      <c r="AB41" s="44" t="s">
        <v>23</v>
      </c>
      <c r="AC41" s="260" t="s">
        <v>25</v>
      </c>
      <c r="AD41" s="260" t="s">
        <v>26</v>
      </c>
      <c r="AE41" s="262" t="s">
        <v>22</v>
      </c>
      <c r="AF41" s="264" t="s">
        <v>21</v>
      </c>
      <c r="AG41" s="266" t="s">
        <v>119</v>
      </c>
      <c r="AH41" s="258" t="s">
        <v>32</v>
      </c>
      <c r="AI41" s="258" t="s">
        <v>33</v>
      </c>
      <c r="AJ41" s="22" t="s">
        <v>28</v>
      </c>
    </row>
    <row r="42" spans="1:36" ht="15.95" customHeight="1">
      <c r="A42" s="65" t="s">
        <v>5</v>
      </c>
      <c r="B42" s="64" t="s">
        <v>6</v>
      </c>
      <c r="C42" s="85" t="s">
        <v>7</v>
      </c>
      <c r="D42" s="99">
        <v>100</v>
      </c>
      <c r="E42" s="99">
        <v>10</v>
      </c>
      <c r="F42" s="99">
        <v>10</v>
      </c>
      <c r="G42" s="99">
        <v>10</v>
      </c>
      <c r="H42" s="99">
        <v>10</v>
      </c>
      <c r="I42" s="99">
        <v>10</v>
      </c>
      <c r="J42" s="99">
        <v>10</v>
      </c>
      <c r="K42" s="99">
        <v>10</v>
      </c>
      <c r="L42" s="99">
        <v>10</v>
      </c>
      <c r="M42" s="99">
        <v>10</v>
      </c>
      <c r="N42" s="99">
        <v>10</v>
      </c>
      <c r="O42" s="99">
        <v>100</v>
      </c>
      <c r="P42" s="99">
        <v>100</v>
      </c>
      <c r="Q42" s="99">
        <v>10</v>
      </c>
      <c r="R42" s="99">
        <v>10</v>
      </c>
      <c r="S42" s="99">
        <v>10</v>
      </c>
      <c r="T42" s="99">
        <v>10</v>
      </c>
      <c r="U42" s="99">
        <v>10</v>
      </c>
      <c r="V42" s="99">
        <v>10</v>
      </c>
      <c r="W42" s="99">
        <v>10</v>
      </c>
      <c r="X42" s="99">
        <v>10</v>
      </c>
      <c r="Y42" s="99">
        <v>10</v>
      </c>
      <c r="Z42" s="99">
        <v>10</v>
      </c>
      <c r="AA42" s="99">
        <v>100</v>
      </c>
      <c r="AB42" s="45" t="s">
        <v>24</v>
      </c>
      <c r="AC42" s="261"/>
      <c r="AD42" s="261"/>
      <c r="AE42" s="263"/>
      <c r="AF42" s="265"/>
      <c r="AG42" s="267"/>
      <c r="AH42" s="259"/>
      <c r="AI42" s="259"/>
      <c r="AJ42" s="23" t="s">
        <v>29</v>
      </c>
    </row>
    <row r="43" spans="1:36" ht="15.95" customHeight="1">
      <c r="A43" s="66">
        <v>1</v>
      </c>
      <c r="B43" s="68" t="str">
        <f>IF('(6).Promotion Exam'!B43="","",'(6).Promotion Exam'!B43)</f>
        <v/>
      </c>
      <c r="C43" s="79" t="str">
        <f>IF('(6).Promotion Exam'!C43="","",'(6).Promotion Exam'!C43)</f>
        <v/>
      </c>
      <c r="D43" s="86" t="str">
        <f>IF('(4).Midterm Results'!D43="","",'(4).Midterm Results'!D43)</f>
        <v/>
      </c>
      <c r="E43" s="87" t="str">
        <f>IF('(4).Midterm Results'!E43="","",'(4).Midterm Results'!E43)</f>
        <v/>
      </c>
      <c r="F43" s="87" t="str">
        <f>IF('(4).Midterm Results'!F43="","",'(4).Midterm Results'!F43)</f>
        <v/>
      </c>
      <c r="G43" s="87" t="str">
        <f>IF('(4).Midterm Results'!G43="","",'(4).Midterm Results'!G43)</f>
        <v/>
      </c>
      <c r="H43" s="87" t="str">
        <f>IF('(4).Midterm Results'!H43="","",'(4).Midterm Results'!H43)</f>
        <v/>
      </c>
      <c r="I43" s="87" t="str">
        <f>IF('(4).Midterm Results'!I43="","",'(4).Midterm Results'!I43)</f>
        <v/>
      </c>
      <c r="J43" s="87" t="str">
        <f>IF('(4).Midterm Results'!J43="","",'(4).Midterm Results'!J43)</f>
        <v/>
      </c>
      <c r="K43" s="87" t="str">
        <f>IF('(4).Midterm Results'!K43="","",'(4).Midterm Results'!K43)</f>
        <v/>
      </c>
      <c r="L43" s="87" t="str">
        <f>IF('(4).Midterm Results'!L43="","",'(4).Midterm Results'!L43)</f>
        <v/>
      </c>
      <c r="M43" s="87" t="str">
        <f>IF('(4).Midterm Results'!M43="","",'(4).Midterm Results'!M43)</f>
        <v/>
      </c>
      <c r="N43" s="87" t="str">
        <f>IF('(4).Midterm Results'!N43="","",'(4).Midterm Results'!N43)</f>
        <v/>
      </c>
      <c r="O43" s="88" t="str">
        <f>IF('(4).Midterm Results'!O43="","",'(4).Midterm Results'!O43)</f>
        <v/>
      </c>
      <c r="P43" s="86" t="str">
        <f>IF('(5).Promotion Daily'!AH43="","",'(5).Promotion Daily'!AH43)</f>
        <v/>
      </c>
      <c r="Q43" s="87" t="str">
        <f>IF('(6).Promotion Exam'!D43="","",'(6).Promotion Exam'!D43)</f>
        <v/>
      </c>
      <c r="R43" s="87" t="str">
        <f>IF('(6).Promotion Exam'!E43="","",'(6).Promotion Exam'!E43)</f>
        <v/>
      </c>
      <c r="S43" s="87" t="str">
        <f>IF('(6).Promotion Exam'!F43="","",'(6).Promotion Exam'!F43)</f>
        <v/>
      </c>
      <c r="T43" s="87" t="str">
        <f>IF('(6).Promotion Exam'!G43="","",'(6).Promotion Exam'!G43)</f>
        <v/>
      </c>
      <c r="U43" s="87" t="str">
        <f>IF('(6).Promotion Exam'!H43="","",'(6).Promotion Exam'!H43)</f>
        <v/>
      </c>
      <c r="V43" s="87" t="str">
        <f>IF('(6).Promotion Exam'!I43="","",'(6).Promotion Exam'!I43)</f>
        <v/>
      </c>
      <c r="W43" s="87" t="str">
        <f>IF('(6).Promotion Exam'!J43="","",'(6).Promotion Exam'!J43)</f>
        <v/>
      </c>
      <c r="X43" s="87" t="str">
        <f>IF('(6).Promotion Exam'!K43="","",'(6).Promotion Exam'!K43)</f>
        <v/>
      </c>
      <c r="Y43" s="87" t="str">
        <f>IF('(6).Promotion Exam'!L43="","",'(6).Promotion Exam'!L43)</f>
        <v/>
      </c>
      <c r="Z43" s="87" t="str">
        <f>IF('(6).Promotion Exam'!M43="","",'(6).Promotion Exam'!M43)</f>
        <v/>
      </c>
      <c r="AA43" s="88" t="str">
        <f>IF(B43="","",IF(P43="Incomplete","Incomplete",IF('(6).Promotion Exam'!N43="Change","Change",IF('(6).Promotion Exam'!N43="Stop","Stop",IF('(6).Promotion Exam'!N43="Incomplete","Incomplete",IF(COUNTBLANK(Q43:Z43)&gt;=1,"Incomplete",P43*20%+SUM(Q43:Z43)*80%))))))</f>
        <v/>
      </c>
      <c r="AB43" s="98" t="str">
        <f>IF(O43="","",IF(O43="Incomplete","",IF(O43="Change","",IF(O43="Stop","",IF(AA43="","",SUM(O43,AA43)/2)))))</f>
        <v/>
      </c>
      <c r="AC43" s="55" t="str">
        <f>IF(AB43="","",IF(AB43&lt;55,"Repeat",IF(AB43&lt;65,"C-",IF(AB43&lt;70,"C",IF(AB43&lt;75,"C+",IF(AB43&lt;80,"B-",IF(AB43&lt;85,"B",IF(AB43&lt;90,"B+",IF(AB43&gt;=90,"A")))))))))</f>
        <v/>
      </c>
      <c r="AD43" s="55" t="str">
        <f>IF(AC43="","",IF(AC43="Repeat","Repeat",IF(AC43="C-","Below Average",IF(AC43="C","Average",IF(AC43="C+","Above Average",IF(AC43="B-","Fairly Good",IF(AC43="B","Good",IF(AC43="B+","Very Good",IF(AC43="A","Excellent")))))))))</f>
        <v/>
      </c>
      <c r="AE43" s="56" t="str">
        <f>IF(AD43="","",IF(AD43="Repeat","ត្រួតថ្នាក់",IF(AD43="Below Average","ក្រោមមធ្យមភាគ",IF(AD43="Average","មធ្យមភាគ",IF(AD43="Above Average","លើមធ្យមភាគ",IF(AD43="Fairly Good","ល្អបង្គួរ",IF(AD43="Good","ល្អ",IF(AD43="Very Good","ល្អណាស់",IF(AD43="Excellent","ល្អប្រសើរ")))))))))</f>
        <v/>
      </c>
      <c r="AF43" s="57" t="str">
        <f>IF(B43="","",$AF$37)</f>
        <v/>
      </c>
      <c r="AG43" s="97" t="str">
        <f>IF(B43="","",$AG$37)</f>
        <v/>
      </c>
      <c r="AH43" s="58" t="str">
        <f>IF(B43="","",$AH$37)</f>
        <v/>
      </c>
      <c r="AI43" s="58" t="str">
        <f>IF(B43="","",$AI$37)</f>
        <v/>
      </c>
      <c r="AJ43" s="59"/>
    </row>
    <row r="44" spans="1:36" ht="15.95" customHeight="1">
      <c r="A44" s="66">
        <v>2</v>
      </c>
      <c r="B44" s="63" t="str">
        <f>IF('(6).Promotion Exam'!B44="","",'(6).Promotion Exam'!B44)</f>
        <v/>
      </c>
      <c r="C44" s="67" t="str">
        <f>IF('(6).Promotion Exam'!C44="","",'(6).Promotion Exam'!C44)</f>
        <v/>
      </c>
      <c r="D44" s="51" t="str">
        <f>IF('(4).Midterm Results'!D44="","",'(4).Midterm Results'!D44)</f>
        <v/>
      </c>
      <c r="E44" s="52" t="str">
        <f>IF('(4).Midterm Results'!E44="","",'(4).Midterm Results'!E44)</f>
        <v/>
      </c>
      <c r="F44" s="52" t="str">
        <f>IF('(4).Midterm Results'!F44="","",'(4).Midterm Results'!F44)</f>
        <v/>
      </c>
      <c r="G44" s="52" t="str">
        <f>IF('(4).Midterm Results'!G44="","",'(4).Midterm Results'!G44)</f>
        <v/>
      </c>
      <c r="H44" s="52" t="str">
        <f>IF('(4).Midterm Results'!H44="","",'(4).Midterm Results'!H44)</f>
        <v/>
      </c>
      <c r="I44" s="52" t="str">
        <f>IF('(4).Midterm Results'!I44="","",'(4).Midterm Results'!I44)</f>
        <v/>
      </c>
      <c r="J44" s="52" t="str">
        <f>IF('(4).Midterm Results'!J44="","",'(4).Midterm Results'!J44)</f>
        <v/>
      </c>
      <c r="K44" s="52" t="str">
        <f>IF('(4).Midterm Results'!K44="","",'(4).Midterm Results'!K44)</f>
        <v/>
      </c>
      <c r="L44" s="52" t="str">
        <f>IF('(4).Midterm Results'!L44="","",'(4).Midterm Results'!L44)</f>
        <v/>
      </c>
      <c r="M44" s="52" t="str">
        <f>IF('(4).Midterm Results'!M44="","",'(4).Midterm Results'!M44)</f>
        <v/>
      </c>
      <c r="N44" s="52" t="str">
        <f>IF('(4).Midterm Results'!N44="","",'(4).Midterm Results'!N44)</f>
        <v/>
      </c>
      <c r="O44" s="53" t="str">
        <f>IF('(4).Midterm Results'!O44="","",'(4).Midterm Results'!O44)</f>
        <v/>
      </c>
      <c r="P44" s="51" t="str">
        <f>IF('(5).Promotion Daily'!AH44="","",'(5).Promotion Daily'!AH44)</f>
        <v/>
      </c>
      <c r="Q44" s="52" t="str">
        <f>IF('(6).Promotion Exam'!D44="","",'(6).Promotion Exam'!D44)</f>
        <v/>
      </c>
      <c r="R44" s="52" t="str">
        <f>IF('(6).Promotion Exam'!E44="","",'(6).Promotion Exam'!E44)</f>
        <v/>
      </c>
      <c r="S44" s="52" t="str">
        <f>IF('(6).Promotion Exam'!F44="","",'(6).Promotion Exam'!F44)</f>
        <v/>
      </c>
      <c r="T44" s="52" t="str">
        <f>IF('(6).Promotion Exam'!G44="","",'(6).Promotion Exam'!G44)</f>
        <v/>
      </c>
      <c r="U44" s="52" t="str">
        <f>IF('(6).Promotion Exam'!H44="","",'(6).Promotion Exam'!H44)</f>
        <v/>
      </c>
      <c r="V44" s="52" t="str">
        <f>IF('(6).Promotion Exam'!I44="","",'(6).Promotion Exam'!I44)</f>
        <v/>
      </c>
      <c r="W44" s="52" t="str">
        <f>IF('(6).Promotion Exam'!J44="","",'(6).Promotion Exam'!J44)</f>
        <v/>
      </c>
      <c r="X44" s="52" t="str">
        <f>IF('(6).Promotion Exam'!K44="","",'(6).Promotion Exam'!K44)</f>
        <v/>
      </c>
      <c r="Y44" s="52" t="str">
        <f>IF('(6).Promotion Exam'!L44="","",'(6).Promotion Exam'!L44)</f>
        <v/>
      </c>
      <c r="Z44" s="52" t="str">
        <f>IF('(6).Promotion Exam'!M44="","",'(6).Promotion Exam'!M44)</f>
        <v/>
      </c>
      <c r="AA44" s="53" t="str">
        <f>IF(B44="","",IF(P44="Incomplete","Incomplete",IF('(6).Promotion Exam'!N44="Change","Change",IF('(6).Promotion Exam'!N44="Stop","Stop",IF('(6).Promotion Exam'!N44="Incomplete","Incomplete",IF(COUNTBLANK(Q44:Z44)&gt;=1,"Incomplete",P44*20%+SUM(Q44:Z44)*80%))))))</f>
        <v/>
      </c>
      <c r="AB44" s="54" t="str">
        <f t="shared" ref="AB44:AB72" si="8">IF(O44="","",IF(O44="Incomplete","",IF(O44="Change","",IF(O44="Stop","",IF(AA44="","",SUM(O44,AA44)/2)))))</f>
        <v/>
      </c>
      <c r="AC44" s="55" t="str">
        <f t="shared" ref="AC44:AC72" si="9">IF(AB44="","",IF(AB44&lt;55,"Repeat",IF(AB44&lt;65,"C-",IF(AB44&lt;70,"C",IF(AB44&lt;75,"C+",IF(AB44&lt;80,"B-",IF(AB44&lt;85,"B",IF(AB44&lt;90,"B+",IF(AB44&gt;=90,"A")))))))))</f>
        <v/>
      </c>
      <c r="AD44" s="55" t="str">
        <f t="shared" ref="AD44:AD72" si="10">IF(AC44="","",IF(AC44="Repeat","Repeat",IF(AC44="C-","Below Average",IF(AC44="C","Average",IF(AC44="C+","Above Average",IF(AC44="B-","Fairly Good",IF(AC44="B","Good",IF(AC44="B+","Very Good",IF(AC44="A","Excellent")))))))))</f>
        <v/>
      </c>
      <c r="AE44" s="56" t="str">
        <f t="shared" ref="AE44:AE72" si="11">IF(AD44="","",IF(AD44="Repeat","ត្រួតថ្នាក់",IF(AD44="Below Average","ក្រោមមធ្យមភាគ",IF(AD44="Average","មធ្យមភាគ",IF(AD44="Above Average","លើមធ្យមភាគ",IF(AD44="Fairly Good","ល្អបង្គួរ",IF(AD44="Good","ល្អ",IF(AD44="Very Good","ល្អណាស់",IF(AD44="Excellent","ល្អប្រសើរ")))))))))</f>
        <v/>
      </c>
      <c r="AF44" s="57" t="str">
        <f t="shared" ref="AF44:AF72" si="12">IF(B44="","",$AF$37)</f>
        <v/>
      </c>
      <c r="AG44" s="97" t="str">
        <f t="shared" ref="AG44:AG72" si="13">IF(B44="","",$AG$37)</f>
        <v/>
      </c>
      <c r="AH44" s="58" t="str">
        <f t="shared" ref="AH44:AH72" si="14">IF(B44="","",$AH$37)</f>
        <v/>
      </c>
      <c r="AI44" s="58" t="str">
        <f t="shared" ref="AI44:AI72" si="15">IF(B44="","",$AI$37)</f>
        <v/>
      </c>
      <c r="AJ44" s="59"/>
    </row>
    <row r="45" spans="1:36" ht="15.95" customHeight="1">
      <c r="A45" s="66">
        <v>3</v>
      </c>
      <c r="B45" s="63" t="str">
        <f>IF('(6).Promotion Exam'!B45="","",'(6).Promotion Exam'!B45)</f>
        <v/>
      </c>
      <c r="C45" s="67" t="str">
        <f>IF('(6).Promotion Exam'!C45="","",'(6).Promotion Exam'!C45)</f>
        <v/>
      </c>
      <c r="D45" s="51" t="str">
        <f>IF('(4).Midterm Results'!D45="","",'(4).Midterm Results'!D45)</f>
        <v/>
      </c>
      <c r="E45" s="52" t="str">
        <f>IF('(4).Midterm Results'!E45="","",'(4).Midterm Results'!E45)</f>
        <v/>
      </c>
      <c r="F45" s="52" t="str">
        <f>IF('(4).Midterm Results'!F45="","",'(4).Midterm Results'!F45)</f>
        <v/>
      </c>
      <c r="G45" s="52" t="str">
        <f>IF('(4).Midterm Results'!G45="","",'(4).Midterm Results'!G45)</f>
        <v/>
      </c>
      <c r="H45" s="52" t="str">
        <f>IF('(4).Midterm Results'!H45="","",'(4).Midterm Results'!H45)</f>
        <v/>
      </c>
      <c r="I45" s="52" t="str">
        <f>IF('(4).Midterm Results'!I45="","",'(4).Midterm Results'!I45)</f>
        <v/>
      </c>
      <c r="J45" s="52" t="str">
        <f>IF('(4).Midterm Results'!J45="","",'(4).Midterm Results'!J45)</f>
        <v/>
      </c>
      <c r="K45" s="52" t="str">
        <f>IF('(4).Midterm Results'!K45="","",'(4).Midterm Results'!K45)</f>
        <v/>
      </c>
      <c r="L45" s="52" t="str">
        <f>IF('(4).Midterm Results'!L45="","",'(4).Midterm Results'!L45)</f>
        <v/>
      </c>
      <c r="M45" s="52" t="str">
        <f>IF('(4).Midterm Results'!M45="","",'(4).Midterm Results'!M45)</f>
        <v/>
      </c>
      <c r="N45" s="52" t="str">
        <f>IF('(4).Midterm Results'!N45="","",'(4).Midterm Results'!N45)</f>
        <v/>
      </c>
      <c r="O45" s="53" t="str">
        <f>IF('(4).Midterm Results'!O45="","",'(4).Midterm Results'!O45)</f>
        <v/>
      </c>
      <c r="P45" s="51" t="str">
        <f>IF('(5).Promotion Daily'!AH45="","",'(5).Promotion Daily'!AH45)</f>
        <v/>
      </c>
      <c r="Q45" s="52" t="str">
        <f>IF('(6).Promotion Exam'!D45="","",'(6).Promotion Exam'!D45)</f>
        <v/>
      </c>
      <c r="R45" s="52" t="str">
        <f>IF('(6).Promotion Exam'!E45="","",'(6).Promotion Exam'!E45)</f>
        <v/>
      </c>
      <c r="S45" s="52" t="str">
        <f>IF('(6).Promotion Exam'!F45="","",'(6).Promotion Exam'!F45)</f>
        <v/>
      </c>
      <c r="T45" s="52" t="str">
        <f>IF('(6).Promotion Exam'!G45="","",'(6).Promotion Exam'!G45)</f>
        <v/>
      </c>
      <c r="U45" s="52" t="str">
        <f>IF('(6).Promotion Exam'!H45="","",'(6).Promotion Exam'!H45)</f>
        <v/>
      </c>
      <c r="V45" s="52" t="str">
        <f>IF('(6).Promotion Exam'!I45="","",'(6).Promotion Exam'!I45)</f>
        <v/>
      </c>
      <c r="W45" s="52" t="str">
        <f>IF('(6).Promotion Exam'!J45="","",'(6).Promotion Exam'!J45)</f>
        <v/>
      </c>
      <c r="X45" s="52" t="str">
        <f>IF('(6).Promotion Exam'!K45="","",'(6).Promotion Exam'!K45)</f>
        <v/>
      </c>
      <c r="Y45" s="52" t="str">
        <f>IF('(6).Promotion Exam'!L45="","",'(6).Promotion Exam'!L45)</f>
        <v/>
      </c>
      <c r="Z45" s="52" t="str">
        <f>IF('(6).Promotion Exam'!M45="","",'(6).Promotion Exam'!M45)</f>
        <v/>
      </c>
      <c r="AA45" s="53" t="str">
        <f>IF(B45="","",IF(P45="Incomplete","Incomplete",IF('(6).Promotion Exam'!N45="Change","Change",IF('(6).Promotion Exam'!N45="Stop","Stop",IF('(6).Promotion Exam'!N45="Incomplete","Incomplete",IF(COUNTBLANK(Q45:Z45)&gt;=1,"Incomplete",P45*20%+SUM(Q45:Z45)*80%))))))</f>
        <v/>
      </c>
      <c r="AB45" s="54" t="str">
        <f t="shared" si="8"/>
        <v/>
      </c>
      <c r="AC45" s="55" t="str">
        <f t="shared" si="9"/>
        <v/>
      </c>
      <c r="AD45" s="55" t="str">
        <f t="shared" si="10"/>
        <v/>
      </c>
      <c r="AE45" s="56" t="str">
        <f t="shared" si="11"/>
        <v/>
      </c>
      <c r="AF45" s="57" t="str">
        <f t="shared" si="12"/>
        <v/>
      </c>
      <c r="AG45" s="97" t="str">
        <f t="shared" si="13"/>
        <v/>
      </c>
      <c r="AH45" s="58" t="str">
        <f t="shared" si="14"/>
        <v/>
      </c>
      <c r="AI45" s="58" t="str">
        <f t="shared" si="15"/>
        <v/>
      </c>
      <c r="AJ45" s="59"/>
    </row>
    <row r="46" spans="1:36" ht="15.95" customHeight="1">
      <c r="A46" s="66">
        <v>4</v>
      </c>
      <c r="B46" s="63" t="str">
        <f>IF('(6).Promotion Exam'!B46="","",'(6).Promotion Exam'!B46)</f>
        <v/>
      </c>
      <c r="C46" s="67" t="str">
        <f>IF('(6).Promotion Exam'!C46="","",'(6).Promotion Exam'!C46)</f>
        <v/>
      </c>
      <c r="D46" s="51" t="str">
        <f>IF('(4).Midterm Results'!D46="","",'(4).Midterm Results'!D46)</f>
        <v/>
      </c>
      <c r="E46" s="52" t="str">
        <f>IF('(4).Midterm Results'!E46="","",'(4).Midterm Results'!E46)</f>
        <v/>
      </c>
      <c r="F46" s="52" t="str">
        <f>IF('(4).Midterm Results'!F46="","",'(4).Midterm Results'!F46)</f>
        <v/>
      </c>
      <c r="G46" s="52" t="str">
        <f>IF('(4).Midterm Results'!G46="","",'(4).Midterm Results'!G46)</f>
        <v/>
      </c>
      <c r="H46" s="52" t="str">
        <f>IF('(4).Midterm Results'!H46="","",'(4).Midterm Results'!H46)</f>
        <v/>
      </c>
      <c r="I46" s="52" t="str">
        <f>IF('(4).Midterm Results'!I46="","",'(4).Midterm Results'!I46)</f>
        <v/>
      </c>
      <c r="J46" s="52" t="str">
        <f>IF('(4).Midterm Results'!J46="","",'(4).Midterm Results'!J46)</f>
        <v/>
      </c>
      <c r="K46" s="52" t="str">
        <f>IF('(4).Midterm Results'!K46="","",'(4).Midterm Results'!K46)</f>
        <v/>
      </c>
      <c r="L46" s="52" t="str">
        <f>IF('(4).Midterm Results'!L46="","",'(4).Midterm Results'!L46)</f>
        <v/>
      </c>
      <c r="M46" s="52" t="str">
        <f>IF('(4).Midterm Results'!M46="","",'(4).Midterm Results'!M46)</f>
        <v/>
      </c>
      <c r="N46" s="52" t="str">
        <f>IF('(4).Midterm Results'!N46="","",'(4).Midterm Results'!N46)</f>
        <v/>
      </c>
      <c r="O46" s="53" t="str">
        <f>IF('(4).Midterm Results'!O46="","",'(4).Midterm Results'!O46)</f>
        <v/>
      </c>
      <c r="P46" s="51" t="str">
        <f>IF('(5).Promotion Daily'!AH46="","",'(5).Promotion Daily'!AH46)</f>
        <v/>
      </c>
      <c r="Q46" s="52" t="str">
        <f>IF('(6).Promotion Exam'!D46="","",'(6).Promotion Exam'!D46)</f>
        <v/>
      </c>
      <c r="R46" s="52" t="str">
        <f>IF('(6).Promotion Exam'!E46="","",'(6).Promotion Exam'!E46)</f>
        <v/>
      </c>
      <c r="S46" s="52" t="str">
        <f>IF('(6).Promotion Exam'!F46="","",'(6).Promotion Exam'!F46)</f>
        <v/>
      </c>
      <c r="T46" s="52" t="str">
        <f>IF('(6).Promotion Exam'!G46="","",'(6).Promotion Exam'!G46)</f>
        <v/>
      </c>
      <c r="U46" s="52" t="str">
        <f>IF('(6).Promotion Exam'!H46="","",'(6).Promotion Exam'!H46)</f>
        <v/>
      </c>
      <c r="V46" s="52" t="str">
        <f>IF('(6).Promotion Exam'!I46="","",'(6).Promotion Exam'!I46)</f>
        <v/>
      </c>
      <c r="W46" s="52" t="str">
        <f>IF('(6).Promotion Exam'!J46="","",'(6).Promotion Exam'!J46)</f>
        <v/>
      </c>
      <c r="X46" s="52" t="str">
        <f>IF('(6).Promotion Exam'!K46="","",'(6).Promotion Exam'!K46)</f>
        <v/>
      </c>
      <c r="Y46" s="52" t="str">
        <f>IF('(6).Promotion Exam'!L46="","",'(6).Promotion Exam'!L46)</f>
        <v/>
      </c>
      <c r="Z46" s="52" t="str">
        <f>IF('(6).Promotion Exam'!M46="","",'(6).Promotion Exam'!M46)</f>
        <v/>
      </c>
      <c r="AA46" s="53" t="str">
        <f>IF(B46="","",IF(P46="Incomplete","Incomplete",IF('(6).Promotion Exam'!N46="Change","Change",IF('(6).Promotion Exam'!N46="Stop","Stop",IF('(6).Promotion Exam'!N46="Incomplete","Incomplete",IF(COUNTBLANK(Q46:Z46)&gt;=1,"Incomplete",P46*20%+SUM(Q46:Z46)*80%))))))</f>
        <v/>
      </c>
      <c r="AB46" s="54" t="str">
        <f t="shared" si="8"/>
        <v/>
      </c>
      <c r="AC46" s="55" t="str">
        <f t="shared" si="9"/>
        <v/>
      </c>
      <c r="AD46" s="55" t="str">
        <f t="shared" si="10"/>
        <v/>
      </c>
      <c r="AE46" s="56" t="str">
        <f t="shared" si="11"/>
        <v/>
      </c>
      <c r="AF46" s="57" t="str">
        <f t="shared" si="12"/>
        <v/>
      </c>
      <c r="AG46" s="97" t="str">
        <f t="shared" si="13"/>
        <v/>
      </c>
      <c r="AH46" s="58" t="str">
        <f t="shared" si="14"/>
        <v/>
      </c>
      <c r="AI46" s="58" t="str">
        <f t="shared" si="15"/>
        <v/>
      </c>
      <c r="AJ46" s="59"/>
    </row>
    <row r="47" spans="1:36" ht="15.95" customHeight="1">
      <c r="A47" s="66">
        <v>5</v>
      </c>
      <c r="B47" s="63" t="str">
        <f>IF('(6).Promotion Exam'!B47="","",'(6).Promotion Exam'!B47)</f>
        <v/>
      </c>
      <c r="C47" s="67" t="str">
        <f>IF('(6).Promotion Exam'!C47="","",'(6).Promotion Exam'!C47)</f>
        <v/>
      </c>
      <c r="D47" s="51" t="str">
        <f>IF('(4).Midterm Results'!D47="","",'(4).Midterm Results'!D47)</f>
        <v/>
      </c>
      <c r="E47" s="52" t="str">
        <f>IF('(4).Midterm Results'!E47="","",'(4).Midterm Results'!E47)</f>
        <v/>
      </c>
      <c r="F47" s="52" t="str">
        <f>IF('(4).Midterm Results'!F47="","",'(4).Midterm Results'!F47)</f>
        <v/>
      </c>
      <c r="G47" s="52" t="str">
        <f>IF('(4).Midterm Results'!G47="","",'(4).Midterm Results'!G47)</f>
        <v/>
      </c>
      <c r="H47" s="52" t="str">
        <f>IF('(4).Midterm Results'!H47="","",'(4).Midterm Results'!H47)</f>
        <v/>
      </c>
      <c r="I47" s="52" t="str">
        <f>IF('(4).Midterm Results'!I47="","",'(4).Midterm Results'!I47)</f>
        <v/>
      </c>
      <c r="J47" s="52" t="str">
        <f>IF('(4).Midterm Results'!J47="","",'(4).Midterm Results'!J47)</f>
        <v/>
      </c>
      <c r="K47" s="52" t="str">
        <f>IF('(4).Midterm Results'!K47="","",'(4).Midterm Results'!K47)</f>
        <v/>
      </c>
      <c r="L47" s="52" t="str">
        <f>IF('(4).Midterm Results'!L47="","",'(4).Midterm Results'!L47)</f>
        <v/>
      </c>
      <c r="M47" s="52" t="str">
        <f>IF('(4).Midterm Results'!M47="","",'(4).Midterm Results'!M47)</f>
        <v/>
      </c>
      <c r="N47" s="52" t="str">
        <f>IF('(4).Midterm Results'!N47="","",'(4).Midterm Results'!N47)</f>
        <v/>
      </c>
      <c r="O47" s="53" t="str">
        <f>IF('(4).Midterm Results'!O47="","",'(4).Midterm Results'!O47)</f>
        <v/>
      </c>
      <c r="P47" s="51" t="str">
        <f>IF('(5).Promotion Daily'!AH47="","",'(5).Promotion Daily'!AH47)</f>
        <v/>
      </c>
      <c r="Q47" s="52" t="str">
        <f>IF('(6).Promotion Exam'!D47="","",'(6).Promotion Exam'!D47)</f>
        <v/>
      </c>
      <c r="R47" s="52" t="str">
        <f>IF('(6).Promotion Exam'!E47="","",'(6).Promotion Exam'!E47)</f>
        <v/>
      </c>
      <c r="S47" s="52" t="str">
        <f>IF('(6).Promotion Exam'!F47="","",'(6).Promotion Exam'!F47)</f>
        <v/>
      </c>
      <c r="T47" s="52" t="str">
        <f>IF('(6).Promotion Exam'!G47="","",'(6).Promotion Exam'!G47)</f>
        <v/>
      </c>
      <c r="U47" s="52" t="str">
        <f>IF('(6).Promotion Exam'!H47="","",'(6).Promotion Exam'!H47)</f>
        <v/>
      </c>
      <c r="V47" s="52" t="str">
        <f>IF('(6).Promotion Exam'!I47="","",'(6).Promotion Exam'!I47)</f>
        <v/>
      </c>
      <c r="W47" s="52" t="str">
        <f>IF('(6).Promotion Exam'!J47="","",'(6).Promotion Exam'!J47)</f>
        <v/>
      </c>
      <c r="X47" s="52" t="str">
        <f>IF('(6).Promotion Exam'!K47="","",'(6).Promotion Exam'!K47)</f>
        <v/>
      </c>
      <c r="Y47" s="52" t="str">
        <f>IF('(6).Promotion Exam'!L47="","",'(6).Promotion Exam'!L47)</f>
        <v/>
      </c>
      <c r="Z47" s="52" t="str">
        <f>IF('(6).Promotion Exam'!M47="","",'(6).Promotion Exam'!M47)</f>
        <v/>
      </c>
      <c r="AA47" s="53" t="str">
        <f>IF(B47="","",IF(P47="Incomplete","Incomplete",IF('(6).Promotion Exam'!N47="Change","Change",IF('(6).Promotion Exam'!N47="Stop","Stop",IF('(6).Promotion Exam'!N47="Incomplete","Incomplete",IF(COUNTBLANK(Q47:Z47)&gt;=1,"Incomplete",P47*20%+SUM(Q47:Z47)*80%))))))</f>
        <v/>
      </c>
      <c r="AB47" s="54" t="str">
        <f t="shared" si="8"/>
        <v/>
      </c>
      <c r="AC47" s="55" t="str">
        <f t="shared" si="9"/>
        <v/>
      </c>
      <c r="AD47" s="55" t="str">
        <f t="shared" si="10"/>
        <v/>
      </c>
      <c r="AE47" s="56" t="str">
        <f t="shared" si="11"/>
        <v/>
      </c>
      <c r="AF47" s="57" t="str">
        <f t="shared" si="12"/>
        <v/>
      </c>
      <c r="AG47" s="97" t="str">
        <f t="shared" si="13"/>
        <v/>
      </c>
      <c r="AH47" s="58" t="str">
        <f t="shared" si="14"/>
        <v/>
      </c>
      <c r="AI47" s="58" t="str">
        <f t="shared" si="15"/>
        <v/>
      </c>
      <c r="AJ47" s="59"/>
    </row>
    <row r="48" spans="1:36" ht="15.95" customHeight="1">
      <c r="A48" s="66">
        <v>6</v>
      </c>
      <c r="B48" s="63" t="str">
        <f>IF('(6).Promotion Exam'!B48="","",'(6).Promotion Exam'!B48)</f>
        <v/>
      </c>
      <c r="C48" s="67" t="str">
        <f>IF('(6).Promotion Exam'!C48="","",'(6).Promotion Exam'!C48)</f>
        <v/>
      </c>
      <c r="D48" s="51" t="str">
        <f>IF('(4).Midterm Results'!D48="","",'(4).Midterm Results'!D48)</f>
        <v/>
      </c>
      <c r="E48" s="52" t="str">
        <f>IF('(4).Midterm Results'!E48="","",'(4).Midterm Results'!E48)</f>
        <v/>
      </c>
      <c r="F48" s="52" t="str">
        <f>IF('(4).Midterm Results'!F48="","",'(4).Midterm Results'!F48)</f>
        <v/>
      </c>
      <c r="G48" s="52" t="str">
        <f>IF('(4).Midterm Results'!G48="","",'(4).Midterm Results'!G48)</f>
        <v/>
      </c>
      <c r="H48" s="52" t="str">
        <f>IF('(4).Midterm Results'!H48="","",'(4).Midterm Results'!H48)</f>
        <v/>
      </c>
      <c r="I48" s="52" t="str">
        <f>IF('(4).Midterm Results'!I48="","",'(4).Midterm Results'!I48)</f>
        <v/>
      </c>
      <c r="J48" s="52" t="str">
        <f>IF('(4).Midterm Results'!J48="","",'(4).Midterm Results'!J48)</f>
        <v/>
      </c>
      <c r="K48" s="52" t="str">
        <f>IF('(4).Midterm Results'!K48="","",'(4).Midterm Results'!K48)</f>
        <v/>
      </c>
      <c r="L48" s="52" t="str">
        <f>IF('(4).Midterm Results'!L48="","",'(4).Midterm Results'!L48)</f>
        <v/>
      </c>
      <c r="M48" s="52" t="str">
        <f>IF('(4).Midterm Results'!M48="","",'(4).Midterm Results'!M48)</f>
        <v/>
      </c>
      <c r="N48" s="52" t="str">
        <f>IF('(4).Midterm Results'!N48="","",'(4).Midterm Results'!N48)</f>
        <v/>
      </c>
      <c r="O48" s="53" t="str">
        <f>IF('(4).Midterm Results'!O48="","",'(4).Midterm Results'!O48)</f>
        <v/>
      </c>
      <c r="P48" s="51" t="str">
        <f>IF('(5).Promotion Daily'!AH48="","",'(5).Promotion Daily'!AH48)</f>
        <v/>
      </c>
      <c r="Q48" s="52" t="str">
        <f>IF('(6).Promotion Exam'!D48="","",'(6).Promotion Exam'!D48)</f>
        <v/>
      </c>
      <c r="R48" s="52" t="str">
        <f>IF('(6).Promotion Exam'!E48="","",'(6).Promotion Exam'!E48)</f>
        <v/>
      </c>
      <c r="S48" s="52" t="str">
        <f>IF('(6).Promotion Exam'!F48="","",'(6).Promotion Exam'!F48)</f>
        <v/>
      </c>
      <c r="T48" s="52" t="str">
        <f>IF('(6).Promotion Exam'!G48="","",'(6).Promotion Exam'!G48)</f>
        <v/>
      </c>
      <c r="U48" s="52" t="str">
        <f>IF('(6).Promotion Exam'!H48="","",'(6).Promotion Exam'!H48)</f>
        <v/>
      </c>
      <c r="V48" s="52" t="str">
        <f>IF('(6).Promotion Exam'!I48="","",'(6).Promotion Exam'!I48)</f>
        <v/>
      </c>
      <c r="W48" s="52" t="str">
        <f>IF('(6).Promotion Exam'!J48="","",'(6).Promotion Exam'!J48)</f>
        <v/>
      </c>
      <c r="X48" s="52" t="str">
        <f>IF('(6).Promotion Exam'!K48="","",'(6).Promotion Exam'!K48)</f>
        <v/>
      </c>
      <c r="Y48" s="52" t="str">
        <f>IF('(6).Promotion Exam'!L48="","",'(6).Promotion Exam'!L48)</f>
        <v/>
      </c>
      <c r="Z48" s="52" t="str">
        <f>IF('(6).Promotion Exam'!M48="","",'(6).Promotion Exam'!M48)</f>
        <v/>
      </c>
      <c r="AA48" s="53" t="str">
        <f>IF(B48="","",IF(P48="Incomplete","Incomplete",IF('(6).Promotion Exam'!N48="Change","Change",IF('(6).Promotion Exam'!N48="Stop","Stop",IF('(6).Promotion Exam'!N48="Incomplete","Incomplete",IF(COUNTBLANK(Q48:Z48)&gt;=1,"Incomplete",P48*20%+SUM(Q48:Z48)*80%))))))</f>
        <v/>
      </c>
      <c r="AB48" s="54" t="str">
        <f t="shared" si="8"/>
        <v/>
      </c>
      <c r="AC48" s="55" t="str">
        <f t="shared" si="9"/>
        <v/>
      </c>
      <c r="AD48" s="55" t="str">
        <f t="shared" si="10"/>
        <v/>
      </c>
      <c r="AE48" s="56" t="str">
        <f t="shared" si="11"/>
        <v/>
      </c>
      <c r="AF48" s="57" t="str">
        <f t="shared" si="12"/>
        <v/>
      </c>
      <c r="AG48" s="97" t="str">
        <f t="shared" si="13"/>
        <v/>
      </c>
      <c r="AH48" s="58" t="str">
        <f t="shared" si="14"/>
        <v/>
      </c>
      <c r="AI48" s="58" t="str">
        <f t="shared" si="15"/>
        <v/>
      </c>
      <c r="AJ48" s="59"/>
    </row>
    <row r="49" spans="1:36" ht="15.95" customHeight="1">
      <c r="A49" s="66">
        <v>7</v>
      </c>
      <c r="B49" s="63" t="str">
        <f>IF('(6).Promotion Exam'!B49="","",'(6).Promotion Exam'!B49)</f>
        <v/>
      </c>
      <c r="C49" s="67" t="str">
        <f>IF('(6).Promotion Exam'!C49="","",'(6).Promotion Exam'!C49)</f>
        <v/>
      </c>
      <c r="D49" s="51" t="str">
        <f>IF('(4).Midterm Results'!D49="","",'(4).Midterm Results'!D49)</f>
        <v/>
      </c>
      <c r="E49" s="52" t="str">
        <f>IF('(4).Midterm Results'!E49="","",'(4).Midterm Results'!E49)</f>
        <v/>
      </c>
      <c r="F49" s="52" t="str">
        <f>IF('(4).Midterm Results'!F49="","",'(4).Midterm Results'!F49)</f>
        <v/>
      </c>
      <c r="G49" s="52" t="str">
        <f>IF('(4).Midterm Results'!G49="","",'(4).Midterm Results'!G49)</f>
        <v/>
      </c>
      <c r="H49" s="52" t="str">
        <f>IF('(4).Midterm Results'!H49="","",'(4).Midterm Results'!H49)</f>
        <v/>
      </c>
      <c r="I49" s="52" t="str">
        <f>IF('(4).Midterm Results'!I49="","",'(4).Midterm Results'!I49)</f>
        <v/>
      </c>
      <c r="J49" s="52" t="str">
        <f>IF('(4).Midterm Results'!J49="","",'(4).Midterm Results'!J49)</f>
        <v/>
      </c>
      <c r="K49" s="52" t="str">
        <f>IF('(4).Midterm Results'!K49="","",'(4).Midterm Results'!K49)</f>
        <v/>
      </c>
      <c r="L49" s="52" t="str">
        <f>IF('(4).Midterm Results'!L49="","",'(4).Midterm Results'!L49)</f>
        <v/>
      </c>
      <c r="M49" s="52" t="str">
        <f>IF('(4).Midterm Results'!M49="","",'(4).Midterm Results'!M49)</f>
        <v/>
      </c>
      <c r="N49" s="52" t="str">
        <f>IF('(4).Midterm Results'!N49="","",'(4).Midterm Results'!N49)</f>
        <v/>
      </c>
      <c r="O49" s="53" t="str">
        <f>IF('(4).Midterm Results'!O49="","",'(4).Midterm Results'!O49)</f>
        <v/>
      </c>
      <c r="P49" s="51" t="str">
        <f>IF('(5).Promotion Daily'!AH49="","",'(5).Promotion Daily'!AH49)</f>
        <v/>
      </c>
      <c r="Q49" s="52" t="str">
        <f>IF('(6).Promotion Exam'!D49="","",'(6).Promotion Exam'!D49)</f>
        <v/>
      </c>
      <c r="R49" s="52" t="str">
        <f>IF('(6).Promotion Exam'!E49="","",'(6).Promotion Exam'!E49)</f>
        <v/>
      </c>
      <c r="S49" s="52" t="str">
        <f>IF('(6).Promotion Exam'!F49="","",'(6).Promotion Exam'!F49)</f>
        <v/>
      </c>
      <c r="T49" s="52" t="str">
        <f>IF('(6).Promotion Exam'!G49="","",'(6).Promotion Exam'!G49)</f>
        <v/>
      </c>
      <c r="U49" s="52" t="str">
        <f>IF('(6).Promotion Exam'!H49="","",'(6).Promotion Exam'!H49)</f>
        <v/>
      </c>
      <c r="V49" s="52" t="str">
        <f>IF('(6).Promotion Exam'!I49="","",'(6).Promotion Exam'!I49)</f>
        <v/>
      </c>
      <c r="W49" s="52" t="str">
        <f>IF('(6).Promotion Exam'!J49="","",'(6).Promotion Exam'!J49)</f>
        <v/>
      </c>
      <c r="X49" s="52" t="str">
        <f>IF('(6).Promotion Exam'!K49="","",'(6).Promotion Exam'!K49)</f>
        <v/>
      </c>
      <c r="Y49" s="52" t="str">
        <f>IF('(6).Promotion Exam'!L49="","",'(6).Promotion Exam'!L49)</f>
        <v/>
      </c>
      <c r="Z49" s="52" t="str">
        <f>IF('(6).Promotion Exam'!M49="","",'(6).Promotion Exam'!M49)</f>
        <v/>
      </c>
      <c r="AA49" s="53" t="str">
        <f>IF(B49="","",IF(P49="Incomplete","Incomplete",IF('(6).Promotion Exam'!N49="Change","Change",IF('(6).Promotion Exam'!N49="Stop","Stop",IF('(6).Promotion Exam'!N49="Incomplete","Incomplete",IF(COUNTBLANK(Q49:Z49)&gt;=1,"Incomplete",P49*20%+SUM(Q49:Z49)*80%))))))</f>
        <v/>
      </c>
      <c r="AB49" s="54" t="str">
        <f t="shared" si="8"/>
        <v/>
      </c>
      <c r="AC49" s="55" t="str">
        <f t="shared" si="9"/>
        <v/>
      </c>
      <c r="AD49" s="55" t="str">
        <f t="shared" si="10"/>
        <v/>
      </c>
      <c r="AE49" s="56" t="str">
        <f t="shared" si="11"/>
        <v/>
      </c>
      <c r="AF49" s="57" t="str">
        <f t="shared" si="12"/>
        <v/>
      </c>
      <c r="AG49" s="97" t="str">
        <f t="shared" si="13"/>
        <v/>
      </c>
      <c r="AH49" s="58" t="str">
        <f t="shared" si="14"/>
        <v/>
      </c>
      <c r="AI49" s="58" t="str">
        <f t="shared" si="15"/>
        <v/>
      </c>
      <c r="AJ49" s="59"/>
    </row>
    <row r="50" spans="1:36" ht="15.95" customHeight="1">
      <c r="A50" s="66">
        <v>8</v>
      </c>
      <c r="B50" s="63" t="str">
        <f>IF('(6).Promotion Exam'!B50="","",'(6).Promotion Exam'!B50)</f>
        <v/>
      </c>
      <c r="C50" s="67" t="str">
        <f>IF('(6).Promotion Exam'!C50="","",'(6).Promotion Exam'!C50)</f>
        <v/>
      </c>
      <c r="D50" s="51" t="str">
        <f>IF('(4).Midterm Results'!D50="","",'(4).Midterm Results'!D50)</f>
        <v/>
      </c>
      <c r="E50" s="52" t="str">
        <f>IF('(4).Midterm Results'!E50="","",'(4).Midterm Results'!E50)</f>
        <v/>
      </c>
      <c r="F50" s="52" t="str">
        <f>IF('(4).Midterm Results'!F50="","",'(4).Midterm Results'!F50)</f>
        <v/>
      </c>
      <c r="G50" s="52" t="str">
        <f>IF('(4).Midterm Results'!G50="","",'(4).Midterm Results'!G50)</f>
        <v/>
      </c>
      <c r="H50" s="52" t="str">
        <f>IF('(4).Midterm Results'!H50="","",'(4).Midterm Results'!H50)</f>
        <v/>
      </c>
      <c r="I50" s="52" t="str">
        <f>IF('(4).Midterm Results'!I50="","",'(4).Midterm Results'!I50)</f>
        <v/>
      </c>
      <c r="J50" s="52" t="str">
        <f>IF('(4).Midterm Results'!J50="","",'(4).Midterm Results'!J50)</f>
        <v/>
      </c>
      <c r="K50" s="52" t="str">
        <f>IF('(4).Midterm Results'!K50="","",'(4).Midterm Results'!K50)</f>
        <v/>
      </c>
      <c r="L50" s="52" t="str">
        <f>IF('(4).Midterm Results'!L50="","",'(4).Midterm Results'!L50)</f>
        <v/>
      </c>
      <c r="M50" s="52" t="str">
        <f>IF('(4).Midterm Results'!M50="","",'(4).Midterm Results'!M50)</f>
        <v/>
      </c>
      <c r="N50" s="52" t="str">
        <f>IF('(4).Midterm Results'!N50="","",'(4).Midterm Results'!N50)</f>
        <v/>
      </c>
      <c r="O50" s="53" t="str">
        <f>IF('(4).Midterm Results'!O50="","",'(4).Midterm Results'!O50)</f>
        <v/>
      </c>
      <c r="P50" s="51" t="str">
        <f>IF('(5).Promotion Daily'!AH50="","",'(5).Promotion Daily'!AH50)</f>
        <v/>
      </c>
      <c r="Q50" s="52" t="str">
        <f>IF('(6).Promotion Exam'!D50="","",'(6).Promotion Exam'!D50)</f>
        <v/>
      </c>
      <c r="R50" s="52" t="str">
        <f>IF('(6).Promotion Exam'!E50="","",'(6).Promotion Exam'!E50)</f>
        <v/>
      </c>
      <c r="S50" s="52" t="str">
        <f>IF('(6).Promotion Exam'!F50="","",'(6).Promotion Exam'!F50)</f>
        <v/>
      </c>
      <c r="T50" s="52" t="str">
        <f>IF('(6).Promotion Exam'!G50="","",'(6).Promotion Exam'!G50)</f>
        <v/>
      </c>
      <c r="U50" s="52" t="str">
        <f>IF('(6).Promotion Exam'!H50="","",'(6).Promotion Exam'!H50)</f>
        <v/>
      </c>
      <c r="V50" s="52" t="str">
        <f>IF('(6).Promotion Exam'!I50="","",'(6).Promotion Exam'!I50)</f>
        <v/>
      </c>
      <c r="W50" s="52" t="str">
        <f>IF('(6).Promotion Exam'!J50="","",'(6).Promotion Exam'!J50)</f>
        <v/>
      </c>
      <c r="X50" s="52" t="str">
        <f>IF('(6).Promotion Exam'!K50="","",'(6).Promotion Exam'!K50)</f>
        <v/>
      </c>
      <c r="Y50" s="52" t="str">
        <f>IF('(6).Promotion Exam'!L50="","",'(6).Promotion Exam'!L50)</f>
        <v/>
      </c>
      <c r="Z50" s="52" t="str">
        <f>IF('(6).Promotion Exam'!M50="","",'(6).Promotion Exam'!M50)</f>
        <v/>
      </c>
      <c r="AA50" s="53" t="str">
        <f>IF(B50="","",IF(P50="Incomplete","Incomplete",IF('(6).Promotion Exam'!N50="Change","Change",IF('(6).Promotion Exam'!N50="Stop","Stop",IF('(6).Promotion Exam'!N50="Incomplete","Incomplete",IF(COUNTBLANK(Q50:Z50)&gt;=1,"Incomplete",P50*20%+SUM(Q50:Z50)*80%))))))</f>
        <v/>
      </c>
      <c r="AB50" s="54" t="str">
        <f t="shared" si="8"/>
        <v/>
      </c>
      <c r="AC50" s="55" t="str">
        <f t="shared" si="9"/>
        <v/>
      </c>
      <c r="AD50" s="55" t="str">
        <f t="shared" si="10"/>
        <v/>
      </c>
      <c r="AE50" s="56" t="str">
        <f t="shared" si="11"/>
        <v/>
      </c>
      <c r="AF50" s="57" t="str">
        <f t="shared" si="12"/>
        <v/>
      </c>
      <c r="AG50" s="97" t="str">
        <f t="shared" si="13"/>
        <v/>
      </c>
      <c r="AH50" s="58" t="str">
        <f t="shared" si="14"/>
        <v/>
      </c>
      <c r="AI50" s="58" t="str">
        <f t="shared" si="15"/>
        <v/>
      </c>
      <c r="AJ50" s="59"/>
    </row>
    <row r="51" spans="1:36" ht="15.95" customHeight="1">
      <c r="A51" s="66">
        <v>9</v>
      </c>
      <c r="B51" s="63" t="str">
        <f>IF('(6).Promotion Exam'!B51="","",'(6).Promotion Exam'!B51)</f>
        <v/>
      </c>
      <c r="C51" s="67" t="str">
        <f>IF('(6).Promotion Exam'!C51="","",'(6).Promotion Exam'!C51)</f>
        <v/>
      </c>
      <c r="D51" s="51" t="str">
        <f>IF('(4).Midterm Results'!D51="","",'(4).Midterm Results'!D51)</f>
        <v/>
      </c>
      <c r="E51" s="52" t="str">
        <f>IF('(4).Midterm Results'!E51="","",'(4).Midterm Results'!E51)</f>
        <v/>
      </c>
      <c r="F51" s="52" t="str">
        <f>IF('(4).Midterm Results'!F51="","",'(4).Midterm Results'!F51)</f>
        <v/>
      </c>
      <c r="G51" s="52" t="str">
        <f>IF('(4).Midterm Results'!G51="","",'(4).Midterm Results'!G51)</f>
        <v/>
      </c>
      <c r="H51" s="52" t="str">
        <f>IF('(4).Midterm Results'!H51="","",'(4).Midterm Results'!H51)</f>
        <v/>
      </c>
      <c r="I51" s="52" t="str">
        <f>IF('(4).Midterm Results'!I51="","",'(4).Midterm Results'!I51)</f>
        <v/>
      </c>
      <c r="J51" s="52" t="str">
        <f>IF('(4).Midterm Results'!J51="","",'(4).Midterm Results'!J51)</f>
        <v/>
      </c>
      <c r="K51" s="52" t="str">
        <f>IF('(4).Midterm Results'!K51="","",'(4).Midterm Results'!K51)</f>
        <v/>
      </c>
      <c r="L51" s="52" t="str">
        <f>IF('(4).Midterm Results'!L51="","",'(4).Midterm Results'!L51)</f>
        <v/>
      </c>
      <c r="M51" s="52" t="str">
        <f>IF('(4).Midterm Results'!M51="","",'(4).Midterm Results'!M51)</f>
        <v/>
      </c>
      <c r="N51" s="52" t="str">
        <f>IF('(4).Midterm Results'!N51="","",'(4).Midterm Results'!N51)</f>
        <v/>
      </c>
      <c r="O51" s="53" t="str">
        <f>IF('(4).Midterm Results'!O51="","",'(4).Midterm Results'!O51)</f>
        <v/>
      </c>
      <c r="P51" s="51" t="str">
        <f>IF('(5).Promotion Daily'!AH51="","",'(5).Promotion Daily'!AH51)</f>
        <v/>
      </c>
      <c r="Q51" s="52" t="str">
        <f>IF('(6).Promotion Exam'!D51="","",'(6).Promotion Exam'!D51)</f>
        <v/>
      </c>
      <c r="R51" s="52" t="str">
        <f>IF('(6).Promotion Exam'!E51="","",'(6).Promotion Exam'!E51)</f>
        <v/>
      </c>
      <c r="S51" s="52" t="str">
        <f>IF('(6).Promotion Exam'!F51="","",'(6).Promotion Exam'!F51)</f>
        <v/>
      </c>
      <c r="T51" s="52" t="str">
        <f>IF('(6).Promotion Exam'!G51="","",'(6).Promotion Exam'!G51)</f>
        <v/>
      </c>
      <c r="U51" s="52" t="str">
        <f>IF('(6).Promotion Exam'!H51="","",'(6).Promotion Exam'!H51)</f>
        <v/>
      </c>
      <c r="V51" s="52" t="str">
        <f>IF('(6).Promotion Exam'!I51="","",'(6).Promotion Exam'!I51)</f>
        <v/>
      </c>
      <c r="W51" s="52" t="str">
        <f>IF('(6).Promotion Exam'!J51="","",'(6).Promotion Exam'!J51)</f>
        <v/>
      </c>
      <c r="X51" s="52" t="str">
        <f>IF('(6).Promotion Exam'!K51="","",'(6).Promotion Exam'!K51)</f>
        <v/>
      </c>
      <c r="Y51" s="52" t="str">
        <f>IF('(6).Promotion Exam'!L51="","",'(6).Promotion Exam'!L51)</f>
        <v/>
      </c>
      <c r="Z51" s="52" t="str">
        <f>IF('(6).Promotion Exam'!M51="","",'(6).Promotion Exam'!M51)</f>
        <v/>
      </c>
      <c r="AA51" s="53" t="str">
        <f>IF(B51="","",IF(P51="Incomplete","Incomplete",IF('(6).Promotion Exam'!N51="Change","Change",IF('(6).Promotion Exam'!N51="Stop","Stop",IF('(6).Promotion Exam'!N51="Incomplete","Incomplete",IF(COUNTBLANK(Q51:Z51)&gt;=1,"Incomplete",P51*20%+SUM(Q51:Z51)*80%))))))</f>
        <v/>
      </c>
      <c r="AB51" s="54" t="str">
        <f t="shared" si="8"/>
        <v/>
      </c>
      <c r="AC51" s="55" t="str">
        <f t="shared" si="9"/>
        <v/>
      </c>
      <c r="AD51" s="55" t="str">
        <f t="shared" si="10"/>
        <v/>
      </c>
      <c r="AE51" s="56" t="str">
        <f t="shared" si="11"/>
        <v/>
      </c>
      <c r="AF51" s="57" t="str">
        <f t="shared" si="12"/>
        <v/>
      </c>
      <c r="AG51" s="97" t="str">
        <f t="shared" si="13"/>
        <v/>
      </c>
      <c r="AH51" s="58" t="str">
        <f t="shared" si="14"/>
        <v/>
      </c>
      <c r="AI51" s="58" t="str">
        <f t="shared" si="15"/>
        <v/>
      </c>
      <c r="AJ51" s="59"/>
    </row>
    <row r="52" spans="1:36" ht="15.95" customHeight="1">
      <c r="A52" s="66">
        <v>10</v>
      </c>
      <c r="B52" s="63" t="str">
        <f>IF('(6).Promotion Exam'!B52="","",'(6).Promotion Exam'!B52)</f>
        <v/>
      </c>
      <c r="C52" s="67" t="str">
        <f>IF('(6).Promotion Exam'!C52="","",'(6).Promotion Exam'!C52)</f>
        <v/>
      </c>
      <c r="D52" s="51" t="str">
        <f>IF('(4).Midterm Results'!D52="","",'(4).Midterm Results'!D52)</f>
        <v/>
      </c>
      <c r="E52" s="52" t="str">
        <f>IF('(4).Midterm Results'!E52="","",'(4).Midterm Results'!E52)</f>
        <v/>
      </c>
      <c r="F52" s="52" t="str">
        <f>IF('(4).Midterm Results'!F52="","",'(4).Midterm Results'!F52)</f>
        <v/>
      </c>
      <c r="G52" s="52" t="str">
        <f>IF('(4).Midterm Results'!G52="","",'(4).Midterm Results'!G52)</f>
        <v/>
      </c>
      <c r="H52" s="52" t="str">
        <f>IF('(4).Midterm Results'!H52="","",'(4).Midterm Results'!H52)</f>
        <v/>
      </c>
      <c r="I52" s="52" t="str">
        <f>IF('(4).Midterm Results'!I52="","",'(4).Midterm Results'!I52)</f>
        <v/>
      </c>
      <c r="J52" s="52" t="str">
        <f>IF('(4).Midterm Results'!J52="","",'(4).Midterm Results'!J52)</f>
        <v/>
      </c>
      <c r="K52" s="52" t="str">
        <f>IF('(4).Midterm Results'!K52="","",'(4).Midterm Results'!K52)</f>
        <v/>
      </c>
      <c r="L52" s="52" t="str">
        <f>IF('(4).Midterm Results'!L52="","",'(4).Midterm Results'!L52)</f>
        <v/>
      </c>
      <c r="M52" s="52" t="str">
        <f>IF('(4).Midterm Results'!M52="","",'(4).Midterm Results'!M52)</f>
        <v/>
      </c>
      <c r="N52" s="52" t="str">
        <f>IF('(4).Midterm Results'!N52="","",'(4).Midterm Results'!N52)</f>
        <v/>
      </c>
      <c r="O52" s="53" t="str">
        <f>IF('(4).Midterm Results'!O52="","",'(4).Midterm Results'!O52)</f>
        <v/>
      </c>
      <c r="P52" s="51" t="str">
        <f>IF('(5).Promotion Daily'!AH52="","",'(5).Promotion Daily'!AH52)</f>
        <v/>
      </c>
      <c r="Q52" s="52" t="str">
        <f>IF('(6).Promotion Exam'!D52="","",'(6).Promotion Exam'!D52)</f>
        <v/>
      </c>
      <c r="R52" s="52" t="str">
        <f>IF('(6).Promotion Exam'!E52="","",'(6).Promotion Exam'!E52)</f>
        <v/>
      </c>
      <c r="S52" s="52" t="str">
        <f>IF('(6).Promotion Exam'!F52="","",'(6).Promotion Exam'!F52)</f>
        <v/>
      </c>
      <c r="T52" s="52" t="str">
        <f>IF('(6).Promotion Exam'!G52="","",'(6).Promotion Exam'!G52)</f>
        <v/>
      </c>
      <c r="U52" s="52" t="str">
        <f>IF('(6).Promotion Exam'!H52="","",'(6).Promotion Exam'!H52)</f>
        <v/>
      </c>
      <c r="V52" s="52" t="str">
        <f>IF('(6).Promotion Exam'!I52="","",'(6).Promotion Exam'!I52)</f>
        <v/>
      </c>
      <c r="W52" s="52" t="str">
        <f>IF('(6).Promotion Exam'!J52="","",'(6).Promotion Exam'!J52)</f>
        <v/>
      </c>
      <c r="X52" s="52" t="str">
        <f>IF('(6).Promotion Exam'!K52="","",'(6).Promotion Exam'!K52)</f>
        <v/>
      </c>
      <c r="Y52" s="52" t="str">
        <f>IF('(6).Promotion Exam'!L52="","",'(6).Promotion Exam'!L52)</f>
        <v/>
      </c>
      <c r="Z52" s="52" t="str">
        <f>IF('(6).Promotion Exam'!M52="","",'(6).Promotion Exam'!M52)</f>
        <v/>
      </c>
      <c r="AA52" s="53" t="str">
        <f>IF(B52="","",IF(P52="Incomplete","Incomplete",IF('(6).Promotion Exam'!N52="Change","Change",IF('(6).Promotion Exam'!N52="Stop","Stop",IF('(6).Promotion Exam'!N52="Incomplete","Incomplete",IF(COUNTBLANK(Q52:Z52)&gt;=1,"Incomplete",P52*20%+SUM(Q52:Z52)*80%))))))</f>
        <v/>
      </c>
      <c r="AB52" s="54" t="str">
        <f t="shared" si="8"/>
        <v/>
      </c>
      <c r="AC52" s="55" t="str">
        <f t="shared" si="9"/>
        <v/>
      </c>
      <c r="AD52" s="55" t="str">
        <f t="shared" si="10"/>
        <v/>
      </c>
      <c r="AE52" s="56" t="str">
        <f t="shared" si="11"/>
        <v/>
      </c>
      <c r="AF52" s="57" t="str">
        <f t="shared" si="12"/>
        <v/>
      </c>
      <c r="AG52" s="97" t="str">
        <f t="shared" si="13"/>
        <v/>
      </c>
      <c r="AH52" s="58" t="str">
        <f t="shared" si="14"/>
        <v/>
      </c>
      <c r="AI52" s="58" t="str">
        <f t="shared" si="15"/>
        <v/>
      </c>
      <c r="AJ52" s="59"/>
    </row>
    <row r="53" spans="1:36" ht="15.95" customHeight="1">
      <c r="A53" s="66">
        <v>11</v>
      </c>
      <c r="B53" s="63" t="str">
        <f>IF('(6).Promotion Exam'!B53="","",'(6).Promotion Exam'!B53)</f>
        <v/>
      </c>
      <c r="C53" s="67" t="str">
        <f>IF('(6).Promotion Exam'!C53="","",'(6).Promotion Exam'!C53)</f>
        <v/>
      </c>
      <c r="D53" s="51" t="str">
        <f>IF('(4).Midterm Results'!D53="","",'(4).Midterm Results'!D53)</f>
        <v/>
      </c>
      <c r="E53" s="52" t="str">
        <f>IF('(4).Midterm Results'!E53="","",'(4).Midterm Results'!E53)</f>
        <v/>
      </c>
      <c r="F53" s="52" t="str">
        <f>IF('(4).Midterm Results'!F53="","",'(4).Midterm Results'!F53)</f>
        <v/>
      </c>
      <c r="G53" s="52" t="str">
        <f>IF('(4).Midterm Results'!G53="","",'(4).Midterm Results'!G53)</f>
        <v/>
      </c>
      <c r="H53" s="52" t="str">
        <f>IF('(4).Midterm Results'!H53="","",'(4).Midterm Results'!H53)</f>
        <v/>
      </c>
      <c r="I53" s="52" t="str">
        <f>IF('(4).Midterm Results'!I53="","",'(4).Midterm Results'!I53)</f>
        <v/>
      </c>
      <c r="J53" s="52" t="str">
        <f>IF('(4).Midterm Results'!J53="","",'(4).Midterm Results'!J53)</f>
        <v/>
      </c>
      <c r="K53" s="52" t="str">
        <f>IF('(4).Midterm Results'!K53="","",'(4).Midterm Results'!K53)</f>
        <v/>
      </c>
      <c r="L53" s="52" t="str">
        <f>IF('(4).Midterm Results'!L53="","",'(4).Midterm Results'!L53)</f>
        <v/>
      </c>
      <c r="M53" s="52" t="str">
        <f>IF('(4).Midterm Results'!M53="","",'(4).Midterm Results'!M53)</f>
        <v/>
      </c>
      <c r="N53" s="52" t="str">
        <f>IF('(4).Midterm Results'!N53="","",'(4).Midterm Results'!N53)</f>
        <v/>
      </c>
      <c r="O53" s="53" t="str">
        <f>IF('(4).Midterm Results'!O53="","",'(4).Midterm Results'!O53)</f>
        <v/>
      </c>
      <c r="P53" s="51" t="str">
        <f>IF('(5).Promotion Daily'!AH53="","",'(5).Promotion Daily'!AH53)</f>
        <v/>
      </c>
      <c r="Q53" s="52" t="str">
        <f>IF('(6).Promotion Exam'!D53="","",'(6).Promotion Exam'!D53)</f>
        <v/>
      </c>
      <c r="R53" s="52" t="str">
        <f>IF('(6).Promotion Exam'!E53="","",'(6).Promotion Exam'!E53)</f>
        <v/>
      </c>
      <c r="S53" s="52" t="str">
        <f>IF('(6).Promotion Exam'!F53="","",'(6).Promotion Exam'!F53)</f>
        <v/>
      </c>
      <c r="T53" s="52" t="str">
        <f>IF('(6).Promotion Exam'!G53="","",'(6).Promotion Exam'!G53)</f>
        <v/>
      </c>
      <c r="U53" s="52" t="str">
        <f>IF('(6).Promotion Exam'!H53="","",'(6).Promotion Exam'!H53)</f>
        <v/>
      </c>
      <c r="V53" s="52" t="str">
        <f>IF('(6).Promotion Exam'!I53="","",'(6).Promotion Exam'!I53)</f>
        <v/>
      </c>
      <c r="W53" s="52" t="str">
        <f>IF('(6).Promotion Exam'!J53="","",'(6).Promotion Exam'!J53)</f>
        <v/>
      </c>
      <c r="X53" s="52" t="str">
        <f>IF('(6).Promotion Exam'!K53="","",'(6).Promotion Exam'!K53)</f>
        <v/>
      </c>
      <c r="Y53" s="52" t="str">
        <f>IF('(6).Promotion Exam'!L53="","",'(6).Promotion Exam'!L53)</f>
        <v/>
      </c>
      <c r="Z53" s="52" t="str">
        <f>IF('(6).Promotion Exam'!M53="","",'(6).Promotion Exam'!M53)</f>
        <v/>
      </c>
      <c r="AA53" s="53" t="str">
        <f>IF(B53="","",IF(P53="Incomplete","Incomplete",IF('(6).Promotion Exam'!N53="Change","Change",IF('(6).Promotion Exam'!N53="Stop","Stop",IF('(6).Promotion Exam'!N53="Incomplete","Incomplete",IF(COUNTBLANK(Q53:Z53)&gt;=1,"Incomplete",P53*20%+SUM(Q53:Z53)*80%))))))</f>
        <v/>
      </c>
      <c r="AB53" s="54" t="str">
        <f t="shared" si="8"/>
        <v/>
      </c>
      <c r="AC53" s="55" t="str">
        <f t="shared" si="9"/>
        <v/>
      </c>
      <c r="AD53" s="55" t="str">
        <f t="shared" si="10"/>
        <v/>
      </c>
      <c r="AE53" s="56" t="str">
        <f t="shared" si="11"/>
        <v/>
      </c>
      <c r="AF53" s="57" t="str">
        <f t="shared" si="12"/>
        <v/>
      </c>
      <c r="AG53" s="97" t="str">
        <f t="shared" si="13"/>
        <v/>
      </c>
      <c r="AH53" s="58" t="str">
        <f t="shared" si="14"/>
        <v/>
      </c>
      <c r="AI53" s="58" t="str">
        <f t="shared" si="15"/>
        <v/>
      </c>
      <c r="AJ53" s="59"/>
    </row>
    <row r="54" spans="1:36" ht="15.95" customHeight="1">
      <c r="A54" s="66">
        <v>12</v>
      </c>
      <c r="B54" s="63" t="str">
        <f>IF('(6).Promotion Exam'!B54="","",'(6).Promotion Exam'!B54)</f>
        <v/>
      </c>
      <c r="C54" s="67" t="str">
        <f>IF('(6).Promotion Exam'!C54="","",'(6).Promotion Exam'!C54)</f>
        <v/>
      </c>
      <c r="D54" s="51" t="str">
        <f>IF('(4).Midterm Results'!D54="","",'(4).Midterm Results'!D54)</f>
        <v/>
      </c>
      <c r="E54" s="52" t="str">
        <f>IF('(4).Midterm Results'!E54="","",'(4).Midterm Results'!E54)</f>
        <v/>
      </c>
      <c r="F54" s="52" t="str">
        <f>IF('(4).Midterm Results'!F54="","",'(4).Midterm Results'!F54)</f>
        <v/>
      </c>
      <c r="G54" s="52" t="str">
        <f>IF('(4).Midterm Results'!G54="","",'(4).Midterm Results'!G54)</f>
        <v/>
      </c>
      <c r="H54" s="52" t="str">
        <f>IF('(4).Midterm Results'!H54="","",'(4).Midterm Results'!H54)</f>
        <v/>
      </c>
      <c r="I54" s="52" t="str">
        <f>IF('(4).Midterm Results'!I54="","",'(4).Midterm Results'!I54)</f>
        <v/>
      </c>
      <c r="J54" s="52" t="str">
        <f>IF('(4).Midterm Results'!J54="","",'(4).Midterm Results'!J54)</f>
        <v/>
      </c>
      <c r="K54" s="52" t="str">
        <f>IF('(4).Midterm Results'!K54="","",'(4).Midterm Results'!K54)</f>
        <v/>
      </c>
      <c r="L54" s="52" t="str">
        <f>IF('(4).Midterm Results'!L54="","",'(4).Midterm Results'!L54)</f>
        <v/>
      </c>
      <c r="M54" s="52" t="str">
        <f>IF('(4).Midterm Results'!M54="","",'(4).Midterm Results'!M54)</f>
        <v/>
      </c>
      <c r="N54" s="52" t="str">
        <f>IF('(4).Midterm Results'!N54="","",'(4).Midterm Results'!N54)</f>
        <v/>
      </c>
      <c r="O54" s="53" t="str">
        <f>IF('(4).Midterm Results'!O54="","",'(4).Midterm Results'!O54)</f>
        <v/>
      </c>
      <c r="P54" s="51" t="str">
        <f>IF('(5).Promotion Daily'!AH54="","",'(5).Promotion Daily'!AH54)</f>
        <v/>
      </c>
      <c r="Q54" s="52" t="str">
        <f>IF('(6).Promotion Exam'!D54="","",'(6).Promotion Exam'!D54)</f>
        <v/>
      </c>
      <c r="R54" s="52" t="str">
        <f>IF('(6).Promotion Exam'!E54="","",'(6).Promotion Exam'!E54)</f>
        <v/>
      </c>
      <c r="S54" s="52" t="str">
        <f>IF('(6).Promotion Exam'!F54="","",'(6).Promotion Exam'!F54)</f>
        <v/>
      </c>
      <c r="T54" s="52" t="str">
        <f>IF('(6).Promotion Exam'!G54="","",'(6).Promotion Exam'!G54)</f>
        <v/>
      </c>
      <c r="U54" s="52" t="str">
        <f>IF('(6).Promotion Exam'!H54="","",'(6).Promotion Exam'!H54)</f>
        <v/>
      </c>
      <c r="V54" s="52" t="str">
        <f>IF('(6).Promotion Exam'!I54="","",'(6).Promotion Exam'!I54)</f>
        <v/>
      </c>
      <c r="W54" s="52" t="str">
        <f>IF('(6).Promotion Exam'!J54="","",'(6).Promotion Exam'!J54)</f>
        <v/>
      </c>
      <c r="X54" s="52" t="str">
        <f>IF('(6).Promotion Exam'!K54="","",'(6).Promotion Exam'!K54)</f>
        <v/>
      </c>
      <c r="Y54" s="52" t="str">
        <f>IF('(6).Promotion Exam'!L54="","",'(6).Promotion Exam'!L54)</f>
        <v/>
      </c>
      <c r="Z54" s="52" t="str">
        <f>IF('(6).Promotion Exam'!M54="","",'(6).Promotion Exam'!M54)</f>
        <v/>
      </c>
      <c r="AA54" s="53" t="str">
        <f>IF(B54="","",IF(P54="Incomplete","Incomplete",IF('(6).Promotion Exam'!N54="Change","Change",IF('(6).Promotion Exam'!N54="Stop","Stop",IF('(6).Promotion Exam'!N54="Incomplete","Incomplete",IF(COUNTBLANK(Q54:Z54)&gt;=1,"Incomplete",P54*20%+SUM(Q54:Z54)*80%))))))</f>
        <v/>
      </c>
      <c r="AB54" s="54" t="str">
        <f t="shared" si="8"/>
        <v/>
      </c>
      <c r="AC54" s="55" t="str">
        <f t="shared" si="9"/>
        <v/>
      </c>
      <c r="AD54" s="55" t="str">
        <f t="shared" si="10"/>
        <v/>
      </c>
      <c r="AE54" s="56" t="str">
        <f t="shared" si="11"/>
        <v/>
      </c>
      <c r="AF54" s="57" t="str">
        <f t="shared" si="12"/>
        <v/>
      </c>
      <c r="AG54" s="97" t="str">
        <f t="shared" si="13"/>
        <v/>
      </c>
      <c r="AH54" s="58" t="str">
        <f t="shared" si="14"/>
        <v/>
      </c>
      <c r="AI54" s="58" t="str">
        <f t="shared" si="15"/>
        <v/>
      </c>
      <c r="AJ54" s="59"/>
    </row>
    <row r="55" spans="1:36" ht="15.95" customHeight="1">
      <c r="A55" s="66">
        <v>13</v>
      </c>
      <c r="B55" s="63" t="str">
        <f>IF('(6).Promotion Exam'!B55="","",'(6).Promotion Exam'!B55)</f>
        <v/>
      </c>
      <c r="C55" s="67" t="str">
        <f>IF('(6).Promotion Exam'!C55="","",'(6).Promotion Exam'!C55)</f>
        <v/>
      </c>
      <c r="D55" s="51" t="str">
        <f>IF('(4).Midterm Results'!D55="","",'(4).Midterm Results'!D55)</f>
        <v/>
      </c>
      <c r="E55" s="52" t="str">
        <f>IF('(4).Midterm Results'!E55="","",'(4).Midterm Results'!E55)</f>
        <v/>
      </c>
      <c r="F55" s="52" t="str">
        <f>IF('(4).Midterm Results'!F55="","",'(4).Midterm Results'!F55)</f>
        <v/>
      </c>
      <c r="G55" s="52" t="str">
        <f>IF('(4).Midterm Results'!G55="","",'(4).Midterm Results'!G55)</f>
        <v/>
      </c>
      <c r="H55" s="52" t="str">
        <f>IF('(4).Midterm Results'!H55="","",'(4).Midterm Results'!H55)</f>
        <v/>
      </c>
      <c r="I55" s="52" t="str">
        <f>IF('(4).Midterm Results'!I55="","",'(4).Midterm Results'!I55)</f>
        <v/>
      </c>
      <c r="J55" s="52" t="str">
        <f>IF('(4).Midterm Results'!J55="","",'(4).Midterm Results'!J55)</f>
        <v/>
      </c>
      <c r="K55" s="52" t="str">
        <f>IF('(4).Midterm Results'!K55="","",'(4).Midterm Results'!K55)</f>
        <v/>
      </c>
      <c r="L55" s="52" t="str">
        <f>IF('(4).Midterm Results'!L55="","",'(4).Midterm Results'!L55)</f>
        <v/>
      </c>
      <c r="M55" s="52" t="str">
        <f>IF('(4).Midterm Results'!M55="","",'(4).Midterm Results'!M55)</f>
        <v/>
      </c>
      <c r="N55" s="52" t="str">
        <f>IF('(4).Midterm Results'!N55="","",'(4).Midterm Results'!N55)</f>
        <v/>
      </c>
      <c r="O55" s="53" t="str">
        <f>IF('(4).Midterm Results'!O55="","",'(4).Midterm Results'!O55)</f>
        <v/>
      </c>
      <c r="P55" s="51" t="str">
        <f>IF('(5).Promotion Daily'!AH55="","",'(5).Promotion Daily'!AH55)</f>
        <v/>
      </c>
      <c r="Q55" s="52" t="str">
        <f>IF('(6).Promotion Exam'!D55="","",'(6).Promotion Exam'!D55)</f>
        <v/>
      </c>
      <c r="R55" s="52" t="str">
        <f>IF('(6).Promotion Exam'!E55="","",'(6).Promotion Exam'!E55)</f>
        <v/>
      </c>
      <c r="S55" s="52" t="str">
        <f>IF('(6).Promotion Exam'!F55="","",'(6).Promotion Exam'!F55)</f>
        <v/>
      </c>
      <c r="T55" s="52" t="str">
        <f>IF('(6).Promotion Exam'!G55="","",'(6).Promotion Exam'!G55)</f>
        <v/>
      </c>
      <c r="U55" s="52" t="str">
        <f>IF('(6).Promotion Exam'!H55="","",'(6).Promotion Exam'!H55)</f>
        <v/>
      </c>
      <c r="V55" s="52" t="str">
        <f>IF('(6).Promotion Exam'!I55="","",'(6).Promotion Exam'!I55)</f>
        <v/>
      </c>
      <c r="W55" s="52" t="str">
        <f>IF('(6).Promotion Exam'!J55="","",'(6).Promotion Exam'!J55)</f>
        <v/>
      </c>
      <c r="X55" s="52" t="str">
        <f>IF('(6).Promotion Exam'!K55="","",'(6).Promotion Exam'!K55)</f>
        <v/>
      </c>
      <c r="Y55" s="52" t="str">
        <f>IF('(6).Promotion Exam'!L55="","",'(6).Promotion Exam'!L55)</f>
        <v/>
      </c>
      <c r="Z55" s="52" t="str">
        <f>IF('(6).Promotion Exam'!M55="","",'(6).Promotion Exam'!M55)</f>
        <v/>
      </c>
      <c r="AA55" s="53" t="str">
        <f>IF(B55="","",IF(P55="Incomplete","Incomplete",IF('(6).Promotion Exam'!N55="Change","Change",IF('(6).Promotion Exam'!N55="Stop","Stop",IF('(6).Promotion Exam'!N55="Incomplete","Incomplete",IF(COUNTBLANK(Q55:Z55)&gt;=1,"Incomplete",P55*20%+SUM(Q55:Z55)*80%))))))</f>
        <v/>
      </c>
      <c r="AB55" s="54" t="str">
        <f t="shared" si="8"/>
        <v/>
      </c>
      <c r="AC55" s="55" t="str">
        <f t="shared" si="9"/>
        <v/>
      </c>
      <c r="AD55" s="55" t="str">
        <f t="shared" si="10"/>
        <v/>
      </c>
      <c r="AE55" s="56" t="str">
        <f t="shared" si="11"/>
        <v/>
      </c>
      <c r="AF55" s="57" t="str">
        <f t="shared" si="12"/>
        <v/>
      </c>
      <c r="AG55" s="97" t="str">
        <f t="shared" si="13"/>
        <v/>
      </c>
      <c r="AH55" s="58" t="str">
        <f t="shared" si="14"/>
        <v/>
      </c>
      <c r="AI55" s="58" t="str">
        <f t="shared" si="15"/>
        <v/>
      </c>
      <c r="AJ55" s="59"/>
    </row>
    <row r="56" spans="1:36" ht="15.95" customHeight="1">
      <c r="A56" s="66">
        <v>14</v>
      </c>
      <c r="B56" s="63" t="str">
        <f>IF('(6).Promotion Exam'!B56="","",'(6).Promotion Exam'!B56)</f>
        <v/>
      </c>
      <c r="C56" s="67" t="str">
        <f>IF('(6).Promotion Exam'!C56="","",'(6).Promotion Exam'!C56)</f>
        <v/>
      </c>
      <c r="D56" s="51" t="str">
        <f>IF('(4).Midterm Results'!D56="","",'(4).Midterm Results'!D56)</f>
        <v/>
      </c>
      <c r="E56" s="52" t="str">
        <f>IF('(4).Midterm Results'!E56="","",'(4).Midterm Results'!E56)</f>
        <v/>
      </c>
      <c r="F56" s="52" t="str">
        <f>IF('(4).Midterm Results'!F56="","",'(4).Midterm Results'!F56)</f>
        <v/>
      </c>
      <c r="G56" s="52" t="str">
        <f>IF('(4).Midterm Results'!G56="","",'(4).Midterm Results'!G56)</f>
        <v/>
      </c>
      <c r="H56" s="52" t="str">
        <f>IF('(4).Midterm Results'!H56="","",'(4).Midterm Results'!H56)</f>
        <v/>
      </c>
      <c r="I56" s="52" t="str">
        <f>IF('(4).Midterm Results'!I56="","",'(4).Midterm Results'!I56)</f>
        <v/>
      </c>
      <c r="J56" s="52" t="str">
        <f>IF('(4).Midterm Results'!J56="","",'(4).Midterm Results'!J56)</f>
        <v/>
      </c>
      <c r="K56" s="52" t="str">
        <f>IF('(4).Midterm Results'!K56="","",'(4).Midterm Results'!K56)</f>
        <v/>
      </c>
      <c r="L56" s="52" t="str">
        <f>IF('(4).Midterm Results'!L56="","",'(4).Midterm Results'!L56)</f>
        <v/>
      </c>
      <c r="M56" s="52" t="str">
        <f>IF('(4).Midterm Results'!M56="","",'(4).Midterm Results'!M56)</f>
        <v/>
      </c>
      <c r="N56" s="52" t="str">
        <f>IF('(4).Midterm Results'!N56="","",'(4).Midterm Results'!N56)</f>
        <v/>
      </c>
      <c r="O56" s="53" t="str">
        <f>IF('(4).Midterm Results'!O56="","",'(4).Midterm Results'!O56)</f>
        <v/>
      </c>
      <c r="P56" s="51" t="str">
        <f>IF('(5).Promotion Daily'!AH56="","",'(5).Promotion Daily'!AH56)</f>
        <v/>
      </c>
      <c r="Q56" s="52" t="str">
        <f>IF('(6).Promotion Exam'!D56="","",'(6).Promotion Exam'!D56)</f>
        <v/>
      </c>
      <c r="R56" s="52" t="str">
        <f>IF('(6).Promotion Exam'!E56="","",'(6).Promotion Exam'!E56)</f>
        <v/>
      </c>
      <c r="S56" s="52" t="str">
        <f>IF('(6).Promotion Exam'!F56="","",'(6).Promotion Exam'!F56)</f>
        <v/>
      </c>
      <c r="T56" s="52" t="str">
        <f>IF('(6).Promotion Exam'!G56="","",'(6).Promotion Exam'!G56)</f>
        <v/>
      </c>
      <c r="U56" s="52" t="str">
        <f>IF('(6).Promotion Exam'!H56="","",'(6).Promotion Exam'!H56)</f>
        <v/>
      </c>
      <c r="V56" s="52" t="str">
        <f>IF('(6).Promotion Exam'!I56="","",'(6).Promotion Exam'!I56)</f>
        <v/>
      </c>
      <c r="W56" s="52" t="str">
        <f>IF('(6).Promotion Exam'!J56="","",'(6).Promotion Exam'!J56)</f>
        <v/>
      </c>
      <c r="X56" s="52" t="str">
        <f>IF('(6).Promotion Exam'!K56="","",'(6).Promotion Exam'!K56)</f>
        <v/>
      </c>
      <c r="Y56" s="52" t="str">
        <f>IF('(6).Promotion Exam'!L56="","",'(6).Promotion Exam'!L56)</f>
        <v/>
      </c>
      <c r="Z56" s="52" t="str">
        <f>IF('(6).Promotion Exam'!M56="","",'(6).Promotion Exam'!M56)</f>
        <v/>
      </c>
      <c r="AA56" s="53" t="str">
        <f>IF(B56="","",IF(P56="Incomplete","Incomplete",IF('(6).Promotion Exam'!N56="Change","Change",IF('(6).Promotion Exam'!N56="Stop","Stop",IF('(6).Promotion Exam'!N56="Incomplete","Incomplete",IF(COUNTBLANK(Q56:Z56)&gt;=1,"Incomplete",P56*20%+SUM(Q56:Z56)*80%))))))</f>
        <v/>
      </c>
      <c r="AB56" s="54" t="str">
        <f t="shared" si="8"/>
        <v/>
      </c>
      <c r="AC56" s="55" t="str">
        <f t="shared" si="9"/>
        <v/>
      </c>
      <c r="AD56" s="55" t="str">
        <f t="shared" si="10"/>
        <v/>
      </c>
      <c r="AE56" s="56" t="str">
        <f t="shared" si="11"/>
        <v/>
      </c>
      <c r="AF56" s="57" t="str">
        <f t="shared" si="12"/>
        <v/>
      </c>
      <c r="AG56" s="97" t="str">
        <f t="shared" si="13"/>
        <v/>
      </c>
      <c r="AH56" s="58" t="str">
        <f t="shared" si="14"/>
        <v/>
      </c>
      <c r="AI56" s="58" t="str">
        <f t="shared" si="15"/>
        <v/>
      </c>
      <c r="AJ56" s="59"/>
    </row>
    <row r="57" spans="1:36" ht="15.95" customHeight="1">
      <c r="A57" s="66">
        <v>15</v>
      </c>
      <c r="B57" s="63" t="str">
        <f>IF('(6).Promotion Exam'!B57="","",'(6).Promotion Exam'!B57)</f>
        <v/>
      </c>
      <c r="C57" s="67" t="str">
        <f>IF('(6).Promotion Exam'!C57="","",'(6).Promotion Exam'!C57)</f>
        <v/>
      </c>
      <c r="D57" s="51" t="str">
        <f>IF('(4).Midterm Results'!D57="","",'(4).Midterm Results'!D57)</f>
        <v/>
      </c>
      <c r="E57" s="52" t="str">
        <f>IF('(4).Midterm Results'!E57="","",'(4).Midterm Results'!E57)</f>
        <v/>
      </c>
      <c r="F57" s="52" t="str">
        <f>IF('(4).Midterm Results'!F57="","",'(4).Midterm Results'!F57)</f>
        <v/>
      </c>
      <c r="G57" s="52" t="str">
        <f>IF('(4).Midterm Results'!G57="","",'(4).Midterm Results'!G57)</f>
        <v/>
      </c>
      <c r="H57" s="52" t="str">
        <f>IF('(4).Midterm Results'!H57="","",'(4).Midterm Results'!H57)</f>
        <v/>
      </c>
      <c r="I57" s="52" t="str">
        <f>IF('(4).Midterm Results'!I57="","",'(4).Midterm Results'!I57)</f>
        <v/>
      </c>
      <c r="J57" s="52" t="str">
        <f>IF('(4).Midterm Results'!J57="","",'(4).Midterm Results'!J57)</f>
        <v/>
      </c>
      <c r="K57" s="52" t="str">
        <f>IF('(4).Midterm Results'!K57="","",'(4).Midterm Results'!K57)</f>
        <v/>
      </c>
      <c r="L57" s="52" t="str">
        <f>IF('(4).Midterm Results'!L57="","",'(4).Midterm Results'!L57)</f>
        <v/>
      </c>
      <c r="M57" s="52" t="str">
        <f>IF('(4).Midterm Results'!M57="","",'(4).Midterm Results'!M57)</f>
        <v/>
      </c>
      <c r="N57" s="52" t="str">
        <f>IF('(4).Midterm Results'!N57="","",'(4).Midterm Results'!N57)</f>
        <v/>
      </c>
      <c r="O57" s="53" t="str">
        <f>IF('(4).Midterm Results'!O57="","",'(4).Midterm Results'!O57)</f>
        <v/>
      </c>
      <c r="P57" s="51" t="str">
        <f>IF('(5).Promotion Daily'!AH57="","",'(5).Promotion Daily'!AH57)</f>
        <v/>
      </c>
      <c r="Q57" s="52" t="str">
        <f>IF('(6).Promotion Exam'!D57="","",'(6).Promotion Exam'!D57)</f>
        <v/>
      </c>
      <c r="R57" s="52" t="str">
        <f>IF('(6).Promotion Exam'!E57="","",'(6).Promotion Exam'!E57)</f>
        <v/>
      </c>
      <c r="S57" s="52" t="str">
        <f>IF('(6).Promotion Exam'!F57="","",'(6).Promotion Exam'!F57)</f>
        <v/>
      </c>
      <c r="T57" s="52" t="str">
        <f>IF('(6).Promotion Exam'!G57="","",'(6).Promotion Exam'!G57)</f>
        <v/>
      </c>
      <c r="U57" s="52" t="str">
        <f>IF('(6).Promotion Exam'!H57="","",'(6).Promotion Exam'!H57)</f>
        <v/>
      </c>
      <c r="V57" s="52" t="str">
        <f>IF('(6).Promotion Exam'!I57="","",'(6).Promotion Exam'!I57)</f>
        <v/>
      </c>
      <c r="W57" s="52" t="str">
        <f>IF('(6).Promotion Exam'!J57="","",'(6).Promotion Exam'!J57)</f>
        <v/>
      </c>
      <c r="X57" s="52" t="str">
        <f>IF('(6).Promotion Exam'!K57="","",'(6).Promotion Exam'!K57)</f>
        <v/>
      </c>
      <c r="Y57" s="52" t="str">
        <f>IF('(6).Promotion Exam'!L57="","",'(6).Promotion Exam'!L57)</f>
        <v/>
      </c>
      <c r="Z57" s="52" t="str">
        <f>IF('(6).Promotion Exam'!M57="","",'(6).Promotion Exam'!M57)</f>
        <v/>
      </c>
      <c r="AA57" s="53" t="str">
        <f>IF(B57="","",IF(P57="Incomplete","Incomplete",IF('(6).Promotion Exam'!N57="Change","Change",IF('(6).Promotion Exam'!N57="Stop","Stop",IF('(6).Promotion Exam'!N57="Incomplete","Incomplete",IF(COUNTBLANK(Q57:Z57)&gt;=1,"Incomplete",P57*20%+SUM(Q57:Z57)*80%))))))</f>
        <v/>
      </c>
      <c r="AB57" s="54" t="str">
        <f t="shared" si="8"/>
        <v/>
      </c>
      <c r="AC57" s="55" t="str">
        <f t="shared" si="9"/>
        <v/>
      </c>
      <c r="AD57" s="55" t="str">
        <f t="shared" si="10"/>
        <v/>
      </c>
      <c r="AE57" s="56" t="str">
        <f t="shared" si="11"/>
        <v/>
      </c>
      <c r="AF57" s="57" t="str">
        <f t="shared" si="12"/>
        <v/>
      </c>
      <c r="AG57" s="97" t="str">
        <f t="shared" si="13"/>
        <v/>
      </c>
      <c r="AH57" s="58" t="str">
        <f t="shared" si="14"/>
        <v/>
      </c>
      <c r="AI57" s="58" t="str">
        <f t="shared" si="15"/>
        <v/>
      </c>
      <c r="AJ57" s="59"/>
    </row>
    <row r="58" spans="1:36" ht="15.95" customHeight="1">
      <c r="A58" s="66">
        <v>16</v>
      </c>
      <c r="B58" s="63" t="str">
        <f>IF('(6).Promotion Exam'!B58="","",'(6).Promotion Exam'!B58)</f>
        <v/>
      </c>
      <c r="C58" s="67" t="str">
        <f>IF('(6).Promotion Exam'!C58="","",'(6).Promotion Exam'!C58)</f>
        <v/>
      </c>
      <c r="D58" s="51" t="str">
        <f>IF('(4).Midterm Results'!D58="","",'(4).Midterm Results'!D58)</f>
        <v/>
      </c>
      <c r="E58" s="52" t="str">
        <f>IF('(4).Midterm Results'!E58="","",'(4).Midterm Results'!E58)</f>
        <v/>
      </c>
      <c r="F58" s="52" t="str">
        <f>IF('(4).Midterm Results'!F58="","",'(4).Midterm Results'!F58)</f>
        <v/>
      </c>
      <c r="G58" s="52" t="str">
        <f>IF('(4).Midterm Results'!G58="","",'(4).Midterm Results'!G58)</f>
        <v/>
      </c>
      <c r="H58" s="52" t="str">
        <f>IF('(4).Midterm Results'!H58="","",'(4).Midterm Results'!H58)</f>
        <v/>
      </c>
      <c r="I58" s="52" t="str">
        <f>IF('(4).Midterm Results'!I58="","",'(4).Midterm Results'!I58)</f>
        <v/>
      </c>
      <c r="J58" s="52" t="str">
        <f>IF('(4).Midterm Results'!J58="","",'(4).Midterm Results'!J58)</f>
        <v/>
      </c>
      <c r="K58" s="52" t="str">
        <f>IF('(4).Midterm Results'!K58="","",'(4).Midterm Results'!K58)</f>
        <v/>
      </c>
      <c r="L58" s="52" t="str">
        <f>IF('(4).Midterm Results'!L58="","",'(4).Midterm Results'!L58)</f>
        <v/>
      </c>
      <c r="M58" s="52" t="str">
        <f>IF('(4).Midterm Results'!M58="","",'(4).Midterm Results'!M58)</f>
        <v/>
      </c>
      <c r="N58" s="52" t="str">
        <f>IF('(4).Midterm Results'!N58="","",'(4).Midterm Results'!N58)</f>
        <v/>
      </c>
      <c r="O58" s="53" t="str">
        <f>IF('(4).Midterm Results'!O58="","",'(4).Midterm Results'!O58)</f>
        <v/>
      </c>
      <c r="P58" s="51" t="str">
        <f>IF('(5).Promotion Daily'!AH58="","",'(5).Promotion Daily'!AH58)</f>
        <v/>
      </c>
      <c r="Q58" s="52" t="str">
        <f>IF('(6).Promotion Exam'!D58="","",'(6).Promotion Exam'!D58)</f>
        <v/>
      </c>
      <c r="R58" s="52" t="str">
        <f>IF('(6).Promotion Exam'!E58="","",'(6).Promotion Exam'!E58)</f>
        <v/>
      </c>
      <c r="S58" s="52" t="str">
        <f>IF('(6).Promotion Exam'!F58="","",'(6).Promotion Exam'!F58)</f>
        <v/>
      </c>
      <c r="T58" s="52" t="str">
        <f>IF('(6).Promotion Exam'!G58="","",'(6).Promotion Exam'!G58)</f>
        <v/>
      </c>
      <c r="U58" s="52" t="str">
        <f>IF('(6).Promotion Exam'!H58="","",'(6).Promotion Exam'!H58)</f>
        <v/>
      </c>
      <c r="V58" s="52" t="str">
        <f>IF('(6).Promotion Exam'!I58="","",'(6).Promotion Exam'!I58)</f>
        <v/>
      </c>
      <c r="W58" s="52" t="str">
        <f>IF('(6).Promotion Exam'!J58="","",'(6).Promotion Exam'!J58)</f>
        <v/>
      </c>
      <c r="X58" s="52" t="str">
        <f>IF('(6).Promotion Exam'!K58="","",'(6).Promotion Exam'!K58)</f>
        <v/>
      </c>
      <c r="Y58" s="52" t="str">
        <f>IF('(6).Promotion Exam'!L58="","",'(6).Promotion Exam'!L58)</f>
        <v/>
      </c>
      <c r="Z58" s="52" t="str">
        <f>IF('(6).Promotion Exam'!M58="","",'(6).Promotion Exam'!M58)</f>
        <v/>
      </c>
      <c r="AA58" s="53" t="str">
        <f>IF(B58="","",IF(P58="Incomplete","Incomplete",IF('(6).Promotion Exam'!N58="Change","Change",IF('(6).Promotion Exam'!N58="Stop","Stop",IF('(6).Promotion Exam'!N58="Incomplete","Incomplete",IF(COUNTBLANK(Q58:Z58)&gt;=1,"Incomplete",P58*20%+SUM(Q58:Z58)*80%))))))</f>
        <v/>
      </c>
      <c r="AB58" s="54" t="str">
        <f t="shared" si="8"/>
        <v/>
      </c>
      <c r="AC58" s="55" t="str">
        <f t="shared" si="9"/>
        <v/>
      </c>
      <c r="AD58" s="55" t="str">
        <f t="shared" si="10"/>
        <v/>
      </c>
      <c r="AE58" s="56" t="str">
        <f t="shared" si="11"/>
        <v/>
      </c>
      <c r="AF58" s="57" t="str">
        <f t="shared" si="12"/>
        <v/>
      </c>
      <c r="AG58" s="97" t="str">
        <f t="shared" si="13"/>
        <v/>
      </c>
      <c r="AH58" s="58" t="str">
        <f t="shared" si="14"/>
        <v/>
      </c>
      <c r="AI58" s="58" t="str">
        <f t="shared" si="15"/>
        <v/>
      </c>
      <c r="AJ58" s="59"/>
    </row>
    <row r="59" spans="1:36" ht="15.95" customHeight="1">
      <c r="A59" s="66">
        <v>17</v>
      </c>
      <c r="B59" s="63" t="str">
        <f>IF('(6).Promotion Exam'!B59="","",'(6).Promotion Exam'!B59)</f>
        <v/>
      </c>
      <c r="C59" s="67" t="str">
        <f>IF('(6).Promotion Exam'!C59="","",'(6).Promotion Exam'!C59)</f>
        <v/>
      </c>
      <c r="D59" s="51" t="str">
        <f>IF('(4).Midterm Results'!D59="","",'(4).Midterm Results'!D59)</f>
        <v/>
      </c>
      <c r="E59" s="52" t="str">
        <f>IF('(4).Midterm Results'!E59="","",'(4).Midterm Results'!E59)</f>
        <v/>
      </c>
      <c r="F59" s="52" t="str">
        <f>IF('(4).Midterm Results'!F59="","",'(4).Midterm Results'!F59)</f>
        <v/>
      </c>
      <c r="G59" s="52" t="str">
        <f>IF('(4).Midterm Results'!G59="","",'(4).Midterm Results'!G59)</f>
        <v/>
      </c>
      <c r="H59" s="52" t="str">
        <f>IF('(4).Midterm Results'!H59="","",'(4).Midterm Results'!H59)</f>
        <v/>
      </c>
      <c r="I59" s="52" t="str">
        <f>IF('(4).Midterm Results'!I59="","",'(4).Midterm Results'!I59)</f>
        <v/>
      </c>
      <c r="J59" s="52" t="str">
        <f>IF('(4).Midterm Results'!J59="","",'(4).Midterm Results'!J59)</f>
        <v/>
      </c>
      <c r="K59" s="52" t="str">
        <f>IF('(4).Midterm Results'!K59="","",'(4).Midterm Results'!K59)</f>
        <v/>
      </c>
      <c r="L59" s="52" t="str">
        <f>IF('(4).Midterm Results'!L59="","",'(4).Midterm Results'!L59)</f>
        <v/>
      </c>
      <c r="M59" s="52" t="str">
        <f>IF('(4).Midterm Results'!M59="","",'(4).Midterm Results'!M59)</f>
        <v/>
      </c>
      <c r="N59" s="52" t="str">
        <f>IF('(4).Midterm Results'!N59="","",'(4).Midterm Results'!N59)</f>
        <v/>
      </c>
      <c r="O59" s="53" t="str">
        <f>IF('(4).Midterm Results'!O59="","",'(4).Midterm Results'!O59)</f>
        <v/>
      </c>
      <c r="P59" s="51" t="str">
        <f>IF('(5).Promotion Daily'!AH59="","",'(5).Promotion Daily'!AH59)</f>
        <v/>
      </c>
      <c r="Q59" s="52" t="str">
        <f>IF('(6).Promotion Exam'!D59="","",'(6).Promotion Exam'!D59)</f>
        <v/>
      </c>
      <c r="R59" s="52" t="str">
        <f>IF('(6).Promotion Exam'!E59="","",'(6).Promotion Exam'!E59)</f>
        <v/>
      </c>
      <c r="S59" s="52" t="str">
        <f>IF('(6).Promotion Exam'!F59="","",'(6).Promotion Exam'!F59)</f>
        <v/>
      </c>
      <c r="T59" s="52" t="str">
        <f>IF('(6).Promotion Exam'!G59="","",'(6).Promotion Exam'!G59)</f>
        <v/>
      </c>
      <c r="U59" s="52" t="str">
        <f>IF('(6).Promotion Exam'!H59="","",'(6).Promotion Exam'!H59)</f>
        <v/>
      </c>
      <c r="V59" s="52" t="str">
        <f>IF('(6).Promotion Exam'!I59="","",'(6).Promotion Exam'!I59)</f>
        <v/>
      </c>
      <c r="W59" s="52" t="str">
        <f>IF('(6).Promotion Exam'!J59="","",'(6).Promotion Exam'!J59)</f>
        <v/>
      </c>
      <c r="X59" s="52" t="str">
        <f>IF('(6).Promotion Exam'!K59="","",'(6).Promotion Exam'!K59)</f>
        <v/>
      </c>
      <c r="Y59" s="52" t="str">
        <f>IF('(6).Promotion Exam'!L59="","",'(6).Promotion Exam'!L59)</f>
        <v/>
      </c>
      <c r="Z59" s="52" t="str">
        <f>IF('(6).Promotion Exam'!M59="","",'(6).Promotion Exam'!M59)</f>
        <v/>
      </c>
      <c r="AA59" s="53" t="str">
        <f>IF(B59="","",IF(P59="Incomplete","Incomplete",IF('(6).Promotion Exam'!N59="Change","Change",IF('(6).Promotion Exam'!N59="Stop","Stop",IF('(6).Promotion Exam'!N59="Incomplete","Incomplete",IF(COUNTBLANK(Q59:Z59)&gt;=1,"Incomplete",P59*20%+SUM(Q59:Z59)*80%))))))</f>
        <v/>
      </c>
      <c r="AB59" s="54" t="str">
        <f t="shared" si="8"/>
        <v/>
      </c>
      <c r="AC59" s="55" t="str">
        <f t="shared" si="9"/>
        <v/>
      </c>
      <c r="AD59" s="55" t="str">
        <f t="shared" si="10"/>
        <v/>
      </c>
      <c r="AE59" s="56" t="str">
        <f t="shared" si="11"/>
        <v/>
      </c>
      <c r="AF59" s="57" t="str">
        <f t="shared" si="12"/>
        <v/>
      </c>
      <c r="AG59" s="97" t="str">
        <f t="shared" si="13"/>
        <v/>
      </c>
      <c r="AH59" s="58" t="str">
        <f t="shared" si="14"/>
        <v/>
      </c>
      <c r="AI59" s="58" t="str">
        <f t="shared" si="15"/>
        <v/>
      </c>
      <c r="AJ59" s="59"/>
    </row>
    <row r="60" spans="1:36" ht="15.95" customHeight="1">
      <c r="A60" s="66">
        <v>18</v>
      </c>
      <c r="B60" s="63" t="str">
        <f>IF('(6).Promotion Exam'!B60="","",'(6).Promotion Exam'!B60)</f>
        <v/>
      </c>
      <c r="C60" s="67" t="str">
        <f>IF('(6).Promotion Exam'!C60="","",'(6).Promotion Exam'!C60)</f>
        <v/>
      </c>
      <c r="D60" s="51" t="str">
        <f>IF('(4).Midterm Results'!D60="","",'(4).Midterm Results'!D60)</f>
        <v/>
      </c>
      <c r="E60" s="52" t="str">
        <f>IF('(4).Midterm Results'!E60="","",'(4).Midterm Results'!E60)</f>
        <v/>
      </c>
      <c r="F60" s="52" t="str">
        <f>IF('(4).Midterm Results'!F60="","",'(4).Midterm Results'!F60)</f>
        <v/>
      </c>
      <c r="G60" s="52" t="str">
        <f>IF('(4).Midterm Results'!G60="","",'(4).Midterm Results'!G60)</f>
        <v/>
      </c>
      <c r="H60" s="52" t="str">
        <f>IF('(4).Midterm Results'!H60="","",'(4).Midterm Results'!H60)</f>
        <v/>
      </c>
      <c r="I60" s="52" t="str">
        <f>IF('(4).Midterm Results'!I60="","",'(4).Midterm Results'!I60)</f>
        <v/>
      </c>
      <c r="J60" s="52" t="str">
        <f>IF('(4).Midterm Results'!J60="","",'(4).Midterm Results'!J60)</f>
        <v/>
      </c>
      <c r="K60" s="52" t="str">
        <f>IF('(4).Midterm Results'!K60="","",'(4).Midterm Results'!K60)</f>
        <v/>
      </c>
      <c r="L60" s="52" t="str">
        <f>IF('(4).Midterm Results'!L60="","",'(4).Midterm Results'!L60)</f>
        <v/>
      </c>
      <c r="M60" s="52" t="str">
        <f>IF('(4).Midterm Results'!M60="","",'(4).Midterm Results'!M60)</f>
        <v/>
      </c>
      <c r="N60" s="52" t="str">
        <f>IF('(4).Midterm Results'!N60="","",'(4).Midterm Results'!N60)</f>
        <v/>
      </c>
      <c r="O60" s="53" t="str">
        <f>IF('(4).Midterm Results'!O60="","",'(4).Midterm Results'!O60)</f>
        <v/>
      </c>
      <c r="P60" s="51" t="str">
        <f>IF('(5).Promotion Daily'!AH60="","",'(5).Promotion Daily'!AH60)</f>
        <v/>
      </c>
      <c r="Q60" s="52" t="str">
        <f>IF('(6).Promotion Exam'!D60="","",'(6).Promotion Exam'!D60)</f>
        <v/>
      </c>
      <c r="R60" s="52" t="str">
        <f>IF('(6).Promotion Exam'!E60="","",'(6).Promotion Exam'!E60)</f>
        <v/>
      </c>
      <c r="S60" s="52" t="str">
        <f>IF('(6).Promotion Exam'!F60="","",'(6).Promotion Exam'!F60)</f>
        <v/>
      </c>
      <c r="T60" s="52" t="str">
        <f>IF('(6).Promotion Exam'!G60="","",'(6).Promotion Exam'!G60)</f>
        <v/>
      </c>
      <c r="U60" s="52" t="str">
        <f>IF('(6).Promotion Exam'!H60="","",'(6).Promotion Exam'!H60)</f>
        <v/>
      </c>
      <c r="V60" s="52" t="str">
        <f>IF('(6).Promotion Exam'!I60="","",'(6).Promotion Exam'!I60)</f>
        <v/>
      </c>
      <c r="W60" s="52" t="str">
        <f>IF('(6).Promotion Exam'!J60="","",'(6).Promotion Exam'!J60)</f>
        <v/>
      </c>
      <c r="X60" s="52" t="str">
        <f>IF('(6).Promotion Exam'!K60="","",'(6).Promotion Exam'!K60)</f>
        <v/>
      </c>
      <c r="Y60" s="52" t="str">
        <f>IF('(6).Promotion Exam'!L60="","",'(6).Promotion Exam'!L60)</f>
        <v/>
      </c>
      <c r="Z60" s="52" t="str">
        <f>IF('(6).Promotion Exam'!M60="","",'(6).Promotion Exam'!M60)</f>
        <v/>
      </c>
      <c r="AA60" s="53" t="str">
        <f>IF(B60="","",IF(P60="Incomplete","Incomplete",IF('(6).Promotion Exam'!N60="Change","Change",IF('(6).Promotion Exam'!N60="Stop","Stop",IF('(6).Promotion Exam'!N60="Incomplete","Incomplete",IF(COUNTBLANK(Q60:Z60)&gt;=1,"Incomplete",P60*20%+SUM(Q60:Z60)*80%))))))</f>
        <v/>
      </c>
      <c r="AB60" s="54" t="str">
        <f t="shared" si="8"/>
        <v/>
      </c>
      <c r="AC60" s="55" t="str">
        <f t="shared" si="9"/>
        <v/>
      </c>
      <c r="AD60" s="55" t="str">
        <f t="shared" si="10"/>
        <v/>
      </c>
      <c r="AE60" s="56" t="str">
        <f t="shared" si="11"/>
        <v/>
      </c>
      <c r="AF60" s="57" t="str">
        <f t="shared" si="12"/>
        <v/>
      </c>
      <c r="AG60" s="97" t="str">
        <f t="shared" si="13"/>
        <v/>
      </c>
      <c r="AH60" s="58" t="str">
        <f t="shared" si="14"/>
        <v/>
      </c>
      <c r="AI60" s="58" t="str">
        <f t="shared" si="15"/>
        <v/>
      </c>
      <c r="AJ60" s="59"/>
    </row>
    <row r="61" spans="1:36" ht="15.95" customHeight="1">
      <c r="A61" s="66">
        <v>19</v>
      </c>
      <c r="B61" s="63" t="str">
        <f>IF('(6).Promotion Exam'!B61="","",'(6).Promotion Exam'!B61)</f>
        <v/>
      </c>
      <c r="C61" s="67" t="str">
        <f>IF('(6).Promotion Exam'!C61="","",'(6).Promotion Exam'!C61)</f>
        <v/>
      </c>
      <c r="D61" s="51" t="str">
        <f>IF('(4).Midterm Results'!D61="","",'(4).Midterm Results'!D61)</f>
        <v/>
      </c>
      <c r="E61" s="52" t="str">
        <f>IF('(4).Midterm Results'!E61="","",'(4).Midterm Results'!E61)</f>
        <v/>
      </c>
      <c r="F61" s="52" t="str">
        <f>IF('(4).Midterm Results'!F61="","",'(4).Midterm Results'!F61)</f>
        <v/>
      </c>
      <c r="G61" s="52" t="str">
        <f>IF('(4).Midterm Results'!G61="","",'(4).Midterm Results'!G61)</f>
        <v/>
      </c>
      <c r="H61" s="52" t="str">
        <f>IF('(4).Midterm Results'!H61="","",'(4).Midterm Results'!H61)</f>
        <v/>
      </c>
      <c r="I61" s="52" t="str">
        <f>IF('(4).Midterm Results'!I61="","",'(4).Midterm Results'!I61)</f>
        <v/>
      </c>
      <c r="J61" s="52" t="str">
        <f>IF('(4).Midterm Results'!J61="","",'(4).Midterm Results'!J61)</f>
        <v/>
      </c>
      <c r="K61" s="52" t="str">
        <f>IF('(4).Midterm Results'!K61="","",'(4).Midterm Results'!K61)</f>
        <v/>
      </c>
      <c r="L61" s="52" t="str">
        <f>IF('(4).Midterm Results'!L61="","",'(4).Midterm Results'!L61)</f>
        <v/>
      </c>
      <c r="M61" s="52" t="str">
        <f>IF('(4).Midterm Results'!M61="","",'(4).Midterm Results'!M61)</f>
        <v/>
      </c>
      <c r="N61" s="52" t="str">
        <f>IF('(4).Midterm Results'!N61="","",'(4).Midterm Results'!N61)</f>
        <v/>
      </c>
      <c r="O61" s="53" t="str">
        <f>IF('(4).Midterm Results'!O61="","",'(4).Midterm Results'!O61)</f>
        <v/>
      </c>
      <c r="P61" s="51" t="str">
        <f>IF('(5).Promotion Daily'!AH61="","",'(5).Promotion Daily'!AH61)</f>
        <v/>
      </c>
      <c r="Q61" s="52" t="str">
        <f>IF('(6).Promotion Exam'!D61="","",'(6).Promotion Exam'!D61)</f>
        <v/>
      </c>
      <c r="R61" s="52" t="str">
        <f>IF('(6).Promotion Exam'!E61="","",'(6).Promotion Exam'!E61)</f>
        <v/>
      </c>
      <c r="S61" s="52" t="str">
        <f>IF('(6).Promotion Exam'!F61="","",'(6).Promotion Exam'!F61)</f>
        <v/>
      </c>
      <c r="T61" s="52" t="str">
        <f>IF('(6).Promotion Exam'!G61="","",'(6).Promotion Exam'!G61)</f>
        <v/>
      </c>
      <c r="U61" s="52" t="str">
        <f>IF('(6).Promotion Exam'!H61="","",'(6).Promotion Exam'!H61)</f>
        <v/>
      </c>
      <c r="V61" s="52" t="str">
        <f>IF('(6).Promotion Exam'!I61="","",'(6).Promotion Exam'!I61)</f>
        <v/>
      </c>
      <c r="W61" s="52" t="str">
        <f>IF('(6).Promotion Exam'!J61="","",'(6).Promotion Exam'!J61)</f>
        <v/>
      </c>
      <c r="X61" s="52" t="str">
        <f>IF('(6).Promotion Exam'!K61="","",'(6).Promotion Exam'!K61)</f>
        <v/>
      </c>
      <c r="Y61" s="52" t="str">
        <f>IF('(6).Promotion Exam'!L61="","",'(6).Promotion Exam'!L61)</f>
        <v/>
      </c>
      <c r="Z61" s="52" t="str">
        <f>IF('(6).Promotion Exam'!M61="","",'(6).Promotion Exam'!M61)</f>
        <v/>
      </c>
      <c r="AA61" s="53" t="str">
        <f>IF(B61="","",IF(P61="Incomplete","Incomplete",IF('(6).Promotion Exam'!N61="Change","Change",IF('(6).Promotion Exam'!N61="Stop","Stop",IF('(6).Promotion Exam'!N61="Incomplete","Incomplete",IF(COUNTBLANK(Q61:Z61)&gt;=1,"Incomplete",P61*20%+SUM(Q61:Z61)*80%))))))</f>
        <v/>
      </c>
      <c r="AB61" s="54" t="str">
        <f t="shared" si="8"/>
        <v/>
      </c>
      <c r="AC61" s="55" t="str">
        <f t="shared" si="9"/>
        <v/>
      </c>
      <c r="AD61" s="55" t="str">
        <f t="shared" si="10"/>
        <v/>
      </c>
      <c r="AE61" s="56" t="str">
        <f t="shared" si="11"/>
        <v/>
      </c>
      <c r="AF61" s="57" t="str">
        <f t="shared" si="12"/>
        <v/>
      </c>
      <c r="AG61" s="97" t="str">
        <f t="shared" si="13"/>
        <v/>
      </c>
      <c r="AH61" s="58" t="str">
        <f t="shared" si="14"/>
        <v/>
      </c>
      <c r="AI61" s="58" t="str">
        <f t="shared" si="15"/>
        <v/>
      </c>
      <c r="AJ61" s="59"/>
    </row>
    <row r="62" spans="1:36" ht="15.95" customHeight="1">
      <c r="A62" s="66">
        <v>20</v>
      </c>
      <c r="B62" s="63" t="str">
        <f>IF('(6).Promotion Exam'!B62="","",'(6).Promotion Exam'!B62)</f>
        <v/>
      </c>
      <c r="C62" s="67" t="str">
        <f>IF('(6).Promotion Exam'!C62="","",'(6).Promotion Exam'!C62)</f>
        <v/>
      </c>
      <c r="D62" s="51" t="str">
        <f>IF('(4).Midterm Results'!D62="","",'(4).Midterm Results'!D62)</f>
        <v/>
      </c>
      <c r="E62" s="52" t="str">
        <f>IF('(4).Midterm Results'!E62="","",'(4).Midterm Results'!E62)</f>
        <v/>
      </c>
      <c r="F62" s="52" t="str">
        <f>IF('(4).Midterm Results'!F62="","",'(4).Midterm Results'!F62)</f>
        <v/>
      </c>
      <c r="G62" s="52" t="str">
        <f>IF('(4).Midterm Results'!G62="","",'(4).Midterm Results'!G62)</f>
        <v/>
      </c>
      <c r="H62" s="52" t="str">
        <f>IF('(4).Midterm Results'!H62="","",'(4).Midterm Results'!H62)</f>
        <v/>
      </c>
      <c r="I62" s="52" t="str">
        <f>IF('(4).Midterm Results'!I62="","",'(4).Midterm Results'!I62)</f>
        <v/>
      </c>
      <c r="J62" s="52" t="str">
        <f>IF('(4).Midterm Results'!J62="","",'(4).Midterm Results'!J62)</f>
        <v/>
      </c>
      <c r="K62" s="52" t="str">
        <f>IF('(4).Midterm Results'!K62="","",'(4).Midterm Results'!K62)</f>
        <v/>
      </c>
      <c r="L62" s="52" t="str">
        <f>IF('(4).Midterm Results'!L62="","",'(4).Midterm Results'!L62)</f>
        <v/>
      </c>
      <c r="M62" s="52" t="str">
        <f>IF('(4).Midterm Results'!M62="","",'(4).Midterm Results'!M62)</f>
        <v/>
      </c>
      <c r="N62" s="52" t="str">
        <f>IF('(4).Midterm Results'!N62="","",'(4).Midterm Results'!N62)</f>
        <v/>
      </c>
      <c r="O62" s="53" t="str">
        <f>IF('(4).Midterm Results'!O62="","",'(4).Midterm Results'!O62)</f>
        <v/>
      </c>
      <c r="P62" s="51" t="str">
        <f>IF('(5).Promotion Daily'!AH62="","",'(5).Promotion Daily'!AH62)</f>
        <v/>
      </c>
      <c r="Q62" s="52" t="str">
        <f>IF('(6).Promotion Exam'!D62="","",'(6).Promotion Exam'!D62)</f>
        <v/>
      </c>
      <c r="R62" s="52" t="str">
        <f>IF('(6).Promotion Exam'!E62="","",'(6).Promotion Exam'!E62)</f>
        <v/>
      </c>
      <c r="S62" s="52" t="str">
        <f>IF('(6).Promotion Exam'!F62="","",'(6).Promotion Exam'!F62)</f>
        <v/>
      </c>
      <c r="T62" s="52" t="str">
        <f>IF('(6).Promotion Exam'!G62="","",'(6).Promotion Exam'!G62)</f>
        <v/>
      </c>
      <c r="U62" s="52" t="str">
        <f>IF('(6).Promotion Exam'!H62="","",'(6).Promotion Exam'!H62)</f>
        <v/>
      </c>
      <c r="V62" s="52" t="str">
        <f>IF('(6).Promotion Exam'!I62="","",'(6).Promotion Exam'!I62)</f>
        <v/>
      </c>
      <c r="W62" s="52" t="str">
        <f>IF('(6).Promotion Exam'!J62="","",'(6).Promotion Exam'!J62)</f>
        <v/>
      </c>
      <c r="X62" s="52" t="str">
        <f>IF('(6).Promotion Exam'!K62="","",'(6).Promotion Exam'!K62)</f>
        <v/>
      </c>
      <c r="Y62" s="52" t="str">
        <f>IF('(6).Promotion Exam'!L62="","",'(6).Promotion Exam'!L62)</f>
        <v/>
      </c>
      <c r="Z62" s="52" t="str">
        <f>IF('(6).Promotion Exam'!M62="","",'(6).Promotion Exam'!M62)</f>
        <v/>
      </c>
      <c r="AA62" s="53" t="str">
        <f>IF(B62="","",IF(P62="Incomplete","Incomplete",IF('(6).Promotion Exam'!N62="Change","Change",IF('(6).Promotion Exam'!N62="Stop","Stop",IF('(6).Promotion Exam'!N62="Incomplete","Incomplete",IF(COUNTBLANK(Q62:Z62)&gt;=1,"Incomplete",P62*20%+SUM(Q62:Z62)*80%))))))</f>
        <v/>
      </c>
      <c r="AB62" s="54" t="str">
        <f t="shared" si="8"/>
        <v/>
      </c>
      <c r="AC62" s="55" t="str">
        <f t="shared" si="9"/>
        <v/>
      </c>
      <c r="AD62" s="55" t="str">
        <f t="shared" si="10"/>
        <v/>
      </c>
      <c r="AE62" s="56" t="str">
        <f t="shared" si="11"/>
        <v/>
      </c>
      <c r="AF62" s="57" t="str">
        <f t="shared" si="12"/>
        <v/>
      </c>
      <c r="AG62" s="97" t="str">
        <f t="shared" si="13"/>
        <v/>
      </c>
      <c r="AH62" s="58" t="str">
        <f t="shared" si="14"/>
        <v/>
      </c>
      <c r="AI62" s="58" t="str">
        <f t="shared" si="15"/>
        <v/>
      </c>
      <c r="AJ62" s="59"/>
    </row>
    <row r="63" spans="1:36" ht="15.95" customHeight="1">
      <c r="A63" s="66">
        <v>21</v>
      </c>
      <c r="B63" s="63" t="str">
        <f>IF('(6).Promotion Exam'!B63="","",'(6).Promotion Exam'!B63)</f>
        <v/>
      </c>
      <c r="C63" s="67" t="str">
        <f>IF('(6).Promotion Exam'!C63="","",'(6).Promotion Exam'!C63)</f>
        <v/>
      </c>
      <c r="D63" s="51" t="str">
        <f>IF('(4).Midterm Results'!D63="","",'(4).Midterm Results'!D63)</f>
        <v/>
      </c>
      <c r="E63" s="52" t="str">
        <f>IF('(4).Midterm Results'!E63="","",'(4).Midterm Results'!E63)</f>
        <v/>
      </c>
      <c r="F63" s="52" t="str">
        <f>IF('(4).Midterm Results'!F63="","",'(4).Midterm Results'!F63)</f>
        <v/>
      </c>
      <c r="G63" s="52" t="str">
        <f>IF('(4).Midterm Results'!G63="","",'(4).Midterm Results'!G63)</f>
        <v/>
      </c>
      <c r="H63" s="52" t="str">
        <f>IF('(4).Midterm Results'!H63="","",'(4).Midterm Results'!H63)</f>
        <v/>
      </c>
      <c r="I63" s="52" t="str">
        <f>IF('(4).Midterm Results'!I63="","",'(4).Midterm Results'!I63)</f>
        <v/>
      </c>
      <c r="J63" s="52" t="str">
        <f>IF('(4).Midterm Results'!J63="","",'(4).Midterm Results'!J63)</f>
        <v/>
      </c>
      <c r="K63" s="52" t="str">
        <f>IF('(4).Midterm Results'!K63="","",'(4).Midterm Results'!K63)</f>
        <v/>
      </c>
      <c r="L63" s="52" t="str">
        <f>IF('(4).Midterm Results'!L63="","",'(4).Midterm Results'!L63)</f>
        <v/>
      </c>
      <c r="M63" s="52" t="str">
        <f>IF('(4).Midterm Results'!M63="","",'(4).Midterm Results'!M63)</f>
        <v/>
      </c>
      <c r="N63" s="52" t="str">
        <f>IF('(4).Midterm Results'!N63="","",'(4).Midterm Results'!N63)</f>
        <v/>
      </c>
      <c r="O63" s="53" t="str">
        <f>IF('(4).Midterm Results'!O63="","",'(4).Midterm Results'!O63)</f>
        <v/>
      </c>
      <c r="P63" s="51" t="str">
        <f>IF('(5).Promotion Daily'!AH63="","",'(5).Promotion Daily'!AH63)</f>
        <v/>
      </c>
      <c r="Q63" s="52" t="str">
        <f>IF('(6).Promotion Exam'!D63="","",'(6).Promotion Exam'!D63)</f>
        <v/>
      </c>
      <c r="R63" s="52" t="str">
        <f>IF('(6).Promotion Exam'!E63="","",'(6).Promotion Exam'!E63)</f>
        <v/>
      </c>
      <c r="S63" s="52" t="str">
        <f>IF('(6).Promotion Exam'!F63="","",'(6).Promotion Exam'!F63)</f>
        <v/>
      </c>
      <c r="T63" s="52" t="str">
        <f>IF('(6).Promotion Exam'!G63="","",'(6).Promotion Exam'!G63)</f>
        <v/>
      </c>
      <c r="U63" s="52" t="str">
        <f>IF('(6).Promotion Exam'!H63="","",'(6).Promotion Exam'!H63)</f>
        <v/>
      </c>
      <c r="V63" s="52" t="str">
        <f>IF('(6).Promotion Exam'!I63="","",'(6).Promotion Exam'!I63)</f>
        <v/>
      </c>
      <c r="W63" s="52" t="str">
        <f>IF('(6).Promotion Exam'!J63="","",'(6).Promotion Exam'!J63)</f>
        <v/>
      </c>
      <c r="X63" s="52" t="str">
        <f>IF('(6).Promotion Exam'!K63="","",'(6).Promotion Exam'!K63)</f>
        <v/>
      </c>
      <c r="Y63" s="52" t="str">
        <f>IF('(6).Promotion Exam'!L63="","",'(6).Promotion Exam'!L63)</f>
        <v/>
      </c>
      <c r="Z63" s="52" t="str">
        <f>IF('(6).Promotion Exam'!M63="","",'(6).Promotion Exam'!M63)</f>
        <v/>
      </c>
      <c r="AA63" s="53" t="str">
        <f>IF(B63="","",IF(P63="Incomplete","Incomplete",IF('(6).Promotion Exam'!N63="Change","Change",IF('(6).Promotion Exam'!N63="Stop","Stop",IF('(6).Promotion Exam'!N63="Incomplete","Incomplete",IF(COUNTBLANK(Q63:Z63)&gt;=1,"Incomplete",P63*20%+SUM(Q63:Z63)*80%))))))</f>
        <v/>
      </c>
      <c r="AB63" s="54" t="str">
        <f t="shared" si="8"/>
        <v/>
      </c>
      <c r="AC63" s="55" t="str">
        <f t="shared" si="9"/>
        <v/>
      </c>
      <c r="AD63" s="55" t="str">
        <f t="shared" si="10"/>
        <v/>
      </c>
      <c r="AE63" s="56" t="str">
        <f t="shared" si="11"/>
        <v/>
      </c>
      <c r="AF63" s="57" t="str">
        <f t="shared" si="12"/>
        <v/>
      </c>
      <c r="AG63" s="97" t="str">
        <f t="shared" si="13"/>
        <v/>
      </c>
      <c r="AH63" s="58" t="str">
        <f t="shared" si="14"/>
        <v/>
      </c>
      <c r="AI63" s="58" t="str">
        <f t="shared" si="15"/>
        <v/>
      </c>
      <c r="AJ63" s="59"/>
    </row>
    <row r="64" spans="1:36" ht="15.95" customHeight="1">
      <c r="A64" s="66">
        <v>22</v>
      </c>
      <c r="B64" s="63" t="str">
        <f>IF('(6).Promotion Exam'!B64="","",'(6).Promotion Exam'!B64)</f>
        <v/>
      </c>
      <c r="C64" s="67" t="str">
        <f>IF('(6).Promotion Exam'!C64="","",'(6).Promotion Exam'!C64)</f>
        <v/>
      </c>
      <c r="D64" s="51" t="str">
        <f>IF('(4).Midterm Results'!D64="","",'(4).Midterm Results'!D64)</f>
        <v/>
      </c>
      <c r="E64" s="52" t="str">
        <f>IF('(4).Midterm Results'!E64="","",'(4).Midterm Results'!E64)</f>
        <v/>
      </c>
      <c r="F64" s="52" t="str">
        <f>IF('(4).Midterm Results'!F64="","",'(4).Midterm Results'!F64)</f>
        <v/>
      </c>
      <c r="G64" s="52" t="str">
        <f>IF('(4).Midterm Results'!G64="","",'(4).Midterm Results'!G64)</f>
        <v/>
      </c>
      <c r="H64" s="52" t="str">
        <f>IF('(4).Midterm Results'!H64="","",'(4).Midterm Results'!H64)</f>
        <v/>
      </c>
      <c r="I64" s="52" t="str">
        <f>IF('(4).Midterm Results'!I64="","",'(4).Midterm Results'!I64)</f>
        <v/>
      </c>
      <c r="J64" s="52" t="str">
        <f>IF('(4).Midterm Results'!J64="","",'(4).Midterm Results'!J64)</f>
        <v/>
      </c>
      <c r="K64" s="52" t="str">
        <f>IF('(4).Midterm Results'!K64="","",'(4).Midterm Results'!K64)</f>
        <v/>
      </c>
      <c r="L64" s="52" t="str">
        <f>IF('(4).Midterm Results'!L64="","",'(4).Midterm Results'!L64)</f>
        <v/>
      </c>
      <c r="M64" s="52" t="str">
        <f>IF('(4).Midterm Results'!M64="","",'(4).Midterm Results'!M64)</f>
        <v/>
      </c>
      <c r="N64" s="52" t="str">
        <f>IF('(4).Midterm Results'!N64="","",'(4).Midterm Results'!N64)</f>
        <v/>
      </c>
      <c r="O64" s="53" t="str">
        <f>IF('(4).Midterm Results'!O64="","",'(4).Midterm Results'!O64)</f>
        <v/>
      </c>
      <c r="P64" s="51" t="str">
        <f>IF('(5).Promotion Daily'!AH64="","",'(5).Promotion Daily'!AH64)</f>
        <v/>
      </c>
      <c r="Q64" s="52" t="str">
        <f>IF('(6).Promotion Exam'!D64="","",'(6).Promotion Exam'!D64)</f>
        <v/>
      </c>
      <c r="R64" s="52" t="str">
        <f>IF('(6).Promotion Exam'!E64="","",'(6).Promotion Exam'!E64)</f>
        <v/>
      </c>
      <c r="S64" s="52" t="str">
        <f>IF('(6).Promotion Exam'!F64="","",'(6).Promotion Exam'!F64)</f>
        <v/>
      </c>
      <c r="T64" s="52" t="str">
        <f>IF('(6).Promotion Exam'!G64="","",'(6).Promotion Exam'!G64)</f>
        <v/>
      </c>
      <c r="U64" s="52" t="str">
        <f>IF('(6).Promotion Exam'!H64="","",'(6).Promotion Exam'!H64)</f>
        <v/>
      </c>
      <c r="V64" s="52" t="str">
        <f>IF('(6).Promotion Exam'!I64="","",'(6).Promotion Exam'!I64)</f>
        <v/>
      </c>
      <c r="W64" s="52" t="str">
        <f>IF('(6).Promotion Exam'!J64="","",'(6).Promotion Exam'!J64)</f>
        <v/>
      </c>
      <c r="X64" s="52" t="str">
        <f>IF('(6).Promotion Exam'!K64="","",'(6).Promotion Exam'!K64)</f>
        <v/>
      </c>
      <c r="Y64" s="52" t="str">
        <f>IF('(6).Promotion Exam'!L64="","",'(6).Promotion Exam'!L64)</f>
        <v/>
      </c>
      <c r="Z64" s="52" t="str">
        <f>IF('(6).Promotion Exam'!M64="","",'(6).Promotion Exam'!M64)</f>
        <v/>
      </c>
      <c r="AA64" s="53" t="str">
        <f>IF(B64="","",IF(P64="Incomplete","Incomplete",IF('(6).Promotion Exam'!N64="Change","Change",IF('(6).Promotion Exam'!N64="Stop","Stop",IF('(6).Promotion Exam'!N64="Incomplete","Incomplete",IF(COUNTBLANK(Q64:Z64)&gt;=1,"Incomplete",P64*20%+SUM(Q64:Z64)*80%))))))</f>
        <v/>
      </c>
      <c r="AB64" s="54" t="str">
        <f t="shared" si="8"/>
        <v/>
      </c>
      <c r="AC64" s="55" t="str">
        <f t="shared" si="9"/>
        <v/>
      </c>
      <c r="AD64" s="55" t="str">
        <f t="shared" si="10"/>
        <v/>
      </c>
      <c r="AE64" s="56" t="str">
        <f t="shared" si="11"/>
        <v/>
      </c>
      <c r="AF64" s="57" t="str">
        <f t="shared" si="12"/>
        <v/>
      </c>
      <c r="AG64" s="97" t="str">
        <f t="shared" si="13"/>
        <v/>
      </c>
      <c r="AH64" s="58" t="str">
        <f t="shared" si="14"/>
        <v/>
      </c>
      <c r="AI64" s="58" t="str">
        <f t="shared" si="15"/>
        <v/>
      </c>
      <c r="AJ64" s="59"/>
    </row>
    <row r="65" spans="1:36" ht="15.95" customHeight="1">
      <c r="A65" s="66">
        <v>23</v>
      </c>
      <c r="B65" s="63" t="str">
        <f>IF('(6).Promotion Exam'!B65="","",'(6).Promotion Exam'!B65)</f>
        <v/>
      </c>
      <c r="C65" s="67" t="str">
        <f>IF('(6).Promotion Exam'!C65="","",'(6).Promotion Exam'!C65)</f>
        <v/>
      </c>
      <c r="D65" s="51" t="str">
        <f>IF('(4).Midterm Results'!D65="","",'(4).Midterm Results'!D65)</f>
        <v/>
      </c>
      <c r="E65" s="52" t="str">
        <f>IF('(4).Midterm Results'!E65="","",'(4).Midterm Results'!E65)</f>
        <v/>
      </c>
      <c r="F65" s="52" t="str">
        <f>IF('(4).Midterm Results'!F65="","",'(4).Midterm Results'!F65)</f>
        <v/>
      </c>
      <c r="G65" s="52" t="str">
        <f>IF('(4).Midterm Results'!G65="","",'(4).Midterm Results'!G65)</f>
        <v/>
      </c>
      <c r="H65" s="52" t="str">
        <f>IF('(4).Midterm Results'!H65="","",'(4).Midterm Results'!H65)</f>
        <v/>
      </c>
      <c r="I65" s="52" t="str">
        <f>IF('(4).Midterm Results'!I65="","",'(4).Midterm Results'!I65)</f>
        <v/>
      </c>
      <c r="J65" s="52" t="str">
        <f>IF('(4).Midterm Results'!J65="","",'(4).Midterm Results'!J65)</f>
        <v/>
      </c>
      <c r="K65" s="52" t="str">
        <f>IF('(4).Midterm Results'!K65="","",'(4).Midterm Results'!K65)</f>
        <v/>
      </c>
      <c r="L65" s="52" t="str">
        <f>IF('(4).Midterm Results'!L65="","",'(4).Midterm Results'!L65)</f>
        <v/>
      </c>
      <c r="M65" s="52" t="str">
        <f>IF('(4).Midterm Results'!M65="","",'(4).Midterm Results'!M65)</f>
        <v/>
      </c>
      <c r="N65" s="52" t="str">
        <f>IF('(4).Midterm Results'!N65="","",'(4).Midterm Results'!N65)</f>
        <v/>
      </c>
      <c r="O65" s="53" t="str">
        <f>IF('(4).Midterm Results'!O65="","",'(4).Midterm Results'!O65)</f>
        <v/>
      </c>
      <c r="P65" s="51" t="str">
        <f>IF('(5).Promotion Daily'!AH65="","",'(5).Promotion Daily'!AH65)</f>
        <v/>
      </c>
      <c r="Q65" s="52" t="str">
        <f>IF('(6).Promotion Exam'!D65="","",'(6).Promotion Exam'!D65)</f>
        <v/>
      </c>
      <c r="R65" s="52" t="str">
        <f>IF('(6).Promotion Exam'!E65="","",'(6).Promotion Exam'!E65)</f>
        <v/>
      </c>
      <c r="S65" s="52" t="str">
        <f>IF('(6).Promotion Exam'!F65="","",'(6).Promotion Exam'!F65)</f>
        <v/>
      </c>
      <c r="T65" s="52" t="str">
        <f>IF('(6).Promotion Exam'!G65="","",'(6).Promotion Exam'!G65)</f>
        <v/>
      </c>
      <c r="U65" s="52" t="str">
        <f>IF('(6).Promotion Exam'!H65="","",'(6).Promotion Exam'!H65)</f>
        <v/>
      </c>
      <c r="V65" s="52" t="str">
        <f>IF('(6).Promotion Exam'!I65="","",'(6).Promotion Exam'!I65)</f>
        <v/>
      </c>
      <c r="W65" s="52" t="str">
        <f>IF('(6).Promotion Exam'!J65="","",'(6).Promotion Exam'!J65)</f>
        <v/>
      </c>
      <c r="X65" s="52" t="str">
        <f>IF('(6).Promotion Exam'!K65="","",'(6).Promotion Exam'!K65)</f>
        <v/>
      </c>
      <c r="Y65" s="52" t="str">
        <f>IF('(6).Promotion Exam'!L65="","",'(6).Promotion Exam'!L65)</f>
        <v/>
      </c>
      <c r="Z65" s="52" t="str">
        <f>IF('(6).Promotion Exam'!M65="","",'(6).Promotion Exam'!M65)</f>
        <v/>
      </c>
      <c r="AA65" s="53" t="str">
        <f>IF(B65="","",IF(P65="Incomplete","Incomplete",IF('(6).Promotion Exam'!N65="Change","Change",IF('(6).Promotion Exam'!N65="Stop","Stop",IF('(6).Promotion Exam'!N65="Incomplete","Incomplete",IF(COUNTBLANK(Q65:Z65)&gt;=1,"Incomplete",P65*20%+SUM(Q65:Z65)*80%))))))</f>
        <v/>
      </c>
      <c r="AB65" s="54" t="str">
        <f t="shared" si="8"/>
        <v/>
      </c>
      <c r="AC65" s="55" t="str">
        <f t="shared" si="9"/>
        <v/>
      </c>
      <c r="AD65" s="55" t="str">
        <f t="shared" si="10"/>
        <v/>
      </c>
      <c r="AE65" s="56" t="str">
        <f t="shared" si="11"/>
        <v/>
      </c>
      <c r="AF65" s="57" t="str">
        <f t="shared" si="12"/>
        <v/>
      </c>
      <c r="AG65" s="97" t="str">
        <f t="shared" si="13"/>
        <v/>
      </c>
      <c r="AH65" s="58" t="str">
        <f t="shared" si="14"/>
        <v/>
      </c>
      <c r="AI65" s="58" t="str">
        <f t="shared" si="15"/>
        <v/>
      </c>
      <c r="AJ65" s="59"/>
    </row>
    <row r="66" spans="1:36" ht="15.95" customHeight="1">
      <c r="A66" s="66">
        <v>24</v>
      </c>
      <c r="B66" s="63" t="str">
        <f>IF('(6).Promotion Exam'!B66="","",'(6).Promotion Exam'!B66)</f>
        <v/>
      </c>
      <c r="C66" s="67" t="str">
        <f>IF('(6).Promotion Exam'!C66="","",'(6).Promotion Exam'!C66)</f>
        <v/>
      </c>
      <c r="D66" s="51" t="str">
        <f>IF('(4).Midterm Results'!D66="","",'(4).Midterm Results'!D66)</f>
        <v/>
      </c>
      <c r="E66" s="52" t="str">
        <f>IF('(4).Midterm Results'!E66="","",'(4).Midterm Results'!E66)</f>
        <v/>
      </c>
      <c r="F66" s="52" t="str">
        <f>IF('(4).Midterm Results'!F66="","",'(4).Midterm Results'!F66)</f>
        <v/>
      </c>
      <c r="G66" s="52" t="str">
        <f>IF('(4).Midterm Results'!G66="","",'(4).Midterm Results'!G66)</f>
        <v/>
      </c>
      <c r="H66" s="52" t="str">
        <f>IF('(4).Midterm Results'!H66="","",'(4).Midterm Results'!H66)</f>
        <v/>
      </c>
      <c r="I66" s="52" t="str">
        <f>IF('(4).Midterm Results'!I66="","",'(4).Midterm Results'!I66)</f>
        <v/>
      </c>
      <c r="J66" s="52" t="str">
        <f>IF('(4).Midterm Results'!J66="","",'(4).Midterm Results'!J66)</f>
        <v/>
      </c>
      <c r="K66" s="52" t="str">
        <f>IF('(4).Midterm Results'!K66="","",'(4).Midterm Results'!K66)</f>
        <v/>
      </c>
      <c r="L66" s="52" t="str">
        <f>IF('(4).Midterm Results'!L66="","",'(4).Midterm Results'!L66)</f>
        <v/>
      </c>
      <c r="M66" s="52" t="str">
        <f>IF('(4).Midterm Results'!M66="","",'(4).Midterm Results'!M66)</f>
        <v/>
      </c>
      <c r="N66" s="52" t="str">
        <f>IF('(4).Midterm Results'!N66="","",'(4).Midterm Results'!N66)</f>
        <v/>
      </c>
      <c r="O66" s="53" t="str">
        <f>IF('(4).Midterm Results'!O66="","",'(4).Midterm Results'!O66)</f>
        <v/>
      </c>
      <c r="P66" s="51" t="str">
        <f>IF('(5).Promotion Daily'!AH66="","",'(5).Promotion Daily'!AH66)</f>
        <v/>
      </c>
      <c r="Q66" s="52" t="str">
        <f>IF('(6).Promotion Exam'!D66="","",'(6).Promotion Exam'!D66)</f>
        <v/>
      </c>
      <c r="R66" s="52" t="str">
        <f>IF('(6).Promotion Exam'!E66="","",'(6).Promotion Exam'!E66)</f>
        <v/>
      </c>
      <c r="S66" s="52" t="str">
        <f>IF('(6).Promotion Exam'!F66="","",'(6).Promotion Exam'!F66)</f>
        <v/>
      </c>
      <c r="T66" s="52" t="str">
        <f>IF('(6).Promotion Exam'!G66="","",'(6).Promotion Exam'!G66)</f>
        <v/>
      </c>
      <c r="U66" s="52" t="str">
        <f>IF('(6).Promotion Exam'!H66="","",'(6).Promotion Exam'!H66)</f>
        <v/>
      </c>
      <c r="V66" s="52" t="str">
        <f>IF('(6).Promotion Exam'!I66="","",'(6).Promotion Exam'!I66)</f>
        <v/>
      </c>
      <c r="W66" s="52" t="str">
        <f>IF('(6).Promotion Exam'!J66="","",'(6).Promotion Exam'!J66)</f>
        <v/>
      </c>
      <c r="X66" s="52" t="str">
        <f>IF('(6).Promotion Exam'!K66="","",'(6).Promotion Exam'!K66)</f>
        <v/>
      </c>
      <c r="Y66" s="52" t="str">
        <f>IF('(6).Promotion Exam'!L66="","",'(6).Promotion Exam'!L66)</f>
        <v/>
      </c>
      <c r="Z66" s="52" t="str">
        <f>IF('(6).Promotion Exam'!M66="","",'(6).Promotion Exam'!M66)</f>
        <v/>
      </c>
      <c r="AA66" s="53" t="str">
        <f>IF(B66="","",IF(P66="Incomplete","Incomplete",IF('(6).Promotion Exam'!N66="Change","Change",IF('(6).Promotion Exam'!N66="Stop","Stop",IF('(6).Promotion Exam'!N66="Incomplete","Incomplete",IF(COUNTBLANK(Q66:Z66)&gt;=1,"Incomplete",P66*20%+SUM(Q66:Z66)*80%))))))</f>
        <v/>
      </c>
      <c r="AB66" s="54" t="str">
        <f t="shared" si="8"/>
        <v/>
      </c>
      <c r="AC66" s="55" t="str">
        <f t="shared" si="9"/>
        <v/>
      </c>
      <c r="AD66" s="55" t="str">
        <f t="shared" si="10"/>
        <v/>
      </c>
      <c r="AE66" s="56" t="str">
        <f t="shared" si="11"/>
        <v/>
      </c>
      <c r="AF66" s="57" t="str">
        <f t="shared" si="12"/>
        <v/>
      </c>
      <c r="AG66" s="97" t="str">
        <f t="shared" si="13"/>
        <v/>
      </c>
      <c r="AH66" s="58" t="str">
        <f t="shared" si="14"/>
        <v/>
      </c>
      <c r="AI66" s="58" t="str">
        <f t="shared" si="15"/>
        <v/>
      </c>
      <c r="AJ66" s="59"/>
    </row>
    <row r="67" spans="1:36" ht="15.95" customHeight="1">
      <c r="A67" s="66">
        <v>25</v>
      </c>
      <c r="B67" s="63" t="str">
        <f>IF('(6).Promotion Exam'!B67="","",'(6).Promotion Exam'!B67)</f>
        <v/>
      </c>
      <c r="C67" s="67" t="str">
        <f>IF('(6).Promotion Exam'!C67="","",'(6).Promotion Exam'!C67)</f>
        <v/>
      </c>
      <c r="D67" s="51" t="str">
        <f>IF('(4).Midterm Results'!D67="","",'(4).Midterm Results'!D67)</f>
        <v/>
      </c>
      <c r="E67" s="52" t="str">
        <f>IF('(4).Midterm Results'!E67="","",'(4).Midterm Results'!E67)</f>
        <v/>
      </c>
      <c r="F67" s="52" t="str">
        <f>IF('(4).Midterm Results'!F67="","",'(4).Midterm Results'!F67)</f>
        <v/>
      </c>
      <c r="G67" s="52" t="str">
        <f>IF('(4).Midterm Results'!G67="","",'(4).Midterm Results'!G67)</f>
        <v/>
      </c>
      <c r="H67" s="52" t="str">
        <f>IF('(4).Midterm Results'!H67="","",'(4).Midterm Results'!H67)</f>
        <v/>
      </c>
      <c r="I67" s="52" t="str">
        <f>IF('(4).Midterm Results'!I67="","",'(4).Midterm Results'!I67)</f>
        <v/>
      </c>
      <c r="J67" s="52" t="str">
        <f>IF('(4).Midterm Results'!J67="","",'(4).Midterm Results'!J67)</f>
        <v/>
      </c>
      <c r="K67" s="52" t="str">
        <f>IF('(4).Midterm Results'!K67="","",'(4).Midterm Results'!K67)</f>
        <v/>
      </c>
      <c r="L67" s="52" t="str">
        <f>IF('(4).Midterm Results'!L67="","",'(4).Midterm Results'!L67)</f>
        <v/>
      </c>
      <c r="M67" s="52" t="str">
        <f>IF('(4).Midterm Results'!M67="","",'(4).Midterm Results'!M67)</f>
        <v/>
      </c>
      <c r="N67" s="52" t="str">
        <f>IF('(4).Midterm Results'!N67="","",'(4).Midterm Results'!N67)</f>
        <v/>
      </c>
      <c r="O67" s="53" t="str">
        <f>IF('(4).Midterm Results'!O67="","",'(4).Midterm Results'!O67)</f>
        <v/>
      </c>
      <c r="P67" s="51" t="str">
        <f>IF('(5).Promotion Daily'!AH67="","",'(5).Promotion Daily'!AH67)</f>
        <v/>
      </c>
      <c r="Q67" s="52" t="str">
        <f>IF('(6).Promotion Exam'!D67="","",'(6).Promotion Exam'!D67)</f>
        <v/>
      </c>
      <c r="R67" s="52" t="str">
        <f>IF('(6).Promotion Exam'!E67="","",'(6).Promotion Exam'!E67)</f>
        <v/>
      </c>
      <c r="S67" s="52" t="str">
        <f>IF('(6).Promotion Exam'!F67="","",'(6).Promotion Exam'!F67)</f>
        <v/>
      </c>
      <c r="T67" s="52" t="str">
        <f>IF('(6).Promotion Exam'!G67="","",'(6).Promotion Exam'!G67)</f>
        <v/>
      </c>
      <c r="U67" s="52" t="str">
        <f>IF('(6).Promotion Exam'!H67="","",'(6).Promotion Exam'!H67)</f>
        <v/>
      </c>
      <c r="V67" s="52" t="str">
        <f>IF('(6).Promotion Exam'!I67="","",'(6).Promotion Exam'!I67)</f>
        <v/>
      </c>
      <c r="W67" s="52" t="str">
        <f>IF('(6).Promotion Exam'!J67="","",'(6).Promotion Exam'!J67)</f>
        <v/>
      </c>
      <c r="X67" s="52" t="str">
        <f>IF('(6).Promotion Exam'!K67="","",'(6).Promotion Exam'!K67)</f>
        <v/>
      </c>
      <c r="Y67" s="52" t="str">
        <f>IF('(6).Promotion Exam'!L67="","",'(6).Promotion Exam'!L67)</f>
        <v/>
      </c>
      <c r="Z67" s="52" t="str">
        <f>IF('(6).Promotion Exam'!M67="","",'(6).Promotion Exam'!M67)</f>
        <v/>
      </c>
      <c r="AA67" s="53" t="str">
        <f>IF(B67="","",IF(P67="Incomplete","Incomplete",IF('(6).Promotion Exam'!N67="Change","Change",IF('(6).Promotion Exam'!N67="Stop","Stop",IF('(6).Promotion Exam'!N67="Incomplete","Incomplete",IF(COUNTBLANK(Q67:Z67)&gt;=1,"Incomplete",P67*20%+SUM(Q67:Z67)*80%))))))</f>
        <v/>
      </c>
      <c r="AB67" s="54" t="str">
        <f t="shared" si="8"/>
        <v/>
      </c>
      <c r="AC67" s="55" t="str">
        <f t="shared" si="9"/>
        <v/>
      </c>
      <c r="AD67" s="55" t="str">
        <f t="shared" si="10"/>
        <v/>
      </c>
      <c r="AE67" s="56" t="str">
        <f t="shared" si="11"/>
        <v/>
      </c>
      <c r="AF67" s="57" t="str">
        <f t="shared" si="12"/>
        <v/>
      </c>
      <c r="AG67" s="97" t="str">
        <f t="shared" si="13"/>
        <v/>
      </c>
      <c r="AH67" s="58" t="str">
        <f t="shared" si="14"/>
        <v/>
      </c>
      <c r="AI67" s="58" t="str">
        <f t="shared" si="15"/>
        <v/>
      </c>
      <c r="AJ67" s="59"/>
    </row>
    <row r="68" spans="1:36" ht="15.95" customHeight="1">
      <c r="A68" s="66">
        <v>26</v>
      </c>
      <c r="B68" s="63" t="str">
        <f>IF('(6).Promotion Exam'!B68="","",'(6).Promotion Exam'!B68)</f>
        <v/>
      </c>
      <c r="C68" s="67" t="str">
        <f>IF('(6).Promotion Exam'!C68="","",'(6).Promotion Exam'!C68)</f>
        <v/>
      </c>
      <c r="D68" s="51" t="str">
        <f>IF('(4).Midterm Results'!D68="","",'(4).Midterm Results'!D68)</f>
        <v/>
      </c>
      <c r="E68" s="52" t="str">
        <f>IF('(4).Midterm Results'!E68="","",'(4).Midterm Results'!E68)</f>
        <v/>
      </c>
      <c r="F68" s="52" t="str">
        <f>IF('(4).Midterm Results'!F68="","",'(4).Midterm Results'!F68)</f>
        <v/>
      </c>
      <c r="G68" s="52" t="str">
        <f>IF('(4).Midterm Results'!G68="","",'(4).Midterm Results'!G68)</f>
        <v/>
      </c>
      <c r="H68" s="52" t="str">
        <f>IF('(4).Midterm Results'!H68="","",'(4).Midterm Results'!H68)</f>
        <v/>
      </c>
      <c r="I68" s="52" t="str">
        <f>IF('(4).Midterm Results'!I68="","",'(4).Midterm Results'!I68)</f>
        <v/>
      </c>
      <c r="J68" s="52" t="str">
        <f>IF('(4).Midterm Results'!J68="","",'(4).Midterm Results'!J68)</f>
        <v/>
      </c>
      <c r="K68" s="52" t="str">
        <f>IF('(4).Midterm Results'!K68="","",'(4).Midterm Results'!K68)</f>
        <v/>
      </c>
      <c r="L68" s="52" t="str">
        <f>IF('(4).Midterm Results'!L68="","",'(4).Midterm Results'!L68)</f>
        <v/>
      </c>
      <c r="M68" s="52" t="str">
        <f>IF('(4).Midterm Results'!M68="","",'(4).Midterm Results'!M68)</f>
        <v/>
      </c>
      <c r="N68" s="52" t="str">
        <f>IF('(4).Midterm Results'!N68="","",'(4).Midterm Results'!N68)</f>
        <v/>
      </c>
      <c r="O68" s="53" t="str">
        <f>IF('(4).Midterm Results'!O68="","",'(4).Midterm Results'!O68)</f>
        <v/>
      </c>
      <c r="P68" s="51" t="str">
        <f>IF('(5).Promotion Daily'!AH68="","",'(5).Promotion Daily'!AH68)</f>
        <v/>
      </c>
      <c r="Q68" s="52" t="str">
        <f>IF('(6).Promotion Exam'!D68="","",'(6).Promotion Exam'!D68)</f>
        <v/>
      </c>
      <c r="R68" s="52" t="str">
        <f>IF('(6).Promotion Exam'!E68="","",'(6).Promotion Exam'!E68)</f>
        <v/>
      </c>
      <c r="S68" s="52" t="str">
        <f>IF('(6).Promotion Exam'!F68="","",'(6).Promotion Exam'!F68)</f>
        <v/>
      </c>
      <c r="T68" s="52" t="str">
        <f>IF('(6).Promotion Exam'!G68="","",'(6).Promotion Exam'!G68)</f>
        <v/>
      </c>
      <c r="U68" s="52" t="str">
        <f>IF('(6).Promotion Exam'!H68="","",'(6).Promotion Exam'!H68)</f>
        <v/>
      </c>
      <c r="V68" s="52" t="str">
        <f>IF('(6).Promotion Exam'!I68="","",'(6).Promotion Exam'!I68)</f>
        <v/>
      </c>
      <c r="W68" s="52" t="str">
        <f>IF('(6).Promotion Exam'!J68="","",'(6).Promotion Exam'!J68)</f>
        <v/>
      </c>
      <c r="X68" s="52" t="str">
        <f>IF('(6).Promotion Exam'!K68="","",'(6).Promotion Exam'!K68)</f>
        <v/>
      </c>
      <c r="Y68" s="52" t="str">
        <f>IF('(6).Promotion Exam'!L68="","",'(6).Promotion Exam'!L68)</f>
        <v/>
      </c>
      <c r="Z68" s="52" t="str">
        <f>IF('(6).Promotion Exam'!M68="","",'(6).Promotion Exam'!M68)</f>
        <v/>
      </c>
      <c r="AA68" s="53" t="str">
        <f>IF(B68="","",IF(P68="Incomplete","Incomplete",IF('(6).Promotion Exam'!N68="Change","Change",IF('(6).Promotion Exam'!N68="Stop","Stop",IF('(6).Promotion Exam'!N68="Incomplete","Incomplete",IF(COUNTBLANK(Q68:Z68)&gt;=1,"Incomplete",P68*20%+SUM(Q68:Z68)*80%))))))</f>
        <v/>
      </c>
      <c r="AB68" s="54" t="str">
        <f t="shared" si="8"/>
        <v/>
      </c>
      <c r="AC68" s="55" t="str">
        <f t="shared" si="9"/>
        <v/>
      </c>
      <c r="AD68" s="55" t="str">
        <f t="shared" si="10"/>
        <v/>
      </c>
      <c r="AE68" s="56" t="str">
        <f t="shared" si="11"/>
        <v/>
      </c>
      <c r="AF68" s="57" t="str">
        <f t="shared" si="12"/>
        <v/>
      </c>
      <c r="AG68" s="97" t="str">
        <f t="shared" si="13"/>
        <v/>
      </c>
      <c r="AH68" s="58" t="str">
        <f t="shared" si="14"/>
        <v/>
      </c>
      <c r="AI68" s="58" t="str">
        <f t="shared" si="15"/>
        <v/>
      </c>
      <c r="AJ68" s="59"/>
    </row>
    <row r="69" spans="1:36" ht="15.95" customHeight="1">
      <c r="A69" s="66">
        <v>27</v>
      </c>
      <c r="B69" s="63" t="str">
        <f>IF('(6).Promotion Exam'!B69="","",'(6).Promotion Exam'!B69)</f>
        <v/>
      </c>
      <c r="C69" s="67" t="str">
        <f>IF('(6).Promotion Exam'!C69="","",'(6).Promotion Exam'!C69)</f>
        <v/>
      </c>
      <c r="D69" s="51" t="str">
        <f>IF('(4).Midterm Results'!D69="","",'(4).Midterm Results'!D69)</f>
        <v/>
      </c>
      <c r="E69" s="52" t="str">
        <f>IF('(4).Midterm Results'!E69="","",'(4).Midterm Results'!E69)</f>
        <v/>
      </c>
      <c r="F69" s="52" t="str">
        <f>IF('(4).Midterm Results'!F69="","",'(4).Midterm Results'!F69)</f>
        <v/>
      </c>
      <c r="G69" s="52" t="str">
        <f>IF('(4).Midterm Results'!G69="","",'(4).Midterm Results'!G69)</f>
        <v/>
      </c>
      <c r="H69" s="52" t="str">
        <f>IF('(4).Midterm Results'!H69="","",'(4).Midterm Results'!H69)</f>
        <v/>
      </c>
      <c r="I69" s="52" t="str">
        <f>IF('(4).Midterm Results'!I69="","",'(4).Midterm Results'!I69)</f>
        <v/>
      </c>
      <c r="J69" s="52" t="str">
        <f>IF('(4).Midterm Results'!J69="","",'(4).Midterm Results'!J69)</f>
        <v/>
      </c>
      <c r="K69" s="52" t="str">
        <f>IF('(4).Midterm Results'!K69="","",'(4).Midterm Results'!K69)</f>
        <v/>
      </c>
      <c r="L69" s="52" t="str">
        <f>IF('(4).Midterm Results'!L69="","",'(4).Midterm Results'!L69)</f>
        <v/>
      </c>
      <c r="M69" s="52" t="str">
        <f>IF('(4).Midterm Results'!M69="","",'(4).Midterm Results'!M69)</f>
        <v/>
      </c>
      <c r="N69" s="52" t="str">
        <f>IF('(4).Midterm Results'!N69="","",'(4).Midterm Results'!N69)</f>
        <v/>
      </c>
      <c r="O69" s="53" t="str">
        <f>IF('(4).Midterm Results'!O69="","",'(4).Midterm Results'!O69)</f>
        <v/>
      </c>
      <c r="P69" s="51" t="str">
        <f>IF('(5).Promotion Daily'!AH69="","",'(5).Promotion Daily'!AH69)</f>
        <v/>
      </c>
      <c r="Q69" s="52" t="str">
        <f>IF('(6).Promotion Exam'!D69="","",'(6).Promotion Exam'!D69)</f>
        <v/>
      </c>
      <c r="R69" s="52" t="str">
        <f>IF('(6).Promotion Exam'!E69="","",'(6).Promotion Exam'!E69)</f>
        <v/>
      </c>
      <c r="S69" s="52" t="str">
        <f>IF('(6).Promotion Exam'!F69="","",'(6).Promotion Exam'!F69)</f>
        <v/>
      </c>
      <c r="T69" s="52" t="str">
        <f>IF('(6).Promotion Exam'!G69="","",'(6).Promotion Exam'!G69)</f>
        <v/>
      </c>
      <c r="U69" s="52" t="str">
        <f>IF('(6).Promotion Exam'!H69="","",'(6).Promotion Exam'!H69)</f>
        <v/>
      </c>
      <c r="V69" s="52" t="str">
        <f>IF('(6).Promotion Exam'!I69="","",'(6).Promotion Exam'!I69)</f>
        <v/>
      </c>
      <c r="W69" s="52" t="str">
        <f>IF('(6).Promotion Exam'!J69="","",'(6).Promotion Exam'!J69)</f>
        <v/>
      </c>
      <c r="X69" s="52" t="str">
        <f>IF('(6).Promotion Exam'!K69="","",'(6).Promotion Exam'!K69)</f>
        <v/>
      </c>
      <c r="Y69" s="52" t="str">
        <f>IF('(6).Promotion Exam'!L69="","",'(6).Promotion Exam'!L69)</f>
        <v/>
      </c>
      <c r="Z69" s="52" t="str">
        <f>IF('(6).Promotion Exam'!M69="","",'(6).Promotion Exam'!M69)</f>
        <v/>
      </c>
      <c r="AA69" s="53" t="str">
        <f>IF(B69="","",IF(P69="Incomplete","Incomplete",IF('(6).Promotion Exam'!N69="Change","Change",IF('(6).Promotion Exam'!N69="Stop","Stop",IF('(6).Promotion Exam'!N69="Incomplete","Incomplete",IF(COUNTBLANK(Q69:Z69)&gt;=1,"Incomplete",P69*20%+SUM(Q69:Z69)*80%))))))</f>
        <v/>
      </c>
      <c r="AB69" s="54" t="str">
        <f t="shared" si="8"/>
        <v/>
      </c>
      <c r="AC69" s="55" t="str">
        <f t="shared" si="9"/>
        <v/>
      </c>
      <c r="AD69" s="55" t="str">
        <f t="shared" si="10"/>
        <v/>
      </c>
      <c r="AE69" s="56" t="str">
        <f t="shared" si="11"/>
        <v/>
      </c>
      <c r="AF69" s="57" t="str">
        <f t="shared" si="12"/>
        <v/>
      </c>
      <c r="AG69" s="97" t="str">
        <f t="shared" si="13"/>
        <v/>
      </c>
      <c r="AH69" s="58" t="str">
        <f t="shared" si="14"/>
        <v/>
      </c>
      <c r="AI69" s="58" t="str">
        <f t="shared" si="15"/>
        <v/>
      </c>
      <c r="AJ69" s="59"/>
    </row>
    <row r="70" spans="1:36" ht="15.95" customHeight="1">
      <c r="A70" s="66">
        <v>28</v>
      </c>
      <c r="B70" s="63" t="str">
        <f>IF('(6).Promotion Exam'!B70="","",'(6).Promotion Exam'!B70)</f>
        <v/>
      </c>
      <c r="C70" s="67" t="str">
        <f>IF('(6).Promotion Exam'!C70="","",'(6).Promotion Exam'!C70)</f>
        <v/>
      </c>
      <c r="D70" s="51" t="str">
        <f>IF('(4).Midterm Results'!D70="","",'(4).Midterm Results'!D70)</f>
        <v/>
      </c>
      <c r="E70" s="52" t="str">
        <f>IF('(4).Midterm Results'!E70="","",'(4).Midterm Results'!E70)</f>
        <v/>
      </c>
      <c r="F70" s="52" t="str">
        <f>IF('(4).Midterm Results'!F70="","",'(4).Midterm Results'!F70)</f>
        <v/>
      </c>
      <c r="G70" s="52" t="str">
        <f>IF('(4).Midterm Results'!G70="","",'(4).Midterm Results'!G70)</f>
        <v/>
      </c>
      <c r="H70" s="52" t="str">
        <f>IF('(4).Midterm Results'!H70="","",'(4).Midterm Results'!H70)</f>
        <v/>
      </c>
      <c r="I70" s="52" t="str">
        <f>IF('(4).Midterm Results'!I70="","",'(4).Midterm Results'!I70)</f>
        <v/>
      </c>
      <c r="J70" s="52" t="str">
        <f>IF('(4).Midterm Results'!J70="","",'(4).Midterm Results'!J70)</f>
        <v/>
      </c>
      <c r="K70" s="52" t="str">
        <f>IF('(4).Midterm Results'!K70="","",'(4).Midterm Results'!K70)</f>
        <v/>
      </c>
      <c r="L70" s="52" t="str">
        <f>IF('(4).Midterm Results'!L70="","",'(4).Midterm Results'!L70)</f>
        <v/>
      </c>
      <c r="M70" s="52" t="str">
        <f>IF('(4).Midterm Results'!M70="","",'(4).Midterm Results'!M70)</f>
        <v/>
      </c>
      <c r="N70" s="52" t="str">
        <f>IF('(4).Midterm Results'!N70="","",'(4).Midterm Results'!N70)</f>
        <v/>
      </c>
      <c r="O70" s="53" t="str">
        <f>IF('(4).Midterm Results'!O70="","",'(4).Midterm Results'!O70)</f>
        <v/>
      </c>
      <c r="P70" s="51" t="str">
        <f>IF('(5).Promotion Daily'!AH70="","",'(5).Promotion Daily'!AH70)</f>
        <v/>
      </c>
      <c r="Q70" s="52" t="str">
        <f>IF('(6).Promotion Exam'!D70="","",'(6).Promotion Exam'!D70)</f>
        <v/>
      </c>
      <c r="R70" s="52" t="str">
        <f>IF('(6).Promotion Exam'!E70="","",'(6).Promotion Exam'!E70)</f>
        <v/>
      </c>
      <c r="S70" s="52" t="str">
        <f>IF('(6).Promotion Exam'!F70="","",'(6).Promotion Exam'!F70)</f>
        <v/>
      </c>
      <c r="T70" s="52" t="str">
        <f>IF('(6).Promotion Exam'!G70="","",'(6).Promotion Exam'!G70)</f>
        <v/>
      </c>
      <c r="U70" s="52" t="str">
        <f>IF('(6).Promotion Exam'!H70="","",'(6).Promotion Exam'!H70)</f>
        <v/>
      </c>
      <c r="V70" s="52" t="str">
        <f>IF('(6).Promotion Exam'!I70="","",'(6).Promotion Exam'!I70)</f>
        <v/>
      </c>
      <c r="W70" s="52" t="str">
        <f>IF('(6).Promotion Exam'!J70="","",'(6).Promotion Exam'!J70)</f>
        <v/>
      </c>
      <c r="X70" s="52" t="str">
        <f>IF('(6).Promotion Exam'!K70="","",'(6).Promotion Exam'!K70)</f>
        <v/>
      </c>
      <c r="Y70" s="52" t="str">
        <f>IF('(6).Promotion Exam'!L70="","",'(6).Promotion Exam'!L70)</f>
        <v/>
      </c>
      <c r="Z70" s="52" t="str">
        <f>IF('(6).Promotion Exam'!M70="","",'(6).Promotion Exam'!M70)</f>
        <v/>
      </c>
      <c r="AA70" s="53" t="str">
        <f>IF(B70="","",IF(P70="Incomplete","Incomplete",IF('(6).Promotion Exam'!N70="Change","Change",IF('(6).Promotion Exam'!N70="Stop","Stop",IF('(6).Promotion Exam'!N70="Incomplete","Incomplete",IF(COUNTBLANK(Q70:Z70)&gt;=1,"Incomplete",P70*20%+SUM(Q70:Z70)*80%))))))</f>
        <v/>
      </c>
      <c r="AB70" s="54" t="str">
        <f t="shared" si="8"/>
        <v/>
      </c>
      <c r="AC70" s="55" t="str">
        <f t="shared" si="9"/>
        <v/>
      </c>
      <c r="AD70" s="55" t="str">
        <f t="shared" si="10"/>
        <v/>
      </c>
      <c r="AE70" s="56" t="str">
        <f t="shared" si="11"/>
        <v/>
      </c>
      <c r="AF70" s="57" t="str">
        <f t="shared" si="12"/>
        <v/>
      </c>
      <c r="AG70" s="97" t="str">
        <f t="shared" si="13"/>
        <v/>
      </c>
      <c r="AH70" s="58" t="str">
        <f t="shared" si="14"/>
        <v/>
      </c>
      <c r="AI70" s="58" t="str">
        <f t="shared" si="15"/>
        <v/>
      </c>
      <c r="AJ70" s="59"/>
    </row>
    <row r="71" spans="1:36" ht="15.95" customHeight="1">
      <c r="A71" s="66">
        <v>29</v>
      </c>
      <c r="B71" s="63" t="str">
        <f>IF('(6).Promotion Exam'!B71="","",'(6).Promotion Exam'!B71)</f>
        <v/>
      </c>
      <c r="C71" s="67" t="str">
        <f>IF('(6).Promotion Exam'!C71="","",'(6).Promotion Exam'!C71)</f>
        <v/>
      </c>
      <c r="D71" s="51" t="str">
        <f>IF('(4).Midterm Results'!D71="","",'(4).Midterm Results'!D71)</f>
        <v/>
      </c>
      <c r="E71" s="52" t="str">
        <f>IF('(4).Midterm Results'!E71="","",'(4).Midterm Results'!E71)</f>
        <v/>
      </c>
      <c r="F71" s="52" t="str">
        <f>IF('(4).Midterm Results'!F71="","",'(4).Midterm Results'!F71)</f>
        <v/>
      </c>
      <c r="G71" s="52" t="str">
        <f>IF('(4).Midterm Results'!G71="","",'(4).Midterm Results'!G71)</f>
        <v/>
      </c>
      <c r="H71" s="52" t="str">
        <f>IF('(4).Midterm Results'!H71="","",'(4).Midterm Results'!H71)</f>
        <v/>
      </c>
      <c r="I71" s="52" t="str">
        <f>IF('(4).Midterm Results'!I71="","",'(4).Midterm Results'!I71)</f>
        <v/>
      </c>
      <c r="J71" s="52" t="str">
        <f>IF('(4).Midterm Results'!J71="","",'(4).Midterm Results'!J71)</f>
        <v/>
      </c>
      <c r="K71" s="52" t="str">
        <f>IF('(4).Midterm Results'!K71="","",'(4).Midterm Results'!K71)</f>
        <v/>
      </c>
      <c r="L71" s="52" t="str">
        <f>IF('(4).Midterm Results'!L71="","",'(4).Midterm Results'!L71)</f>
        <v/>
      </c>
      <c r="M71" s="52" t="str">
        <f>IF('(4).Midterm Results'!M71="","",'(4).Midterm Results'!M71)</f>
        <v/>
      </c>
      <c r="N71" s="52" t="str">
        <f>IF('(4).Midterm Results'!N71="","",'(4).Midterm Results'!N71)</f>
        <v/>
      </c>
      <c r="O71" s="53" t="str">
        <f>IF('(4).Midterm Results'!O71="","",'(4).Midterm Results'!O71)</f>
        <v/>
      </c>
      <c r="P71" s="51" t="str">
        <f>IF('(5).Promotion Daily'!AH71="","",'(5).Promotion Daily'!AH71)</f>
        <v/>
      </c>
      <c r="Q71" s="52" t="str">
        <f>IF('(6).Promotion Exam'!D71="","",'(6).Promotion Exam'!D71)</f>
        <v/>
      </c>
      <c r="R71" s="52" t="str">
        <f>IF('(6).Promotion Exam'!E71="","",'(6).Promotion Exam'!E71)</f>
        <v/>
      </c>
      <c r="S71" s="52" t="str">
        <f>IF('(6).Promotion Exam'!F71="","",'(6).Promotion Exam'!F71)</f>
        <v/>
      </c>
      <c r="T71" s="52" t="str">
        <f>IF('(6).Promotion Exam'!G71="","",'(6).Promotion Exam'!G71)</f>
        <v/>
      </c>
      <c r="U71" s="52" t="str">
        <f>IF('(6).Promotion Exam'!H71="","",'(6).Promotion Exam'!H71)</f>
        <v/>
      </c>
      <c r="V71" s="52" t="str">
        <f>IF('(6).Promotion Exam'!I71="","",'(6).Promotion Exam'!I71)</f>
        <v/>
      </c>
      <c r="W71" s="52" t="str">
        <f>IF('(6).Promotion Exam'!J71="","",'(6).Promotion Exam'!J71)</f>
        <v/>
      </c>
      <c r="X71" s="52" t="str">
        <f>IF('(6).Promotion Exam'!K71="","",'(6).Promotion Exam'!K71)</f>
        <v/>
      </c>
      <c r="Y71" s="52" t="str">
        <f>IF('(6).Promotion Exam'!L71="","",'(6).Promotion Exam'!L71)</f>
        <v/>
      </c>
      <c r="Z71" s="52" t="str">
        <f>IF('(6).Promotion Exam'!M71="","",'(6).Promotion Exam'!M71)</f>
        <v/>
      </c>
      <c r="AA71" s="53" t="str">
        <f>IF(B71="","",IF(P71="Incomplete","Incomplete",IF('(6).Promotion Exam'!N71="Change","Change",IF('(6).Promotion Exam'!N71="Stop","Stop",IF('(6).Promotion Exam'!N71="Incomplete","Incomplete",IF(COUNTBLANK(Q71:Z71)&gt;=1,"Incomplete",P71*20%+SUM(Q71:Z71)*80%))))))</f>
        <v/>
      </c>
      <c r="AB71" s="54" t="str">
        <f t="shared" si="8"/>
        <v/>
      </c>
      <c r="AC71" s="55" t="str">
        <f t="shared" si="9"/>
        <v/>
      </c>
      <c r="AD71" s="55" t="str">
        <f t="shared" si="10"/>
        <v/>
      </c>
      <c r="AE71" s="56" t="str">
        <f t="shared" si="11"/>
        <v/>
      </c>
      <c r="AF71" s="57" t="str">
        <f t="shared" si="12"/>
        <v/>
      </c>
      <c r="AG71" s="97" t="str">
        <f t="shared" si="13"/>
        <v/>
      </c>
      <c r="AH71" s="58" t="str">
        <f t="shared" si="14"/>
        <v/>
      </c>
      <c r="AI71" s="58" t="str">
        <f t="shared" si="15"/>
        <v/>
      </c>
      <c r="AJ71" s="59"/>
    </row>
    <row r="72" spans="1:36" ht="15.95" customHeight="1">
      <c r="A72" s="66">
        <v>30</v>
      </c>
      <c r="B72" s="63" t="str">
        <f>IF('(6).Promotion Exam'!B72="","",'(6).Promotion Exam'!B72)</f>
        <v/>
      </c>
      <c r="C72" s="67" t="str">
        <f>IF('(6).Promotion Exam'!C72="","",'(6).Promotion Exam'!C72)</f>
        <v/>
      </c>
      <c r="D72" s="51" t="str">
        <f>IF('(4).Midterm Results'!D72="","",'(4).Midterm Results'!D72)</f>
        <v/>
      </c>
      <c r="E72" s="52" t="str">
        <f>IF('(4).Midterm Results'!E72="","",'(4).Midterm Results'!E72)</f>
        <v/>
      </c>
      <c r="F72" s="52" t="str">
        <f>IF('(4).Midterm Results'!F72="","",'(4).Midterm Results'!F72)</f>
        <v/>
      </c>
      <c r="G72" s="52" t="str">
        <f>IF('(4).Midterm Results'!G72="","",'(4).Midterm Results'!G72)</f>
        <v/>
      </c>
      <c r="H72" s="52" t="str">
        <f>IF('(4).Midterm Results'!H72="","",'(4).Midterm Results'!H72)</f>
        <v/>
      </c>
      <c r="I72" s="52" t="str">
        <f>IF('(4).Midterm Results'!I72="","",'(4).Midterm Results'!I72)</f>
        <v/>
      </c>
      <c r="J72" s="52" t="str">
        <f>IF('(4).Midterm Results'!J72="","",'(4).Midterm Results'!J72)</f>
        <v/>
      </c>
      <c r="K72" s="52" t="str">
        <f>IF('(4).Midterm Results'!K72="","",'(4).Midterm Results'!K72)</f>
        <v/>
      </c>
      <c r="L72" s="52" t="str">
        <f>IF('(4).Midterm Results'!L72="","",'(4).Midterm Results'!L72)</f>
        <v/>
      </c>
      <c r="M72" s="52" t="str">
        <f>IF('(4).Midterm Results'!M72="","",'(4).Midterm Results'!M72)</f>
        <v/>
      </c>
      <c r="N72" s="52" t="str">
        <f>IF('(4).Midterm Results'!N72="","",'(4).Midterm Results'!N72)</f>
        <v/>
      </c>
      <c r="O72" s="53" t="str">
        <f>IF('(4).Midterm Results'!O72="","",'(4).Midterm Results'!O72)</f>
        <v/>
      </c>
      <c r="P72" s="51" t="str">
        <f>IF('(5).Promotion Daily'!AH72="","",'(5).Promotion Daily'!AH72)</f>
        <v/>
      </c>
      <c r="Q72" s="52" t="str">
        <f>IF('(6).Promotion Exam'!D72="","",'(6).Promotion Exam'!D72)</f>
        <v/>
      </c>
      <c r="R72" s="52" t="str">
        <f>IF('(6).Promotion Exam'!E72="","",'(6).Promotion Exam'!E72)</f>
        <v/>
      </c>
      <c r="S72" s="52" t="str">
        <f>IF('(6).Promotion Exam'!F72="","",'(6).Promotion Exam'!F72)</f>
        <v/>
      </c>
      <c r="T72" s="52" t="str">
        <f>IF('(6).Promotion Exam'!G72="","",'(6).Promotion Exam'!G72)</f>
        <v/>
      </c>
      <c r="U72" s="52" t="str">
        <f>IF('(6).Promotion Exam'!H72="","",'(6).Promotion Exam'!H72)</f>
        <v/>
      </c>
      <c r="V72" s="52" t="str">
        <f>IF('(6).Promotion Exam'!I72="","",'(6).Promotion Exam'!I72)</f>
        <v/>
      </c>
      <c r="W72" s="52" t="str">
        <f>IF('(6).Promotion Exam'!J72="","",'(6).Promotion Exam'!J72)</f>
        <v/>
      </c>
      <c r="X72" s="52" t="str">
        <f>IF('(6).Promotion Exam'!K72="","",'(6).Promotion Exam'!K72)</f>
        <v/>
      </c>
      <c r="Y72" s="52" t="str">
        <f>IF('(6).Promotion Exam'!L72="","",'(6).Promotion Exam'!L72)</f>
        <v/>
      </c>
      <c r="Z72" s="52" t="str">
        <f>IF('(6).Promotion Exam'!M72="","",'(6).Promotion Exam'!M72)</f>
        <v/>
      </c>
      <c r="AA72" s="53" t="str">
        <f>IF(B72="","",IF(P72="Incomplete","Incomplete",IF('(6).Promotion Exam'!N72="Change","Change",IF('(6).Promotion Exam'!N72="Stop","Stop",IF('(6).Promotion Exam'!N72="Incomplete","Incomplete",IF(COUNTBLANK(Q72:Z72)&gt;=1,"Incomplete",P72*20%+SUM(Q72:Z72)*80%))))))</f>
        <v/>
      </c>
      <c r="AB72" s="54" t="str">
        <f t="shared" si="8"/>
        <v/>
      </c>
      <c r="AC72" s="55" t="str">
        <f t="shared" si="9"/>
        <v/>
      </c>
      <c r="AD72" s="55" t="str">
        <f t="shared" si="10"/>
        <v/>
      </c>
      <c r="AE72" s="56" t="str">
        <f t="shared" si="11"/>
        <v/>
      </c>
      <c r="AF72" s="57" t="str">
        <f t="shared" si="12"/>
        <v/>
      </c>
      <c r="AG72" s="97" t="str">
        <f t="shared" si="13"/>
        <v/>
      </c>
      <c r="AH72" s="58" t="str">
        <f t="shared" si="14"/>
        <v/>
      </c>
      <c r="AI72" s="58" t="str">
        <f t="shared" si="15"/>
        <v/>
      </c>
      <c r="AJ72" s="59"/>
    </row>
    <row r="73" spans="1:36" ht="15.95" customHeight="1">
      <c r="A73" s="18" t="s">
        <v>0</v>
      </c>
      <c r="B73" s="19">
        <f>'(6).Promotion Exam'!B73</f>
        <v>0</v>
      </c>
      <c r="C73" s="60"/>
      <c r="D73" s="222" t="s">
        <v>94</v>
      </c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F73" s="5">
        <f>B73</f>
        <v>0</v>
      </c>
      <c r="AG73" s="5" t="str">
        <f>IF(AH73="12:30-3:00","WK",IF(AH73="3:00-5:30","WK","MF"))</f>
        <v>MF</v>
      </c>
      <c r="AH73" s="5">
        <f>B75</f>
        <v>0</v>
      </c>
      <c r="AI73" s="5">
        <f>B77</f>
        <v>0</v>
      </c>
    </row>
    <row r="74" spans="1:36" ht="15.95" customHeight="1">
      <c r="A74" s="18" t="s">
        <v>1</v>
      </c>
      <c r="B74" s="19">
        <f>'(6).Promotion Exam'!B74</f>
        <v>0</v>
      </c>
      <c r="C74" s="60"/>
      <c r="D74" s="222" t="str">
        <f>'(3).Midterm Exam'!D75</f>
        <v>FEBRUARY - JULY 2026</v>
      </c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72"/>
      <c r="AB74" s="5"/>
    </row>
    <row r="75" spans="1:36" ht="15.95" customHeight="1">
      <c r="A75" s="18" t="s">
        <v>2</v>
      </c>
      <c r="B75" s="19">
        <f>'(6).Promotion Exam'!B75</f>
        <v>0</v>
      </c>
      <c r="C75" s="60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3"/>
      <c r="AB75" s="5"/>
    </row>
    <row r="76" spans="1:36" ht="15.95" customHeight="1">
      <c r="A76" s="18" t="s">
        <v>3</v>
      </c>
      <c r="B76" s="19">
        <f>'(6).Promotion Exam'!B76</f>
        <v>0</v>
      </c>
      <c r="C76" s="60"/>
      <c r="D76" s="92" t="s">
        <v>19</v>
      </c>
      <c r="E76" s="268" t="s">
        <v>93</v>
      </c>
      <c r="F76" s="269"/>
      <c r="G76" s="269"/>
      <c r="H76" s="269"/>
      <c r="I76" s="269"/>
      <c r="J76" s="269"/>
      <c r="K76" s="269"/>
      <c r="L76" s="269"/>
      <c r="M76" s="269"/>
      <c r="N76" s="270"/>
      <c r="O76" s="93" t="s">
        <v>95</v>
      </c>
      <c r="P76" s="92" t="s">
        <v>31</v>
      </c>
      <c r="Q76" s="268" t="s">
        <v>96</v>
      </c>
      <c r="R76" s="269"/>
      <c r="S76" s="269"/>
      <c r="T76" s="269"/>
      <c r="U76" s="269"/>
      <c r="V76" s="269"/>
      <c r="W76" s="269"/>
      <c r="X76" s="269"/>
      <c r="Y76" s="269"/>
      <c r="Z76" s="270"/>
      <c r="AA76" s="93" t="s">
        <v>95</v>
      </c>
      <c r="AB76" s="252" t="s">
        <v>27</v>
      </c>
      <c r="AC76" s="253"/>
      <c r="AD76" s="253"/>
      <c r="AE76" s="254"/>
      <c r="AF76" s="255" t="s">
        <v>20</v>
      </c>
      <c r="AG76" s="256"/>
      <c r="AH76" s="256"/>
      <c r="AI76" s="256"/>
      <c r="AJ76" s="257"/>
    </row>
    <row r="77" spans="1:36" ht="15.95" customHeight="1">
      <c r="A77" s="18" t="s">
        <v>4</v>
      </c>
      <c r="B77" s="19">
        <f>'(6).Promotion Exam'!B77</f>
        <v>0</v>
      </c>
      <c r="C77" s="60"/>
      <c r="D77" s="95" t="s">
        <v>18</v>
      </c>
      <c r="E77" s="91" t="str">
        <f>IF(OR($B74="K5",$B74="K6",$B74="K7",$B74="K8",$B74="K9",$B74="K10"),"Lis","ULC")</f>
        <v>ULC</v>
      </c>
      <c r="F77" s="91" t="str">
        <f>IF(OR($B74="K5",$B74="K6",$B74="K7",$B74="K8",$B74="K9",$B74="K10"),"Spk","Alp.N")</f>
        <v>Alp.N</v>
      </c>
      <c r="G77" s="91" t="str">
        <f>IF(OR($B74="K5",$B74="K6",$B74="K7",$B74="K8",$B74="K9",$B74="K10"),"Rea","Alp.S")</f>
        <v>Alp.S</v>
      </c>
      <c r="H77" s="91" t="str">
        <f>IF(OR($B74="K5",$B74="K6",$B74="K7",$B74="K8",$B74="K9",$B74="K10"),"Wri","Voc")</f>
        <v>Voc</v>
      </c>
      <c r="I77" s="91" t="str">
        <f>IF(OR($B74="K5",$B74="K6",$B74="K7",$B74="K8",$B74="K9",$B74="K10"),"Gra","Spr")</f>
        <v>Spr</v>
      </c>
      <c r="J77" s="91" t="str">
        <f>IF(OR($B74="K5",$B74="K6",$B74="K7",$B74="K8",$B74="K9",$B74="K10"),"Voc","Pho")</f>
        <v>Pho</v>
      </c>
      <c r="K77" s="91" t="str">
        <f>IF(OR($B74="K5",$B74="K6",$B74="K7",$B74="K8",$B74="K9",$B74="K10"),"Roots","Math")</f>
        <v>Math</v>
      </c>
      <c r="L77" s="91" t="str">
        <f>IF(OR($B74="K5",$B74="K6",$B74="K7",$B74="K8",$B74="K9",$B74="K10"),"Pho","Shap")</f>
        <v>Shap</v>
      </c>
      <c r="M77" s="91" t="str">
        <f>IF(OR($B74="K5",$B74="K6",$B74="K7",$B74="K8",$B74="K9",$B74="K10"),"Math","Sci")</f>
        <v>Sci</v>
      </c>
      <c r="N77" s="91" t="str">
        <f>IF(OR($B74="K5",$B74="K6",$B74="K7",$B74="K8",$B74="K9",$B74="K10"),"Sci","Trac")</f>
        <v>Trac</v>
      </c>
      <c r="O77" s="94" t="s">
        <v>24</v>
      </c>
      <c r="P77" s="95" t="s">
        <v>18</v>
      </c>
      <c r="Q77" s="91" t="str">
        <f>IF(OR($B74="K5",$B74="K6",$B74="K7",$B74="K8",$B74="K9",$B74="K10"),"Lis","ULC")</f>
        <v>ULC</v>
      </c>
      <c r="R77" s="91" t="str">
        <f>IF(OR($B74="K5",$B74="K6",$B74="K7",$B74="K8",$B74="K9",$B74="K10"),"Spk","Alp.N")</f>
        <v>Alp.N</v>
      </c>
      <c r="S77" s="91" t="str">
        <f>IF(OR($B74="K5",$B74="K6",$B74="K7",$B74="K8",$B74="K9",$B74="K10"),"Rea","Alp.S")</f>
        <v>Alp.S</v>
      </c>
      <c r="T77" s="91" t="str">
        <f>IF(OR($B74="K5",$B74="K6",$B74="K7",$B74="K8",$B74="K9",$B74="K10"),"Wri","Voc")</f>
        <v>Voc</v>
      </c>
      <c r="U77" s="91" t="str">
        <f>IF(OR($B74="K5",$B74="K6",$B74="K7",$B74="K8",$B74="K9",$B74="K10"),"Gra","Spr")</f>
        <v>Spr</v>
      </c>
      <c r="V77" s="91" t="str">
        <f>IF(OR($B74="K5",$B74="K6",$B74="K7",$B74="K8",$B74="K9",$B74="K10"),"Voc","Pho")</f>
        <v>Pho</v>
      </c>
      <c r="W77" s="91" t="str">
        <f>IF(OR($B74="K5",$B74="K6",$B74="K7",$B74="K8",$B74="K9",$B74="K10"),"Roots","Math")</f>
        <v>Math</v>
      </c>
      <c r="X77" s="91" t="str">
        <f>IF(OR($B74="K5",$B74="K6",$B74="K7",$B74="K8",$B74="K9",$B74="K10"),"Pho","Shap")</f>
        <v>Shap</v>
      </c>
      <c r="Y77" s="91" t="str">
        <f>IF(OR($B74="K5",$B74="K6",$B74="K7",$B74="K8",$B74="K9",$B74="K10"),"Math","Sci")</f>
        <v>Sci</v>
      </c>
      <c r="Z77" s="91" t="str">
        <f>IF(OR($B74="K5",$B74="K6",$B74="K7",$B74="K8",$B74="K9",$B74="K10"),"Sci","Trac")</f>
        <v>Trac</v>
      </c>
      <c r="AA77" s="94" t="s">
        <v>24</v>
      </c>
      <c r="AB77" s="44" t="s">
        <v>23</v>
      </c>
      <c r="AC77" s="260" t="s">
        <v>25</v>
      </c>
      <c r="AD77" s="260" t="s">
        <v>26</v>
      </c>
      <c r="AE77" s="262" t="s">
        <v>22</v>
      </c>
      <c r="AF77" s="264" t="s">
        <v>21</v>
      </c>
      <c r="AG77" s="266" t="s">
        <v>119</v>
      </c>
      <c r="AH77" s="258" t="s">
        <v>32</v>
      </c>
      <c r="AI77" s="258" t="s">
        <v>33</v>
      </c>
      <c r="AJ77" s="22" t="s">
        <v>28</v>
      </c>
    </row>
    <row r="78" spans="1:36" ht="15.95" customHeight="1">
      <c r="A78" s="65" t="s">
        <v>5</v>
      </c>
      <c r="B78" s="64" t="s">
        <v>6</v>
      </c>
      <c r="C78" s="85" t="s">
        <v>7</v>
      </c>
      <c r="D78" s="99">
        <v>100</v>
      </c>
      <c r="E78" s="99">
        <v>10</v>
      </c>
      <c r="F78" s="99">
        <v>10</v>
      </c>
      <c r="G78" s="99">
        <v>10</v>
      </c>
      <c r="H78" s="99">
        <v>10</v>
      </c>
      <c r="I78" s="99">
        <v>10</v>
      </c>
      <c r="J78" s="99">
        <v>10</v>
      </c>
      <c r="K78" s="99">
        <v>10</v>
      </c>
      <c r="L78" s="99">
        <v>10</v>
      </c>
      <c r="M78" s="99">
        <v>10</v>
      </c>
      <c r="N78" s="99">
        <v>10</v>
      </c>
      <c r="O78" s="99">
        <v>100</v>
      </c>
      <c r="P78" s="99">
        <v>100</v>
      </c>
      <c r="Q78" s="99">
        <v>10</v>
      </c>
      <c r="R78" s="99">
        <v>10</v>
      </c>
      <c r="S78" s="99">
        <v>10</v>
      </c>
      <c r="T78" s="99">
        <v>10</v>
      </c>
      <c r="U78" s="99">
        <v>10</v>
      </c>
      <c r="V78" s="99">
        <v>10</v>
      </c>
      <c r="W78" s="99">
        <v>10</v>
      </c>
      <c r="X78" s="99">
        <v>10</v>
      </c>
      <c r="Y78" s="99">
        <v>10</v>
      </c>
      <c r="Z78" s="99">
        <v>10</v>
      </c>
      <c r="AA78" s="99">
        <v>100</v>
      </c>
      <c r="AB78" s="45" t="s">
        <v>24</v>
      </c>
      <c r="AC78" s="261"/>
      <c r="AD78" s="261"/>
      <c r="AE78" s="263"/>
      <c r="AF78" s="265"/>
      <c r="AG78" s="267"/>
      <c r="AH78" s="259"/>
      <c r="AI78" s="259"/>
      <c r="AJ78" s="23" t="s">
        <v>29</v>
      </c>
    </row>
    <row r="79" spans="1:36" ht="15.95" customHeight="1">
      <c r="A79" s="66">
        <v>1</v>
      </c>
      <c r="B79" s="68" t="str">
        <f>IF('(6).Promotion Exam'!B79="","",'(6).Promotion Exam'!B79)</f>
        <v/>
      </c>
      <c r="C79" s="79" t="str">
        <f>IF('(6).Promotion Exam'!C79="","",'(6).Promotion Exam'!C79)</f>
        <v/>
      </c>
      <c r="D79" s="86" t="str">
        <f>IF('(4).Midterm Results'!D79="","",'(4).Midterm Results'!D79)</f>
        <v/>
      </c>
      <c r="E79" s="87" t="str">
        <f>IF('(4).Midterm Results'!E79="","",'(4).Midterm Results'!E79)</f>
        <v/>
      </c>
      <c r="F79" s="87" t="str">
        <f>IF('(4).Midterm Results'!F79="","",'(4).Midterm Results'!F79)</f>
        <v/>
      </c>
      <c r="G79" s="87" t="str">
        <f>IF('(4).Midterm Results'!G79="","",'(4).Midterm Results'!G79)</f>
        <v/>
      </c>
      <c r="H79" s="87" t="str">
        <f>IF('(4).Midterm Results'!H79="","",'(4).Midterm Results'!H79)</f>
        <v/>
      </c>
      <c r="I79" s="87" t="str">
        <f>IF('(4).Midterm Results'!I79="","",'(4).Midterm Results'!I79)</f>
        <v/>
      </c>
      <c r="J79" s="87" t="str">
        <f>IF('(4).Midterm Results'!J79="","",'(4).Midterm Results'!J79)</f>
        <v/>
      </c>
      <c r="K79" s="87" t="str">
        <f>IF('(4).Midterm Results'!K79="","",'(4).Midterm Results'!K79)</f>
        <v/>
      </c>
      <c r="L79" s="87" t="str">
        <f>IF('(4).Midterm Results'!L79="","",'(4).Midterm Results'!L79)</f>
        <v/>
      </c>
      <c r="M79" s="87" t="str">
        <f>IF('(4).Midterm Results'!M79="","",'(4).Midterm Results'!M79)</f>
        <v/>
      </c>
      <c r="N79" s="87" t="str">
        <f>IF('(4).Midterm Results'!N79="","",'(4).Midterm Results'!N79)</f>
        <v/>
      </c>
      <c r="O79" s="88" t="str">
        <f>IF('(4).Midterm Results'!O79="","",'(4).Midterm Results'!O79)</f>
        <v/>
      </c>
      <c r="P79" s="86" t="str">
        <f>IF('(5).Promotion Daily'!AH79="","",'(5).Promotion Daily'!AH79)</f>
        <v/>
      </c>
      <c r="Q79" s="87" t="str">
        <f>IF('(6).Promotion Exam'!D79="","",'(6).Promotion Exam'!D79)</f>
        <v/>
      </c>
      <c r="R79" s="87" t="str">
        <f>IF('(6).Promotion Exam'!E79="","",'(6).Promotion Exam'!E79)</f>
        <v/>
      </c>
      <c r="S79" s="87" t="str">
        <f>IF('(6).Promotion Exam'!F79="","",'(6).Promotion Exam'!F79)</f>
        <v/>
      </c>
      <c r="T79" s="87" t="str">
        <f>IF('(6).Promotion Exam'!G79="","",'(6).Promotion Exam'!G79)</f>
        <v/>
      </c>
      <c r="U79" s="87" t="str">
        <f>IF('(6).Promotion Exam'!H79="","",'(6).Promotion Exam'!H79)</f>
        <v/>
      </c>
      <c r="V79" s="87" t="str">
        <f>IF('(6).Promotion Exam'!I79="","",'(6).Promotion Exam'!I79)</f>
        <v/>
      </c>
      <c r="W79" s="87" t="str">
        <f>IF('(6).Promotion Exam'!J79="","",'(6).Promotion Exam'!J79)</f>
        <v/>
      </c>
      <c r="X79" s="87" t="str">
        <f>IF('(6).Promotion Exam'!K79="","",'(6).Promotion Exam'!K79)</f>
        <v/>
      </c>
      <c r="Y79" s="87" t="str">
        <f>IF('(6).Promotion Exam'!L79="","",'(6).Promotion Exam'!L79)</f>
        <v/>
      </c>
      <c r="Z79" s="87" t="str">
        <f>IF('(6).Promotion Exam'!M79="","",'(6).Promotion Exam'!M79)</f>
        <v/>
      </c>
      <c r="AA79" s="88" t="str">
        <f>IF(B79="","",IF(P79="Incomplete","Incomplete",IF('(6).Promotion Exam'!N79="Change","Change",IF('(6).Promotion Exam'!N79="Stop","Stop",IF('(6).Promotion Exam'!N79="Incomplete","Incomplete",IF(COUNTBLANK(Q79:Z79)&gt;=1,"Incomplete",P79*20%+SUM(Q79:Z79)*80%))))))</f>
        <v/>
      </c>
      <c r="AB79" s="98" t="str">
        <f>IF(O79="","",IF(O79="Incomplete","",IF(O79="Change","",IF(O79="Stop","",IF(AA79="","",SUM(O79,AA79)/2)))))</f>
        <v/>
      </c>
      <c r="AC79" s="100" t="str">
        <f>IF(AB79="","",IF(AB79&lt;55,"Repeat",IF(AB79&lt;65,"C-",IF(AB79&lt;70,"C",IF(AB79&lt;75,"C+",IF(AB79&lt;80,"B-",IF(AB79&lt;85,"B",IF(AB79&lt;90,"B+",IF(AB79&gt;=90,"A")))))))))</f>
        <v/>
      </c>
      <c r="AD79" s="55" t="str">
        <f>IF(AC79="","",IF(AC79="Repeat","Repeat",IF(AC79="C-","Below Average",IF(AC79="C","Average",IF(AC79="C+","Above Average",IF(AC79="B-","Fairly Good",IF(AC79="B","Good",IF(AC79="B+","Very Good",IF(AC79="A","Excellent")))))))))</f>
        <v/>
      </c>
      <c r="AE79" s="56" t="str">
        <f>IF(AD79="","",IF(AD79="Repeat","ត្រួតថ្នាក់",IF(AD79="Below Average","ក្រោមមធ្យមភាគ",IF(AD79="Average","មធ្យមភាគ",IF(AD79="Above Average","លើមធ្យមភាគ",IF(AD79="Fairly Good","ល្អបង្គួរ",IF(AD79="Good","ល្អ",IF(AD79="Very Good","ល្អណាស់",IF(AD79="Excellent","ល្អប្រសើរ")))))))))</f>
        <v/>
      </c>
      <c r="AF79" s="57" t="str">
        <f>IF(B79="","",$AF$73)</f>
        <v/>
      </c>
      <c r="AG79" s="97" t="str">
        <f>IF(B79="","",$AG$73)</f>
        <v/>
      </c>
      <c r="AH79" s="58" t="str">
        <f>IF(B79="","",$AH$73)</f>
        <v/>
      </c>
      <c r="AI79" s="58" t="str">
        <f>IF(B79="","",$AI$73)</f>
        <v/>
      </c>
      <c r="AJ79" s="59"/>
    </row>
    <row r="80" spans="1:36" ht="15.95" customHeight="1">
      <c r="A80" s="66">
        <v>2</v>
      </c>
      <c r="B80" s="63" t="str">
        <f>IF('(6).Promotion Exam'!B80="","",'(6).Promotion Exam'!B80)</f>
        <v/>
      </c>
      <c r="C80" s="67" t="str">
        <f>IF('(6).Promotion Exam'!C80="","",'(6).Promotion Exam'!C80)</f>
        <v/>
      </c>
      <c r="D80" s="51" t="str">
        <f>IF('(4).Midterm Results'!D80="","",'(4).Midterm Results'!D80)</f>
        <v/>
      </c>
      <c r="E80" s="52" t="str">
        <f>IF('(4).Midterm Results'!E80="","",'(4).Midterm Results'!E80)</f>
        <v/>
      </c>
      <c r="F80" s="52" t="str">
        <f>IF('(4).Midterm Results'!F80="","",'(4).Midterm Results'!F80)</f>
        <v/>
      </c>
      <c r="G80" s="52" t="str">
        <f>IF('(4).Midterm Results'!G80="","",'(4).Midterm Results'!G80)</f>
        <v/>
      </c>
      <c r="H80" s="52" t="str">
        <f>IF('(4).Midterm Results'!H80="","",'(4).Midterm Results'!H80)</f>
        <v/>
      </c>
      <c r="I80" s="52" t="str">
        <f>IF('(4).Midterm Results'!I80="","",'(4).Midterm Results'!I80)</f>
        <v/>
      </c>
      <c r="J80" s="52" t="str">
        <f>IF('(4).Midterm Results'!J80="","",'(4).Midterm Results'!J80)</f>
        <v/>
      </c>
      <c r="K80" s="52" t="str">
        <f>IF('(4).Midterm Results'!K80="","",'(4).Midterm Results'!K80)</f>
        <v/>
      </c>
      <c r="L80" s="52" t="str">
        <f>IF('(4).Midterm Results'!L80="","",'(4).Midterm Results'!L80)</f>
        <v/>
      </c>
      <c r="M80" s="52" t="str">
        <f>IF('(4).Midterm Results'!M80="","",'(4).Midterm Results'!M80)</f>
        <v/>
      </c>
      <c r="N80" s="52" t="str">
        <f>IF('(4).Midterm Results'!N80="","",'(4).Midterm Results'!N80)</f>
        <v/>
      </c>
      <c r="O80" s="53" t="str">
        <f>IF('(4).Midterm Results'!O80="","",'(4).Midterm Results'!O80)</f>
        <v/>
      </c>
      <c r="P80" s="51" t="str">
        <f>IF('(5).Promotion Daily'!AH80="","",'(5).Promotion Daily'!AH80)</f>
        <v/>
      </c>
      <c r="Q80" s="52" t="str">
        <f>IF('(6).Promotion Exam'!D80="","",'(6).Promotion Exam'!D80)</f>
        <v/>
      </c>
      <c r="R80" s="52" t="str">
        <f>IF('(6).Promotion Exam'!E80="","",'(6).Promotion Exam'!E80)</f>
        <v/>
      </c>
      <c r="S80" s="52" t="str">
        <f>IF('(6).Promotion Exam'!F80="","",'(6).Promotion Exam'!F80)</f>
        <v/>
      </c>
      <c r="T80" s="52" t="str">
        <f>IF('(6).Promotion Exam'!G80="","",'(6).Promotion Exam'!G80)</f>
        <v/>
      </c>
      <c r="U80" s="52" t="str">
        <f>IF('(6).Promotion Exam'!H80="","",'(6).Promotion Exam'!H80)</f>
        <v/>
      </c>
      <c r="V80" s="52" t="str">
        <f>IF('(6).Promotion Exam'!I80="","",'(6).Promotion Exam'!I80)</f>
        <v/>
      </c>
      <c r="W80" s="52" t="str">
        <f>IF('(6).Promotion Exam'!J80="","",'(6).Promotion Exam'!J80)</f>
        <v/>
      </c>
      <c r="X80" s="52" t="str">
        <f>IF('(6).Promotion Exam'!K80="","",'(6).Promotion Exam'!K80)</f>
        <v/>
      </c>
      <c r="Y80" s="52" t="str">
        <f>IF('(6).Promotion Exam'!L80="","",'(6).Promotion Exam'!L80)</f>
        <v/>
      </c>
      <c r="Z80" s="52" t="str">
        <f>IF('(6).Promotion Exam'!M80="","",'(6).Promotion Exam'!M80)</f>
        <v/>
      </c>
      <c r="AA80" s="53" t="str">
        <f>IF(B80="","",IF(P80="Incomplete","Incomplete",IF('(6).Promotion Exam'!N80="Change","Change",IF('(6).Promotion Exam'!N80="Stop","Stop",IF('(6).Promotion Exam'!N80="Incomplete","Incomplete",IF(COUNTBLANK(Q80:Z80)&gt;=1,"Incomplete",P80*20%+SUM(Q80:Z80)*80%))))))</f>
        <v/>
      </c>
      <c r="AB80" s="54" t="str">
        <f t="shared" ref="AB80:AB108" si="16">IF(O80="","",IF(O80="Incomplete","",IF(O80="Change","",IF(O80="Stop","",IF(AA80="","",SUM(O80,AA80)/2)))))</f>
        <v/>
      </c>
      <c r="AC80" s="55" t="str">
        <f t="shared" ref="AC80:AC108" si="17">IF(AB80="","",IF(AB80&lt;55,"Repeat",IF(AB80&lt;65,"C-",IF(AB80&lt;70,"C",IF(AB80&lt;75,"C+",IF(AB80&lt;80,"B-",IF(AB80&lt;85,"B",IF(AB80&lt;90,"B+",IF(AB80&gt;=90,"A")))))))))</f>
        <v/>
      </c>
      <c r="AD80" s="55" t="str">
        <f t="shared" ref="AD80:AD108" si="18">IF(AC80="","",IF(AC80="Repeat","Repeat",IF(AC80="C-","Below Average",IF(AC80="C","Average",IF(AC80="C+","Above Average",IF(AC80="B-","Fairly Good",IF(AC80="B","Good",IF(AC80="B+","Very Good",IF(AC80="A","Excellent")))))))))</f>
        <v/>
      </c>
      <c r="AE80" s="56" t="str">
        <f t="shared" ref="AE80:AE108" si="19">IF(AD80="","",IF(AD80="Repeat","ត្រួតថ្នាក់",IF(AD80="Below Average","ក្រោមមធ្យមភាគ",IF(AD80="Average","មធ្យមភាគ",IF(AD80="Above Average","លើមធ្យមភាគ",IF(AD80="Fairly Good","ល្អបង្គួរ",IF(AD80="Good","ល្អ",IF(AD80="Very Good","ល្អណាស់",IF(AD80="Excellent","ល្អប្រសើរ")))))))))</f>
        <v/>
      </c>
      <c r="AF80" s="57" t="str">
        <f t="shared" ref="AF80:AF108" si="20">IF(B80="","",$AF$73)</f>
        <v/>
      </c>
      <c r="AG80" s="97" t="str">
        <f t="shared" ref="AG80:AG108" si="21">IF(B80="","",$AG$73)</f>
        <v/>
      </c>
      <c r="AH80" s="58" t="str">
        <f t="shared" ref="AH80:AH108" si="22">IF(B80="","",$AH$73)</f>
        <v/>
      </c>
      <c r="AI80" s="58" t="str">
        <f t="shared" ref="AI80:AI108" si="23">IF(B80="","",$AI$73)</f>
        <v/>
      </c>
      <c r="AJ80" s="59"/>
    </row>
    <row r="81" spans="1:36" ht="15.95" customHeight="1">
      <c r="A81" s="66">
        <v>3</v>
      </c>
      <c r="B81" s="63" t="str">
        <f>IF('(6).Promotion Exam'!B81="","",'(6).Promotion Exam'!B81)</f>
        <v/>
      </c>
      <c r="C81" s="67" t="str">
        <f>IF('(6).Promotion Exam'!C81="","",'(6).Promotion Exam'!C81)</f>
        <v/>
      </c>
      <c r="D81" s="51" t="str">
        <f>IF('(4).Midterm Results'!D81="","",'(4).Midterm Results'!D81)</f>
        <v/>
      </c>
      <c r="E81" s="52" t="str">
        <f>IF('(4).Midterm Results'!E81="","",'(4).Midterm Results'!E81)</f>
        <v/>
      </c>
      <c r="F81" s="52" t="str">
        <f>IF('(4).Midterm Results'!F81="","",'(4).Midterm Results'!F81)</f>
        <v/>
      </c>
      <c r="G81" s="52" t="str">
        <f>IF('(4).Midterm Results'!G81="","",'(4).Midterm Results'!G81)</f>
        <v/>
      </c>
      <c r="H81" s="52" t="str">
        <f>IF('(4).Midterm Results'!H81="","",'(4).Midterm Results'!H81)</f>
        <v/>
      </c>
      <c r="I81" s="52" t="str">
        <f>IF('(4).Midterm Results'!I81="","",'(4).Midterm Results'!I81)</f>
        <v/>
      </c>
      <c r="J81" s="52" t="str">
        <f>IF('(4).Midterm Results'!J81="","",'(4).Midterm Results'!J81)</f>
        <v/>
      </c>
      <c r="K81" s="52" t="str">
        <f>IF('(4).Midterm Results'!K81="","",'(4).Midterm Results'!K81)</f>
        <v/>
      </c>
      <c r="L81" s="52" t="str">
        <f>IF('(4).Midterm Results'!L81="","",'(4).Midterm Results'!L81)</f>
        <v/>
      </c>
      <c r="M81" s="52" t="str">
        <f>IF('(4).Midterm Results'!M81="","",'(4).Midterm Results'!M81)</f>
        <v/>
      </c>
      <c r="N81" s="52" t="str">
        <f>IF('(4).Midterm Results'!N81="","",'(4).Midterm Results'!N81)</f>
        <v/>
      </c>
      <c r="O81" s="53" t="str">
        <f>IF('(4).Midterm Results'!O81="","",'(4).Midterm Results'!O81)</f>
        <v/>
      </c>
      <c r="P81" s="51" t="str">
        <f>IF('(5).Promotion Daily'!AH81="","",'(5).Promotion Daily'!AH81)</f>
        <v/>
      </c>
      <c r="Q81" s="52" t="str">
        <f>IF('(6).Promotion Exam'!D81="","",'(6).Promotion Exam'!D81)</f>
        <v/>
      </c>
      <c r="R81" s="52" t="str">
        <f>IF('(6).Promotion Exam'!E81="","",'(6).Promotion Exam'!E81)</f>
        <v/>
      </c>
      <c r="S81" s="52" t="str">
        <f>IF('(6).Promotion Exam'!F81="","",'(6).Promotion Exam'!F81)</f>
        <v/>
      </c>
      <c r="T81" s="52" t="str">
        <f>IF('(6).Promotion Exam'!G81="","",'(6).Promotion Exam'!G81)</f>
        <v/>
      </c>
      <c r="U81" s="52" t="str">
        <f>IF('(6).Promotion Exam'!H81="","",'(6).Promotion Exam'!H81)</f>
        <v/>
      </c>
      <c r="V81" s="52" t="str">
        <f>IF('(6).Promotion Exam'!I81="","",'(6).Promotion Exam'!I81)</f>
        <v/>
      </c>
      <c r="W81" s="52" t="str">
        <f>IF('(6).Promotion Exam'!J81="","",'(6).Promotion Exam'!J81)</f>
        <v/>
      </c>
      <c r="X81" s="52" t="str">
        <f>IF('(6).Promotion Exam'!K81="","",'(6).Promotion Exam'!K81)</f>
        <v/>
      </c>
      <c r="Y81" s="52" t="str">
        <f>IF('(6).Promotion Exam'!L81="","",'(6).Promotion Exam'!L81)</f>
        <v/>
      </c>
      <c r="Z81" s="52" t="str">
        <f>IF('(6).Promotion Exam'!M81="","",'(6).Promotion Exam'!M81)</f>
        <v/>
      </c>
      <c r="AA81" s="53" t="str">
        <f>IF(B81="","",IF(P81="Incomplete","Incomplete",IF('(6).Promotion Exam'!N81="Change","Change",IF('(6).Promotion Exam'!N81="Stop","Stop",IF('(6).Promotion Exam'!N81="Incomplete","Incomplete",IF(COUNTBLANK(Q81:Z81)&gt;=1,"Incomplete",P81*20%+SUM(Q81:Z81)*80%))))))</f>
        <v/>
      </c>
      <c r="AB81" s="54" t="str">
        <f t="shared" si="16"/>
        <v/>
      </c>
      <c r="AC81" s="55" t="str">
        <f t="shared" si="17"/>
        <v/>
      </c>
      <c r="AD81" s="55" t="str">
        <f t="shared" si="18"/>
        <v/>
      </c>
      <c r="AE81" s="56" t="str">
        <f t="shared" si="19"/>
        <v/>
      </c>
      <c r="AF81" s="57" t="str">
        <f t="shared" si="20"/>
        <v/>
      </c>
      <c r="AG81" s="97" t="str">
        <f t="shared" si="21"/>
        <v/>
      </c>
      <c r="AH81" s="58" t="str">
        <f t="shared" si="22"/>
        <v/>
      </c>
      <c r="AI81" s="58" t="str">
        <f t="shared" si="23"/>
        <v/>
      </c>
      <c r="AJ81" s="59"/>
    </row>
    <row r="82" spans="1:36" ht="15.95" customHeight="1">
      <c r="A82" s="66">
        <v>4</v>
      </c>
      <c r="B82" s="63" t="str">
        <f>IF('(6).Promotion Exam'!B82="","",'(6).Promotion Exam'!B82)</f>
        <v/>
      </c>
      <c r="C82" s="67" t="str">
        <f>IF('(6).Promotion Exam'!C82="","",'(6).Promotion Exam'!C82)</f>
        <v/>
      </c>
      <c r="D82" s="51" t="str">
        <f>IF('(4).Midterm Results'!D82="","",'(4).Midterm Results'!D82)</f>
        <v/>
      </c>
      <c r="E82" s="52" t="str">
        <f>IF('(4).Midterm Results'!E82="","",'(4).Midterm Results'!E82)</f>
        <v/>
      </c>
      <c r="F82" s="52" t="str">
        <f>IF('(4).Midterm Results'!F82="","",'(4).Midterm Results'!F82)</f>
        <v/>
      </c>
      <c r="G82" s="52" t="str">
        <f>IF('(4).Midterm Results'!G82="","",'(4).Midterm Results'!G82)</f>
        <v/>
      </c>
      <c r="H82" s="52" t="str">
        <f>IF('(4).Midterm Results'!H82="","",'(4).Midterm Results'!H82)</f>
        <v/>
      </c>
      <c r="I82" s="52" t="str">
        <f>IF('(4).Midterm Results'!I82="","",'(4).Midterm Results'!I82)</f>
        <v/>
      </c>
      <c r="J82" s="52" t="str">
        <f>IF('(4).Midterm Results'!J82="","",'(4).Midterm Results'!J82)</f>
        <v/>
      </c>
      <c r="K82" s="52" t="str">
        <f>IF('(4).Midterm Results'!K82="","",'(4).Midterm Results'!K82)</f>
        <v/>
      </c>
      <c r="L82" s="52" t="str">
        <f>IF('(4).Midterm Results'!L82="","",'(4).Midterm Results'!L82)</f>
        <v/>
      </c>
      <c r="M82" s="52" t="str">
        <f>IF('(4).Midterm Results'!M82="","",'(4).Midterm Results'!M82)</f>
        <v/>
      </c>
      <c r="N82" s="52" t="str">
        <f>IF('(4).Midterm Results'!N82="","",'(4).Midterm Results'!N82)</f>
        <v/>
      </c>
      <c r="O82" s="53" t="str">
        <f>IF('(4).Midterm Results'!O82="","",'(4).Midterm Results'!O82)</f>
        <v/>
      </c>
      <c r="P82" s="51" t="str">
        <f>IF('(5).Promotion Daily'!AH82="","",'(5).Promotion Daily'!AH82)</f>
        <v/>
      </c>
      <c r="Q82" s="52" t="str">
        <f>IF('(6).Promotion Exam'!D82="","",'(6).Promotion Exam'!D82)</f>
        <v/>
      </c>
      <c r="R82" s="52" t="str">
        <f>IF('(6).Promotion Exam'!E82="","",'(6).Promotion Exam'!E82)</f>
        <v/>
      </c>
      <c r="S82" s="52" t="str">
        <f>IF('(6).Promotion Exam'!F82="","",'(6).Promotion Exam'!F82)</f>
        <v/>
      </c>
      <c r="T82" s="52" t="str">
        <f>IF('(6).Promotion Exam'!G82="","",'(6).Promotion Exam'!G82)</f>
        <v/>
      </c>
      <c r="U82" s="52" t="str">
        <f>IF('(6).Promotion Exam'!H82="","",'(6).Promotion Exam'!H82)</f>
        <v/>
      </c>
      <c r="V82" s="52" t="str">
        <f>IF('(6).Promotion Exam'!I82="","",'(6).Promotion Exam'!I82)</f>
        <v/>
      </c>
      <c r="W82" s="52" t="str">
        <f>IF('(6).Promotion Exam'!J82="","",'(6).Promotion Exam'!J82)</f>
        <v/>
      </c>
      <c r="X82" s="52" t="str">
        <f>IF('(6).Promotion Exam'!K82="","",'(6).Promotion Exam'!K82)</f>
        <v/>
      </c>
      <c r="Y82" s="52" t="str">
        <f>IF('(6).Promotion Exam'!L82="","",'(6).Promotion Exam'!L82)</f>
        <v/>
      </c>
      <c r="Z82" s="52" t="str">
        <f>IF('(6).Promotion Exam'!M82="","",'(6).Promotion Exam'!M82)</f>
        <v/>
      </c>
      <c r="AA82" s="53" t="str">
        <f>IF(B82="","",IF(P82="Incomplete","Incomplete",IF('(6).Promotion Exam'!N82="Change","Change",IF('(6).Promotion Exam'!N82="Stop","Stop",IF('(6).Promotion Exam'!N82="Incomplete","Incomplete",IF(COUNTBLANK(Q82:Z82)&gt;=1,"Incomplete",P82*20%+SUM(Q82:Z82)*80%))))))</f>
        <v/>
      </c>
      <c r="AB82" s="54" t="str">
        <f t="shared" si="16"/>
        <v/>
      </c>
      <c r="AC82" s="55" t="str">
        <f t="shared" si="17"/>
        <v/>
      </c>
      <c r="AD82" s="55" t="str">
        <f t="shared" si="18"/>
        <v/>
      </c>
      <c r="AE82" s="56" t="str">
        <f t="shared" si="19"/>
        <v/>
      </c>
      <c r="AF82" s="57" t="str">
        <f t="shared" si="20"/>
        <v/>
      </c>
      <c r="AG82" s="97" t="str">
        <f t="shared" si="21"/>
        <v/>
      </c>
      <c r="AH82" s="58" t="str">
        <f t="shared" si="22"/>
        <v/>
      </c>
      <c r="AI82" s="58" t="str">
        <f t="shared" si="23"/>
        <v/>
      </c>
      <c r="AJ82" s="59"/>
    </row>
    <row r="83" spans="1:36" ht="15.95" customHeight="1">
      <c r="A83" s="66">
        <v>5</v>
      </c>
      <c r="B83" s="63" t="str">
        <f>IF('(6).Promotion Exam'!B83="","",'(6).Promotion Exam'!B83)</f>
        <v/>
      </c>
      <c r="C83" s="67" t="str">
        <f>IF('(6).Promotion Exam'!C83="","",'(6).Promotion Exam'!C83)</f>
        <v/>
      </c>
      <c r="D83" s="51" t="str">
        <f>IF('(4).Midterm Results'!D83="","",'(4).Midterm Results'!D83)</f>
        <v/>
      </c>
      <c r="E83" s="52" t="str">
        <f>IF('(4).Midterm Results'!E83="","",'(4).Midterm Results'!E83)</f>
        <v/>
      </c>
      <c r="F83" s="52" t="str">
        <f>IF('(4).Midterm Results'!F83="","",'(4).Midterm Results'!F83)</f>
        <v/>
      </c>
      <c r="G83" s="52" t="str">
        <f>IF('(4).Midterm Results'!G83="","",'(4).Midterm Results'!G83)</f>
        <v/>
      </c>
      <c r="H83" s="52" t="str">
        <f>IF('(4).Midterm Results'!H83="","",'(4).Midterm Results'!H83)</f>
        <v/>
      </c>
      <c r="I83" s="52" t="str">
        <f>IF('(4).Midterm Results'!I83="","",'(4).Midterm Results'!I83)</f>
        <v/>
      </c>
      <c r="J83" s="52" t="str">
        <f>IF('(4).Midterm Results'!J83="","",'(4).Midterm Results'!J83)</f>
        <v/>
      </c>
      <c r="K83" s="52" t="str">
        <f>IF('(4).Midterm Results'!K83="","",'(4).Midterm Results'!K83)</f>
        <v/>
      </c>
      <c r="L83" s="52" t="str">
        <f>IF('(4).Midterm Results'!L83="","",'(4).Midterm Results'!L83)</f>
        <v/>
      </c>
      <c r="M83" s="52" t="str">
        <f>IF('(4).Midterm Results'!M83="","",'(4).Midterm Results'!M83)</f>
        <v/>
      </c>
      <c r="N83" s="52" t="str">
        <f>IF('(4).Midterm Results'!N83="","",'(4).Midterm Results'!N83)</f>
        <v/>
      </c>
      <c r="O83" s="53" t="str">
        <f>IF('(4).Midterm Results'!O83="","",'(4).Midterm Results'!O83)</f>
        <v/>
      </c>
      <c r="P83" s="51" t="str">
        <f>IF('(5).Promotion Daily'!AH83="","",'(5).Promotion Daily'!AH83)</f>
        <v/>
      </c>
      <c r="Q83" s="52" t="str">
        <f>IF('(6).Promotion Exam'!D83="","",'(6).Promotion Exam'!D83)</f>
        <v/>
      </c>
      <c r="R83" s="52" t="str">
        <f>IF('(6).Promotion Exam'!E83="","",'(6).Promotion Exam'!E83)</f>
        <v/>
      </c>
      <c r="S83" s="52" t="str">
        <f>IF('(6).Promotion Exam'!F83="","",'(6).Promotion Exam'!F83)</f>
        <v/>
      </c>
      <c r="T83" s="52" t="str">
        <f>IF('(6).Promotion Exam'!G83="","",'(6).Promotion Exam'!G83)</f>
        <v/>
      </c>
      <c r="U83" s="52" t="str">
        <f>IF('(6).Promotion Exam'!H83="","",'(6).Promotion Exam'!H83)</f>
        <v/>
      </c>
      <c r="V83" s="52" t="str">
        <f>IF('(6).Promotion Exam'!I83="","",'(6).Promotion Exam'!I83)</f>
        <v/>
      </c>
      <c r="W83" s="52" t="str">
        <f>IF('(6).Promotion Exam'!J83="","",'(6).Promotion Exam'!J83)</f>
        <v/>
      </c>
      <c r="X83" s="52" t="str">
        <f>IF('(6).Promotion Exam'!K83="","",'(6).Promotion Exam'!K83)</f>
        <v/>
      </c>
      <c r="Y83" s="52" t="str">
        <f>IF('(6).Promotion Exam'!L83="","",'(6).Promotion Exam'!L83)</f>
        <v/>
      </c>
      <c r="Z83" s="52" t="str">
        <f>IF('(6).Promotion Exam'!M83="","",'(6).Promotion Exam'!M83)</f>
        <v/>
      </c>
      <c r="AA83" s="53" t="str">
        <f>IF(B83="","",IF(P83="Incomplete","Incomplete",IF('(6).Promotion Exam'!N83="Change","Change",IF('(6).Promotion Exam'!N83="Stop","Stop",IF('(6).Promotion Exam'!N83="Incomplete","Incomplete",IF(COUNTBLANK(Q83:Z83)&gt;=1,"Incomplete",P83*20%+SUM(Q83:Z83)*80%))))))</f>
        <v/>
      </c>
      <c r="AB83" s="54" t="str">
        <f t="shared" si="16"/>
        <v/>
      </c>
      <c r="AC83" s="55" t="str">
        <f t="shared" si="17"/>
        <v/>
      </c>
      <c r="AD83" s="55" t="str">
        <f t="shared" si="18"/>
        <v/>
      </c>
      <c r="AE83" s="56" t="str">
        <f t="shared" si="19"/>
        <v/>
      </c>
      <c r="AF83" s="57" t="str">
        <f t="shared" si="20"/>
        <v/>
      </c>
      <c r="AG83" s="97" t="str">
        <f t="shared" si="21"/>
        <v/>
      </c>
      <c r="AH83" s="58" t="str">
        <f t="shared" si="22"/>
        <v/>
      </c>
      <c r="AI83" s="58" t="str">
        <f t="shared" si="23"/>
        <v/>
      </c>
      <c r="AJ83" s="59"/>
    </row>
    <row r="84" spans="1:36" ht="15.95" customHeight="1">
      <c r="A84" s="66">
        <v>6</v>
      </c>
      <c r="B84" s="63" t="str">
        <f>IF('(6).Promotion Exam'!B84="","",'(6).Promotion Exam'!B84)</f>
        <v/>
      </c>
      <c r="C84" s="67" t="str">
        <f>IF('(6).Promotion Exam'!C84="","",'(6).Promotion Exam'!C84)</f>
        <v/>
      </c>
      <c r="D84" s="51" t="str">
        <f>IF('(4).Midterm Results'!D84="","",'(4).Midterm Results'!D84)</f>
        <v/>
      </c>
      <c r="E84" s="52" t="str">
        <f>IF('(4).Midterm Results'!E84="","",'(4).Midterm Results'!E84)</f>
        <v/>
      </c>
      <c r="F84" s="52" t="str">
        <f>IF('(4).Midterm Results'!F84="","",'(4).Midterm Results'!F84)</f>
        <v/>
      </c>
      <c r="G84" s="52" t="str">
        <f>IF('(4).Midterm Results'!G84="","",'(4).Midterm Results'!G84)</f>
        <v/>
      </c>
      <c r="H84" s="52" t="str">
        <f>IF('(4).Midterm Results'!H84="","",'(4).Midterm Results'!H84)</f>
        <v/>
      </c>
      <c r="I84" s="52" t="str">
        <f>IF('(4).Midterm Results'!I84="","",'(4).Midterm Results'!I84)</f>
        <v/>
      </c>
      <c r="J84" s="52" t="str">
        <f>IF('(4).Midterm Results'!J84="","",'(4).Midterm Results'!J84)</f>
        <v/>
      </c>
      <c r="K84" s="52" t="str">
        <f>IF('(4).Midterm Results'!K84="","",'(4).Midterm Results'!K84)</f>
        <v/>
      </c>
      <c r="L84" s="52" t="str">
        <f>IF('(4).Midterm Results'!L84="","",'(4).Midterm Results'!L84)</f>
        <v/>
      </c>
      <c r="M84" s="52" t="str">
        <f>IF('(4).Midterm Results'!M84="","",'(4).Midterm Results'!M84)</f>
        <v/>
      </c>
      <c r="N84" s="52" t="str">
        <f>IF('(4).Midterm Results'!N84="","",'(4).Midterm Results'!N84)</f>
        <v/>
      </c>
      <c r="O84" s="53" t="str">
        <f>IF('(4).Midterm Results'!O84="","",'(4).Midterm Results'!O84)</f>
        <v/>
      </c>
      <c r="P84" s="51" t="str">
        <f>IF('(5).Promotion Daily'!AH84="","",'(5).Promotion Daily'!AH84)</f>
        <v/>
      </c>
      <c r="Q84" s="52" t="str">
        <f>IF('(6).Promotion Exam'!D84="","",'(6).Promotion Exam'!D84)</f>
        <v/>
      </c>
      <c r="R84" s="52" t="str">
        <f>IF('(6).Promotion Exam'!E84="","",'(6).Promotion Exam'!E84)</f>
        <v/>
      </c>
      <c r="S84" s="52" t="str">
        <f>IF('(6).Promotion Exam'!F84="","",'(6).Promotion Exam'!F84)</f>
        <v/>
      </c>
      <c r="T84" s="52" t="str">
        <f>IF('(6).Promotion Exam'!G84="","",'(6).Promotion Exam'!G84)</f>
        <v/>
      </c>
      <c r="U84" s="52" t="str">
        <f>IF('(6).Promotion Exam'!H84="","",'(6).Promotion Exam'!H84)</f>
        <v/>
      </c>
      <c r="V84" s="52" t="str">
        <f>IF('(6).Promotion Exam'!I84="","",'(6).Promotion Exam'!I84)</f>
        <v/>
      </c>
      <c r="W84" s="52" t="str">
        <f>IF('(6).Promotion Exam'!J84="","",'(6).Promotion Exam'!J84)</f>
        <v/>
      </c>
      <c r="X84" s="52" t="str">
        <f>IF('(6).Promotion Exam'!K84="","",'(6).Promotion Exam'!K84)</f>
        <v/>
      </c>
      <c r="Y84" s="52" t="str">
        <f>IF('(6).Promotion Exam'!L84="","",'(6).Promotion Exam'!L84)</f>
        <v/>
      </c>
      <c r="Z84" s="52" t="str">
        <f>IF('(6).Promotion Exam'!M84="","",'(6).Promotion Exam'!M84)</f>
        <v/>
      </c>
      <c r="AA84" s="53" t="str">
        <f>IF(B84="","",IF(P84="Incomplete","Incomplete",IF('(6).Promotion Exam'!N84="Change","Change",IF('(6).Promotion Exam'!N84="Stop","Stop",IF('(6).Promotion Exam'!N84="Incomplete","Incomplete",IF(COUNTBLANK(Q84:Z84)&gt;=1,"Incomplete",P84*20%+SUM(Q84:Z84)*80%))))))</f>
        <v/>
      </c>
      <c r="AB84" s="54" t="str">
        <f t="shared" si="16"/>
        <v/>
      </c>
      <c r="AC84" s="55" t="str">
        <f t="shared" si="17"/>
        <v/>
      </c>
      <c r="AD84" s="55" t="str">
        <f t="shared" si="18"/>
        <v/>
      </c>
      <c r="AE84" s="56" t="str">
        <f t="shared" si="19"/>
        <v/>
      </c>
      <c r="AF84" s="57" t="str">
        <f t="shared" si="20"/>
        <v/>
      </c>
      <c r="AG84" s="97" t="str">
        <f t="shared" si="21"/>
        <v/>
      </c>
      <c r="AH84" s="58" t="str">
        <f t="shared" si="22"/>
        <v/>
      </c>
      <c r="AI84" s="58" t="str">
        <f t="shared" si="23"/>
        <v/>
      </c>
      <c r="AJ84" s="59"/>
    </row>
    <row r="85" spans="1:36" ht="15.95" customHeight="1">
      <c r="A85" s="66">
        <v>7</v>
      </c>
      <c r="B85" s="63" t="str">
        <f>IF('(6).Promotion Exam'!B85="","",'(6).Promotion Exam'!B85)</f>
        <v/>
      </c>
      <c r="C85" s="67" t="str">
        <f>IF('(6).Promotion Exam'!C85="","",'(6).Promotion Exam'!C85)</f>
        <v/>
      </c>
      <c r="D85" s="51" t="str">
        <f>IF('(4).Midterm Results'!D85="","",'(4).Midterm Results'!D85)</f>
        <v/>
      </c>
      <c r="E85" s="52" t="str">
        <f>IF('(4).Midterm Results'!E85="","",'(4).Midterm Results'!E85)</f>
        <v/>
      </c>
      <c r="F85" s="52" t="str">
        <f>IF('(4).Midterm Results'!F85="","",'(4).Midterm Results'!F85)</f>
        <v/>
      </c>
      <c r="G85" s="52" t="str">
        <f>IF('(4).Midterm Results'!G85="","",'(4).Midterm Results'!G85)</f>
        <v/>
      </c>
      <c r="H85" s="52" t="str">
        <f>IF('(4).Midterm Results'!H85="","",'(4).Midterm Results'!H85)</f>
        <v/>
      </c>
      <c r="I85" s="52" t="str">
        <f>IF('(4).Midterm Results'!I85="","",'(4).Midterm Results'!I85)</f>
        <v/>
      </c>
      <c r="J85" s="52" t="str">
        <f>IF('(4).Midterm Results'!J85="","",'(4).Midterm Results'!J85)</f>
        <v/>
      </c>
      <c r="K85" s="52" t="str">
        <f>IF('(4).Midterm Results'!K85="","",'(4).Midterm Results'!K85)</f>
        <v/>
      </c>
      <c r="L85" s="52" t="str">
        <f>IF('(4).Midterm Results'!L85="","",'(4).Midterm Results'!L85)</f>
        <v/>
      </c>
      <c r="M85" s="52" t="str">
        <f>IF('(4).Midterm Results'!M85="","",'(4).Midterm Results'!M85)</f>
        <v/>
      </c>
      <c r="N85" s="52" t="str">
        <f>IF('(4).Midterm Results'!N85="","",'(4).Midterm Results'!N85)</f>
        <v/>
      </c>
      <c r="O85" s="53" t="str">
        <f>IF('(4).Midterm Results'!O85="","",'(4).Midterm Results'!O85)</f>
        <v/>
      </c>
      <c r="P85" s="51" t="str">
        <f>IF('(5).Promotion Daily'!AH85="","",'(5).Promotion Daily'!AH85)</f>
        <v/>
      </c>
      <c r="Q85" s="52" t="str">
        <f>IF('(6).Promotion Exam'!D85="","",'(6).Promotion Exam'!D85)</f>
        <v/>
      </c>
      <c r="R85" s="52" t="str">
        <f>IF('(6).Promotion Exam'!E85="","",'(6).Promotion Exam'!E85)</f>
        <v/>
      </c>
      <c r="S85" s="52" t="str">
        <f>IF('(6).Promotion Exam'!F85="","",'(6).Promotion Exam'!F85)</f>
        <v/>
      </c>
      <c r="T85" s="52" t="str">
        <f>IF('(6).Promotion Exam'!G85="","",'(6).Promotion Exam'!G85)</f>
        <v/>
      </c>
      <c r="U85" s="52" t="str">
        <f>IF('(6).Promotion Exam'!H85="","",'(6).Promotion Exam'!H85)</f>
        <v/>
      </c>
      <c r="V85" s="52" t="str">
        <f>IF('(6).Promotion Exam'!I85="","",'(6).Promotion Exam'!I85)</f>
        <v/>
      </c>
      <c r="W85" s="52" t="str">
        <f>IF('(6).Promotion Exam'!J85="","",'(6).Promotion Exam'!J85)</f>
        <v/>
      </c>
      <c r="X85" s="52" t="str">
        <f>IF('(6).Promotion Exam'!K85="","",'(6).Promotion Exam'!K85)</f>
        <v/>
      </c>
      <c r="Y85" s="52" t="str">
        <f>IF('(6).Promotion Exam'!L85="","",'(6).Promotion Exam'!L85)</f>
        <v/>
      </c>
      <c r="Z85" s="52" t="str">
        <f>IF('(6).Promotion Exam'!M85="","",'(6).Promotion Exam'!M85)</f>
        <v/>
      </c>
      <c r="AA85" s="53" t="str">
        <f>IF(B85="","",IF(P85="Incomplete","Incomplete",IF('(6).Promotion Exam'!N85="Change","Change",IF('(6).Promotion Exam'!N85="Stop","Stop",IF('(6).Promotion Exam'!N85="Incomplete","Incomplete",IF(COUNTBLANK(Q85:Z85)&gt;=1,"Incomplete",P85*20%+SUM(Q85:Z85)*80%))))))</f>
        <v/>
      </c>
      <c r="AB85" s="54" t="str">
        <f t="shared" si="16"/>
        <v/>
      </c>
      <c r="AC85" s="55" t="str">
        <f t="shared" si="17"/>
        <v/>
      </c>
      <c r="AD85" s="55" t="str">
        <f t="shared" si="18"/>
        <v/>
      </c>
      <c r="AE85" s="56" t="str">
        <f t="shared" si="19"/>
        <v/>
      </c>
      <c r="AF85" s="57" t="str">
        <f t="shared" si="20"/>
        <v/>
      </c>
      <c r="AG85" s="97" t="str">
        <f t="shared" si="21"/>
        <v/>
      </c>
      <c r="AH85" s="58" t="str">
        <f t="shared" si="22"/>
        <v/>
      </c>
      <c r="AI85" s="58" t="str">
        <f t="shared" si="23"/>
        <v/>
      </c>
      <c r="AJ85" s="59"/>
    </row>
    <row r="86" spans="1:36" ht="15.95" customHeight="1">
      <c r="A86" s="66">
        <v>8</v>
      </c>
      <c r="B86" s="63" t="str">
        <f>IF('(6).Promotion Exam'!B86="","",'(6).Promotion Exam'!B86)</f>
        <v/>
      </c>
      <c r="C86" s="67" t="str">
        <f>IF('(6).Promotion Exam'!C86="","",'(6).Promotion Exam'!C86)</f>
        <v/>
      </c>
      <c r="D86" s="51" t="str">
        <f>IF('(4).Midterm Results'!D86="","",'(4).Midterm Results'!D86)</f>
        <v/>
      </c>
      <c r="E86" s="52" t="str">
        <f>IF('(4).Midterm Results'!E86="","",'(4).Midterm Results'!E86)</f>
        <v/>
      </c>
      <c r="F86" s="52" t="str">
        <f>IF('(4).Midterm Results'!F86="","",'(4).Midterm Results'!F86)</f>
        <v/>
      </c>
      <c r="G86" s="52" t="str">
        <f>IF('(4).Midterm Results'!G86="","",'(4).Midterm Results'!G86)</f>
        <v/>
      </c>
      <c r="H86" s="52" t="str">
        <f>IF('(4).Midterm Results'!H86="","",'(4).Midterm Results'!H86)</f>
        <v/>
      </c>
      <c r="I86" s="52" t="str">
        <f>IF('(4).Midterm Results'!I86="","",'(4).Midterm Results'!I86)</f>
        <v/>
      </c>
      <c r="J86" s="52" t="str">
        <f>IF('(4).Midterm Results'!J86="","",'(4).Midterm Results'!J86)</f>
        <v/>
      </c>
      <c r="K86" s="52" t="str">
        <f>IF('(4).Midterm Results'!K86="","",'(4).Midterm Results'!K86)</f>
        <v/>
      </c>
      <c r="L86" s="52" t="str">
        <f>IF('(4).Midterm Results'!L86="","",'(4).Midterm Results'!L86)</f>
        <v/>
      </c>
      <c r="M86" s="52" t="str">
        <f>IF('(4).Midterm Results'!M86="","",'(4).Midterm Results'!M86)</f>
        <v/>
      </c>
      <c r="N86" s="52" t="str">
        <f>IF('(4).Midterm Results'!N86="","",'(4).Midterm Results'!N86)</f>
        <v/>
      </c>
      <c r="O86" s="53" t="str">
        <f>IF('(4).Midterm Results'!O86="","",'(4).Midterm Results'!O86)</f>
        <v/>
      </c>
      <c r="P86" s="51" t="str">
        <f>IF('(5).Promotion Daily'!AH86="","",'(5).Promotion Daily'!AH86)</f>
        <v/>
      </c>
      <c r="Q86" s="52" t="str">
        <f>IF('(6).Promotion Exam'!D86="","",'(6).Promotion Exam'!D86)</f>
        <v/>
      </c>
      <c r="R86" s="52" t="str">
        <f>IF('(6).Promotion Exam'!E86="","",'(6).Promotion Exam'!E86)</f>
        <v/>
      </c>
      <c r="S86" s="52" t="str">
        <f>IF('(6).Promotion Exam'!F86="","",'(6).Promotion Exam'!F86)</f>
        <v/>
      </c>
      <c r="T86" s="52" t="str">
        <f>IF('(6).Promotion Exam'!G86="","",'(6).Promotion Exam'!G86)</f>
        <v/>
      </c>
      <c r="U86" s="52" t="str">
        <f>IF('(6).Promotion Exam'!H86="","",'(6).Promotion Exam'!H86)</f>
        <v/>
      </c>
      <c r="V86" s="52" t="str">
        <f>IF('(6).Promotion Exam'!I86="","",'(6).Promotion Exam'!I86)</f>
        <v/>
      </c>
      <c r="W86" s="52" t="str">
        <f>IF('(6).Promotion Exam'!J86="","",'(6).Promotion Exam'!J86)</f>
        <v/>
      </c>
      <c r="X86" s="52" t="str">
        <f>IF('(6).Promotion Exam'!K86="","",'(6).Promotion Exam'!K86)</f>
        <v/>
      </c>
      <c r="Y86" s="52" t="str">
        <f>IF('(6).Promotion Exam'!L86="","",'(6).Promotion Exam'!L86)</f>
        <v/>
      </c>
      <c r="Z86" s="52" t="str">
        <f>IF('(6).Promotion Exam'!M86="","",'(6).Promotion Exam'!M86)</f>
        <v/>
      </c>
      <c r="AA86" s="53" t="str">
        <f>IF(B86="","",IF(P86="Incomplete","Incomplete",IF('(6).Promotion Exam'!N86="Change","Change",IF('(6).Promotion Exam'!N86="Stop","Stop",IF('(6).Promotion Exam'!N86="Incomplete","Incomplete",IF(COUNTBLANK(Q86:Z86)&gt;=1,"Incomplete",P86*20%+SUM(Q86:Z86)*80%))))))</f>
        <v/>
      </c>
      <c r="AB86" s="54" t="str">
        <f t="shared" si="16"/>
        <v/>
      </c>
      <c r="AC86" s="55" t="str">
        <f t="shared" si="17"/>
        <v/>
      </c>
      <c r="AD86" s="55" t="str">
        <f t="shared" si="18"/>
        <v/>
      </c>
      <c r="AE86" s="56" t="str">
        <f t="shared" si="19"/>
        <v/>
      </c>
      <c r="AF86" s="57" t="str">
        <f t="shared" si="20"/>
        <v/>
      </c>
      <c r="AG86" s="97" t="str">
        <f t="shared" si="21"/>
        <v/>
      </c>
      <c r="AH86" s="58" t="str">
        <f t="shared" si="22"/>
        <v/>
      </c>
      <c r="AI86" s="58" t="str">
        <f t="shared" si="23"/>
        <v/>
      </c>
      <c r="AJ86" s="59"/>
    </row>
    <row r="87" spans="1:36" ht="15.95" customHeight="1">
      <c r="A87" s="66">
        <v>9</v>
      </c>
      <c r="B87" s="63" t="str">
        <f>IF('(6).Promotion Exam'!B87="","",'(6).Promotion Exam'!B87)</f>
        <v/>
      </c>
      <c r="C87" s="67" t="str">
        <f>IF('(6).Promotion Exam'!C87="","",'(6).Promotion Exam'!C87)</f>
        <v/>
      </c>
      <c r="D87" s="51" t="str">
        <f>IF('(4).Midterm Results'!D87="","",'(4).Midterm Results'!D87)</f>
        <v/>
      </c>
      <c r="E87" s="52" t="str">
        <f>IF('(4).Midterm Results'!E87="","",'(4).Midterm Results'!E87)</f>
        <v/>
      </c>
      <c r="F87" s="52" t="str">
        <f>IF('(4).Midterm Results'!F87="","",'(4).Midterm Results'!F87)</f>
        <v/>
      </c>
      <c r="G87" s="52" t="str">
        <f>IF('(4).Midterm Results'!G87="","",'(4).Midterm Results'!G87)</f>
        <v/>
      </c>
      <c r="H87" s="52" t="str">
        <f>IF('(4).Midterm Results'!H87="","",'(4).Midterm Results'!H87)</f>
        <v/>
      </c>
      <c r="I87" s="52" t="str">
        <f>IF('(4).Midterm Results'!I87="","",'(4).Midterm Results'!I87)</f>
        <v/>
      </c>
      <c r="J87" s="52" t="str">
        <f>IF('(4).Midterm Results'!J87="","",'(4).Midterm Results'!J87)</f>
        <v/>
      </c>
      <c r="K87" s="52" t="str">
        <f>IF('(4).Midterm Results'!K87="","",'(4).Midterm Results'!K87)</f>
        <v/>
      </c>
      <c r="L87" s="52" t="str">
        <f>IF('(4).Midterm Results'!L87="","",'(4).Midterm Results'!L87)</f>
        <v/>
      </c>
      <c r="M87" s="52" t="str">
        <f>IF('(4).Midterm Results'!M87="","",'(4).Midterm Results'!M87)</f>
        <v/>
      </c>
      <c r="N87" s="52" t="str">
        <f>IF('(4).Midterm Results'!N87="","",'(4).Midterm Results'!N87)</f>
        <v/>
      </c>
      <c r="O87" s="53" t="str">
        <f>IF('(4).Midterm Results'!O87="","",'(4).Midterm Results'!O87)</f>
        <v/>
      </c>
      <c r="P87" s="51" t="str">
        <f>IF('(5).Promotion Daily'!AH87="","",'(5).Promotion Daily'!AH87)</f>
        <v/>
      </c>
      <c r="Q87" s="52" t="str">
        <f>IF('(6).Promotion Exam'!D87="","",'(6).Promotion Exam'!D87)</f>
        <v/>
      </c>
      <c r="R87" s="52" t="str">
        <f>IF('(6).Promotion Exam'!E87="","",'(6).Promotion Exam'!E87)</f>
        <v/>
      </c>
      <c r="S87" s="52" t="str">
        <f>IF('(6).Promotion Exam'!F87="","",'(6).Promotion Exam'!F87)</f>
        <v/>
      </c>
      <c r="T87" s="52" t="str">
        <f>IF('(6).Promotion Exam'!G87="","",'(6).Promotion Exam'!G87)</f>
        <v/>
      </c>
      <c r="U87" s="52" t="str">
        <f>IF('(6).Promotion Exam'!H87="","",'(6).Promotion Exam'!H87)</f>
        <v/>
      </c>
      <c r="V87" s="52" t="str">
        <f>IF('(6).Promotion Exam'!I87="","",'(6).Promotion Exam'!I87)</f>
        <v/>
      </c>
      <c r="W87" s="52" t="str">
        <f>IF('(6).Promotion Exam'!J87="","",'(6).Promotion Exam'!J87)</f>
        <v/>
      </c>
      <c r="X87" s="52" t="str">
        <f>IF('(6).Promotion Exam'!K87="","",'(6).Promotion Exam'!K87)</f>
        <v/>
      </c>
      <c r="Y87" s="52" t="str">
        <f>IF('(6).Promotion Exam'!L87="","",'(6).Promotion Exam'!L87)</f>
        <v/>
      </c>
      <c r="Z87" s="52" t="str">
        <f>IF('(6).Promotion Exam'!M87="","",'(6).Promotion Exam'!M87)</f>
        <v/>
      </c>
      <c r="AA87" s="53" t="str">
        <f>IF(B87="","",IF(P87="Incomplete","Incomplete",IF('(6).Promotion Exam'!N87="Change","Change",IF('(6).Promotion Exam'!N87="Stop","Stop",IF('(6).Promotion Exam'!N87="Incomplete","Incomplete",IF(COUNTBLANK(Q87:Z87)&gt;=1,"Incomplete",P87*20%+SUM(Q87:Z87)*80%))))))</f>
        <v/>
      </c>
      <c r="AB87" s="54" t="str">
        <f t="shared" si="16"/>
        <v/>
      </c>
      <c r="AC87" s="55" t="str">
        <f t="shared" si="17"/>
        <v/>
      </c>
      <c r="AD87" s="55" t="str">
        <f t="shared" si="18"/>
        <v/>
      </c>
      <c r="AE87" s="56" t="str">
        <f t="shared" si="19"/>
        <v/>
      </c>
      <c r="AF87" s="57" t="str">
        <f t="shared" si="20"/>
        <v/>
      </c>
      <c r="AG87" s="97" t="str">
        <f t="shared" si="21"/>
        <v/>
      </c>
      <c r="AH87" s="58" t="str">
        <f t="shared" si="22"/>
        <v/>
      </c>
      <c r="AI87" s="58" t="str">
        <f t="shared" si="23"/>
        <v/>
      </c>
      <c r="AJ87" s="59"/>
    </row>
    <row r="88" spans="1:36" ht="15.95" customHeight="1">
      <c r="A88" s="66">
        <v>10</v>
      </c>
      <c r="B88" s="63" t="str">
        <f>IF('(6).Promotion Exam'!B88="","",'(6).Promotion Exam'!B88)</f>
        <v/>
      </c>
      <c r="C88" s="67" t="str">
        <f>IF('(6).Promotion Exam'!C88="","",'(6).Promotion Exam'!C88)</f>
        <v/>
      </c>
      <c r="D88" s="51" t="str">
        <f>IF('(4).Midterm Results'!D88="","",'(4).Midterm Results'!D88)</f>
        <v/>
      </c>
      <c r="E88" s="52" t="str">
        <f>IF('(4).Midterm Results'!E88="","",'(4).Midterm Results'!E88)</f>
        <v/>
      </c>
      <c r="F88" s="52" t="str">
        <f>IF('(4).Midterm Results'!F88="","",'(4).Midterm Results'!F88)</f>
        <v/>
      </c>
      <c r="G88" s="52" t="str">
        <f>IF('(4).Midterm Results'!G88="","",'(4).Midterm Results'!G88)</f>
        <v/>
      </c>
      <c r="H88" s="52" t="str">
        <f>IF('(4).Midterm Results'!H88="","",'(4).Midterm Results'!H88)</f>
        <v/>
      </c>
      <c r="I88" s="52" t="str">
        <f>IF('(4).Midterm Results'!I88="","",'(4).Midterm Results'!I88)</f>
        <v/>
      </c>
      <c r="J88" s="52" t="str">
        <f>IF('(4).Midterm Results'!J88="","",'(4).Midterm Results'!J88)</f>
        <v/>
      </c>
      <c r="K88" s="52" t="str">
        <f>IF('(4).Midterm Results'!K88="","",'(4).Midterm Results'!K88)</f>
        <v/>
      </c>
      <c r="L88" s="52" t="str">
        <f>IF('(4).Midterm Results'!L88="","",'(4).Midterm Results'!L88)</f>
        <v/>
      </c>
      <c r="M88" s="52" t="str">
        <f>IF('(4).Midterm Results'!M88="","",'(4).Midterm Results'!M88)</f>
        <v/>
      </c>
      <c r="N88" s="52" t="str">
        <f>IF('(4).Midterm Results'!N88="","",'(4).Midterm Results'!N88)</f>
        <v/>
      </c>
      <c r="O88" s="53" t="str">
        <f>IF('(4).Midterm Results'!O88="","",'(4).Midterm Results'!O88)</f>
        <v/>
      </c>
      <c r="P88" s="51" t="str">
        <f>IF('(5).Promotion Daily'!AH88="","",'(5).Promotion Daily'!AH88)</f>
        <v/>
      </c>
      <c r="Q88" s="52" t="str">
        <f>IF('(6).Promotion Exam'!D88="","",'(6).Promotion Exam'!D88)</f>
        <v/>
      </c>
      <c r="R88" s="52" t="str">
        <f>IF('(6).Promotion Exam'!E88="","",'(6).Promotion Exam'!E88)</f>
        <v/>
      </c>
      <c r="S88" s="52" t="str">
        <f>IF('(6).Promotion Exam'!F88="","",'(6).Promotion Exam'!F88)</f>
        <v/>
      </c>
      <c r="T88" s="52" t="str">
        <f>IF('(6).Promotion Exam'!G88="","",'(6).Promotion Exam'!G88)</f>
        <v/>
      </c>
      <c r="U88" s="52" t="str">
        <f>IF('(6).Promotion Exam'!H88="","",'(6).Promotion Exam'!H88)</f>
        <v/>
      </c>
      <c r="V88" s="52" t="str">
        <f>IF('(6).Promotion Exam'!I88="","",'(6).Promotion Exam'!I88)</f>
        <v/>
      </c>
      <c r="W88" s="52" t="str">
        <f>IF('(6).Promotion Exam'!J88="","",'(6).Promotion Exam'!J88)</f>
        <v/>
      </c>
      <c r="X88" s="52" t="str">
        <f>IF('(6).Promotion Exam'!K88="","",'(6).Promotion Exam'!K88)</f>
        <v/>
      </c>
      <c r="Y88" s="52" t="str">
        <f>IF('(6).Promotion Exam'!L88="","",'(6).Promotion Exam'!L88)</f>
        <v/>
      </c>
      <c r="Z88" s="52" t="str">
        <f>IF('(6).Promotion Exam'!M88="","",'(6).Promotion Exam'!M88)</f>
        <v/>
      </c>
      <c r="AA88" s="53" t="str">
        <f>IF(B88="","",IF(P88="Incomplete","Incomplete",IF('(6).Promotion Exam'!N88="Change","Change",IF('(6).Promotion Exam'!N88="Stop","Stop",IF('(6).Promotion Exam'!N88="Incomplete","Incomplete",IF(COUNTBLANK(Q88:Z88)&gt;=1,"Incomplete",P88*20%+SUM(Q88:Z88)*80%))))))</f>
        <v/>
      </c>
      <c r="AB88" s="54" t="str">
        <f t="shared" si="16"/>
        <v/>
      </c>
      <c r="AC88" s="55" t="str">
        <f t="shared" si="17"/>
        <v/>
      </c>
      <c r="AD88" s="55" t="str">
        <f t="shared" si="18"/>
        <v/>
      </c>
      <c r="AE88" s="56" t="str">
        <f t="shared" si="19"/>
        <v/>
      </c>
      <c r="AF88" s="57" t="str">
        <f t="shared" si="20"/>
        <v/>
      </c>
      <c r="AG88" s="97" t="str">
        <f t="shared" si="21"/>
        <v/>
      </c>
      <c r="AH88" s="58" t="str">
        <f t="shared" si="22"/>
        <v/>
      </c>
      <c r="AI88" s="58" t="str">
        <f t="shared" si="23"/>
        <v/>
      </c>
      <c r="AJ88" s="59"/>
    </row>
    <row r="89" spans="1:36" ht="15.95" customHeight="1">
      <c r="A89" s="66">
        <v>11</v>
      </c>
      <c r="B89" s="63" t="str">
        <f>IF('(6).Promotion Exam'!B89="","",'(6).Promotion Exam'!B89)</f>
        <v/>
      </c>
      <c r="C89" s="67" t="str">
        <f>IF('(6).Promotion Exam'!C89="","",'(6).Promotion Exam'!C89)</f>
        <v/>
      </c>
      <c r="D89" s="51" t="str">
        <f>IF('(4).Midterm Results'!D89="","",'(4).Midterm Results'!D89)</f>
        <v/>
      </c>
      <c r="E89" s="52" t="str">
        <f>IF('(4).Midterm Results'!E89="","",'(4).Midterm Results'!E89)</f>
        <v/>
      </c>
      <c r="F89" s="52" t="str">
        <f>IF('(4).Midterm Results'!F89="","",'(4).Midterm Results'!F89)</f>
        <v/>
      </c>
      <c r="G89" s="52" t="str">
        <f>IF('(4).Midterm Results'!G89="","",'(4).Midterm Results'!G89)</f>
        <v/>
      </c>
      <c r="H89" s="52" t="str">
        <f>IF('(4).Midterm Results'!H89="","",'(4).Midterm Results'!H89)</f>
        <v/>
      </c>
      <c r="I89" s="52" t="str">
        <f>IF('(4).Midterm Results'!I89="","",'(4).Midterm Results'!I89)</f>
        <v/>
      </c>
      <c r="J89" s="52" t="str">
        <f>IF('(4).Midterm Results'!J89="","",'(4).Midterm Results'!J89)</f>
        <v/>
      </c>
      <c r="K89" s="52" t="str">
        <f>IF('(4).Midterm Results'!K89="","",'(4).Midterm Results'!K89)</f>
        <v/>
      </c>
      <c r="L89" s="52" t="str">
        <f>IF('(4).Midterm Results'!L89="","",'(4).Midterm Results'!L89)</f>
        <v/>
      </c>
      <c r="M89" s="52" t="str">
        <f>IF('(4).Midterm Results'!M89="","",'(4).Midterm Results'!M89)</f>
        <v/>
      </c>
      <c r="N89" s="52" t="str">
        <f>IF('(4).Midterm Results'!N89="","",'(4).Midterm Results'!N89)</f>
        <v/>
      </c>
      <c r="O89" s="53" t="str">
        <f>IF('(4).Midterm Results'!O89="","",'(4).Midterm Results'!O89)</f>
        <v/>
      </c>
      <c r="P89" s="51" t="str">
        <f>IF('(5).Promotion Daily'!AH89="","",'(5).Promotion Daily'!AH89)</f>
        <v/>
      </c>
      <c r="Q89" s="52" t="str">
        <f>IF('(6).Promotion Exam'!D89="","",'(6).Promotion Exam'!D89)</f>
        <v/>
      </c>
      <c r="R89" s="52" t="str">
        <f>IF('(6).Promotion Exam'!E89="","",'(6).Promotion Exam'!E89)</f>
        <v/>
      </c>
      <c r="S89" s="52" t="str">
        <f>IF('(6).Promotion Exam'!F89="","",'(6).Promotion Exam'!F89)</f>
        <v/>
      </c>
      <c r="T89" s="52" t="str">
        <f>IF('(6).Promotion Exam'!G89="","",'(6).Promotion Exam'!G89)</f>
        <v/>
      </c>
      <c r="U89" s="52" t="str">
        <f>IF('(6).Promotion Exam'!H89="","",'(6).Promotion Exam'!H89)</f>
        <v/>
      </c>
      <c r="V89" s="52" t="str">
        <f>IF('(6).Promotion Exam'!I89="","",'(6).Promotion Exam'!I89)</f>
        <v/>
      </c>
      <c r="W89" s="52" t="str">
        <f>IF('(6).Promotion Exam'!J89="","",'(6).Promotion Exam'!J89)</f>
        <v/>
      </c>
      <c r="X89" s="52" t="str">
        <f>IF('(6).Promotion Exam'!K89="","",'(6).Promotion Exam'!K89)</f>
        <v/>
      </c>
      <c r="Y89" s="52" t="str">
        <f>IF('(6).Promotion Exam'!L89="","",'(6).Promotion Exam'!L89)</f>
        <v/>
      </c>
      <c r="Z89" s="52" t="str">
        <f>IF('(6).Promotion Exam'!M89="","",'(6).Promotion Exam'!M89)</f>
        <v/>
      </c>
      <c r="AA89" s="53" t="str">
        <f>IF(B89="","",IF(P89="Incomplete","Incomplete",IF('(6).Promotion Exam'!N89="Change","Change",IF('(6).Promotion Exam'!N89="Stop","Stop",IF('(6).Promotion Exam'!N89="Incomplete","Incomplete",IF(COUNTBLANK(Q89:Z89)&gt;=1,"Incomplete",P89*20%+SUM(Q89:Z89)*80%))))))</f>
        <v/>
      </c>
      <c r="AB89" s="54" t="str">
        <f t="shared" si="16"/>
        <v/>
      </c>
      <c r="AC89" s="55" t="str">
        <f t="shared" si="17"/>
        <v/>
      </c>
      <c r="AD89" s="55" t="str">
        <f t="shared" si="18"/>
        <v/>
      </c>
      <c r="AE89" s="56" t="str">
        <f t="shared" si="19"/>
        <v/>
      </c>
      <c r="AF89" s="57" t="str">
        <f t="shared" si="20"/>
        <v/>
      </c>
      <c r="AG89" s="97" t="str">
        <f t="shared" si="21"/>
        <v/>
      </c>
      <c r="AH89" s="58" t="str">
        <f t="shared" si="22"/>
        <v/>
      </c>
      <c r="AI89" s="58" t="str">
        <f t="shared" si="23"/>
        <v/>
      </c>
      <c r="AJ89" s="59"/>
    </row>
    <row r="90" spans="1:36" ht="15.95" customHeight="1">
      <c r="A90" s="66">
        <v>12</v>
      </c>
      <c r="B90" s="63" t="str">
        <f>IF('(6).Promotion Exam'!B90="","",'(6).Promotion Exam'!B90)</f>
        <v/>
      </c>
      <c r="C90" s="67" t="str">
        <f>IF('(6).Promotion Exam'!C90="","",'(6).Promotion Exam'!C90)</f>
        <v/>
      </c>
      <c r="D90" s="51" t="str">
        <f>IF('(4).Midterm Results'!D90="","",'(4).Midterm Results'!D90)</f>
        <v/>
      </c>
      <c r="E90" s="52" t="str">
        <f>IF('(4).Midterm Results'!E90="","",'(4).Midterm Results'!E90)</f>
        <v/>
      </c>
      <c r="F90" s="52" t="str">
        <f>IF('(4).Midterm Results'!F90="","",'(4).Midterm Results'!F90)</f>
        <v/>
      </c>
      <c r="G90" s="52" t="str">
        <f>IF('(4).Midterm Results'!G90="","",'(4).Midterm Results'!G90)</f>
        <v/>
      </c>
      <c r="H90" s="52" t="str">
        <f>IF('(4).Midterm Results'!H90="","",'(4).Midterm Results'!H90)</f>
        <v/>
      </c>
      <c r="I90" s="52" t="str">
        <f>IF('(4).Midterm Results'!I90="","",'(4).Midterm Results'!I90)</f>
        <v/>
      </c>
      <c r="J90" s="52" t="str">
        <f>IF('(4).Midterm Results'!J90="","",'(4).Midterm Results'!J90)</f>
        <v/>
      </c>
      <c r="K90" s="52" t="str">
        <f>IF('(4).Midterm Results'!K90="","",'(4).Midterm Results'!K90)</f>
        <v/>
      </c>
      <c r="L90" s="52" t="str">
        <f>IF('(4).Midterm Results'!L90="","",'(4).Midterm Results'!L90)</f>
        <v/>
      </c>
      <c r="M90" s="52" t="str">
        <f>IF('(4).Midterm Results'!M90="","",'(4).Midterm Results'!M90)</f>
        <v/>
      </c>
      <c r="N90" s="52" t="str">
        <f>IF('(4).Midterm Results'!N90="","",'(4).Midterm Results'!N90)</f>
        <v/>
      </c>
      <c r="O90" s="53" t="str">
        <f>IF('(4).Midterm Results'!O90="","",'(4).Midterm Results'!O90)</f>
        <v/>
      </c>
      <c r="P90" s="51" t="str">
        <f>IF('(5).Promotion Daily'!AH90="","",'(5).Promotion Daily'!AH90)</f>
        <v/>
      </c>
      <c r="Q90" s="52" t="str">
        <f>IF('(6).Promotion Exam'!D90="","",'(6).Promotion Exam'!D90)</f>
        <v/>
      </c>
      <c r="R90" s="52" t="str">
        <f>IF('(6).Promotion Exam'!E90="","",'(6).Promotion Exam'!E90)</f>
        <v/>
      </c>
      <c r="S90" s="52" t="str">
        <f>IF('(6).Promotion Exam'!F90="","",'(6).Promotion Exam'!F90)</f>
        <v/>
      </c>
      <c r="T90" s="52" t="str">
        <f>IF('(6).Promotion Exam'!G90="","",'(6).Promotion Exam'!G90)</f>
        <v/>
      </c>
      <c r="U90" s="52" t="str">
        <f>IF('(6).Promotion Exam'!H90="","",'(6).Promotion Exam'!H90)</f>
        <v/>
      </c>
      <c r="V90" s="52" t="str">
        <f>IF('(6).Promotion Exam'!I90="","",'(6).Promotion Exam'!I90)</f>
        <v/>
      </c>
      <c r="W90" s="52" t="str">
        <f>IF('(6).Promotion Exam'!J90="","",'(6).Promotion Exam'!J90)</f>
        <v/>
      </c>
      <c r="X90" s="52" t="str">
        <f>IF('(6).Promotion Exam'!K90="","",'(6).Promotion Exam'!K90)</f>
        <v/>
      </c>
      <c r="Y90" s="52" t="str">
        <f>IF('(6).Promotion Exam'!L90="","",'(6).Promotion Exam'!L90)</f>
        <v/>
      </c>
      <c r="Z90" s="52" t="str">
        <f>IF('(6).Promotion Exam'!M90="","",'(6).Promotion Exam'!M90)</f>
        <v/>
      </c>
      <c r="AA90" s="53" t="str">
        <f>IF(B90="","",IF(P90="Incomplete","Incomplete",IF('(6).Promotion Exam'!N90="Change","Change",IF('(6).Promotion Exam'!N90="Stop","Stop",IF('(6).Promotion Exam'!N90="Incomplete","Incomplete",IF(COUNTBLANK(Q90:Z90)&gt;=1,"Incomplete",P90*20%+SUM(Q90:Z90)*80%))))))</f>
        <v/>
      </c>
      <c r="AB90" s="54" t="str">
        <f t="shared" si="16"/>
        <v/>
      </c>
      <c r="AC90" s="55" t="str">
        <f t="shared" si="17"/>
        <v/>
      </c>
      <c r="AD90" s="55" t="str">
        <f t="shared" si="18"/>
        <v/>
      </c>
      <c r="AE90" s="56" t="str">
        <f t="shared" si="19"/>
        <v/>
      </c>
      <c r="AF90" s="57" t="str">
        <f t="shared" si="20"/>
        <v/>
      </c>
      <c r="AG90" s="97" t="str">
        <f t="shared" si="21"/>
        <v/>
      </c>
      <c r="AH90" s="58" t="str">
        <f t="shared" si="22"/>
        <v/>
      </c>
      <c r="AI90" s="58" t="str">
        <f t="shared" si="23"/>
        <v/>
      </c>
      <c r="AJ90" s="59"/>
    </row>
    <row r="91" spans="1:36" ht="15.95" customHeight="1">
      <c r="A91" s="66">
        <v>13</v>
      </c>
      <c r="B91" s="63" t="str">
        <f>IF('(6).Promotion Exam'!B91="","",'(6).Promotion Exam'!B91)</f>
        <v/>
      </c>
      <c r="C91" s="67" t="str">
        <f>IF('(6).Promotion Exam'!C91="","",'(6).Promotion Exam'!C91)</f>
        <v/>
      </c>
      <c r="D91" s="51" t="str">
        <f>IF('(4).Midterm Results'!D91="","",'(4).Midterm Results'!D91)</f>
        <v/>
      </c>
      <c r="E91" s="52" t="str">
        <f>IF('(4).Midterm Results'!E91="","",'(4).Midterm Results'!E91)</f>
        <v/>
      </c>
      <c r="F91" s="52" t="str">
        <f>IF('(4).Midterm Results'!F91="","",'(4).Midterm Results'!F91)</f>
        <v/>
      </c>
      <c r="G91" s="52" t="str">
        <f>IF('(4).Midterm Results'!G91="","",'(4).Midterm Results'!G91)</f>
        <v/>
      </c>
      <c r="H91" s="52" t="str">
        <f>IF('(4).Midterm Results'!H91="","",'(4).Midterm Results'!H91)</f>
        <v/>
      </c>
      <c r="I91" s="52" t="str">
        <f>IF('(4).Midterm Results'!I91="","",'(4).Midterm Results'!I91)</f>
        <v/>
      </c>
      <c r="J91" s="52" t="str">
        <f>IF('(4).Midterm Results'!J91="","",'(4).Midterm Results'!J91)</f>
        <v/>
      </c>
      <c r="K91" s="52" t="str">
        <f>IF('(4).Midterm Results'!K91="","",'(4).Midterm Results'!K91)</f>
        <v/>
      </c>
      <c r="L91" s="52" t="str">
        <f>IF('(4).Midterm Results'!L91="","",'(4).Midterm Results'!L91)</f>
        <v/>
      </c>
      <c r="M91" s="52" t="str">
        <f>IF('(4).Midterm Results'!M91="","",'(4).Midterm Results'!M91)</f>
        <v/>
      </c>
      <c r="N91" s="52" t="str">
        <f>IF('(4).Midterm Results'!N91="","",'(4).Midterm Results'!N91)</f>
        <v/>
      </c>
      <c r="O91" s="53" t="str">
        <f>IF('(4).Midterm Results'!O91="","",'(4).Midterm Results'!O91)</f>
        <v/>
      </c>
      <c r="P91" s="51" t="str">
        <f>IF('(5).Promotion Daily'!AH91="","",'(5).Promotion Daily'!AH91)</f>
        <v/>
      </c>
      <c r="Q91" s="52" t="str">
        <f>IF('(6).Promotion Exam'!D91="","",'(6).Promotion Exam'!D91)</f>
        <v/>
      </c>
      <c r="R91" s="52" t="str">
        <f>IF('(6).Promotion Exam'!E91="","",'(6).Promotion Exam'!E91)</f>
        <v/>
      </c>
      <c r="S91" s="52" t="str">
        <f>IF('(6).Promotion Exam'!F91="","",'(6).Promotion Exam'!F91)</f>
        <v/>
      </c>
      <c r="T91" s="52" t="str">
        <f>IF('(6).Promotion Exam'!G91="","",'(6).Promotion Exam'!G91)</f>
        <v/>
      </c>
      <c r="U91" s="52" t="str">
        <f>IF('(6).Promotion Exam'!H91="","",'(6).Promotion Exam'!H91)</f>
        <v/>
      </c>
      <c r="V91" s="52" t="str">
        <f>IF('(6).Promotion Exam'!I91="","",'(6).Promotion Exam'!I91)</f>
        <v/>
      </c>
      <c r="W91" s="52" t="str">
        <f>IF('(6).Promotion Exam'!J91="","",'(6).Promotion Exam'!J91)</f>
        <v/>
      </c>
      <c r="X91" s="52" t="str">
        <f>IF('(6).Promotion Exam'!K91="","",'(6).Promotion Exam'!K91)</f>
        <v/>
      </c>
      <c r="Y91" s="52" t="str">
        <f>IF('(6).Promotion Exam'!L91="","",'(6).Promotion Exam'!L91)</f>
        <v/>
      </c>
      <c r="Z91" s="52" t="str">
        <f>IF('(6).Promotion Exam'!M91="","",'(6).Promotion Exam'!M91)</f>
        <v/>
      </c>
      <c r="AA91" s="53" t="str">
        <f>IF(B91="","",IF(P91="Incomplete","Incomplete",IF('(6).Promotion Exam'!N91="Change","Change",IF('(6).Promotion Exam'!N91="Stop","Stop",IF('(6).Promotion Exam'!N91="Incomplete","Incomplete",IF(COUNTBLANK(Q91:Z91)&gt;=1,"Incomplete",P91*20%+SUM(Q91:Z91)*80%))))))</f>
        <v/>
      </c>
      <c r="AB91" s="54" t="str">
        <f t="shared" si="16"/>
        <v/>
      </c>
      <c r="AC91" s="55" t="str">
        <f t="shared" si="17"/>
        <v/>
      </c>
      <c r="AD91" s="55" t="str">
        <f t="shared" si="18"/>
        <v/>
      </c>
      <c r="AE91" s="56" t="str">
        <f t="shared" si="19"/>
        <v/>
      </c>
      <c r="AF91" s="57" t="str">
        <f t="shared" si="20"/>
        <v/>
      </c>
      <c r="AG91" s="97" t="str">
        <f t="shared" si="21"/>
        <v/>
      </c>
      <c r="AH91" s="58" t="str">
        <f t="shared" si="22"/>
        <v/>
      </c>
      <c r="AI91" s="58" t="str">
        <f t="shared" si="23"/>
        <v/>
      </c>
      <c r="AJ91" s="59"/>
    </row>
    <row r="92" spans="1:36" ht="15.95" customHeight="1">
      <c r="A92" s="66">
        <v>14</v>
      </c>
      <c r="B92" s="63" t="str">
        <f>IF('(6).Promotion Exam'!B92="","",'(6).Promotion Exam'!B92)</f>
        <v/>
      </c>
      <c r="C92" s="67" t="str">
        <f>IF('(6).Promotion Exam'!C92="","",'(6).Promotion Exam'!C92)</f>
        <v/>
      </c>
      <c r="D92" s="51" t="str">
        <f>IF('(4).Midterm Results'!D92="","",'(4).Midterm Results'!D92)</f>
        <v/>
      </c>
      <c r="E92" s="52" t="str">
        <f>IF('(4).Midterm Results'!E92="","",'(4).Midterm Results'!E92)</f>
        <v/>
      </c>
      <c r="F92" s="52" t="str">
        <f>IF('(4).Midterm Results'!F92="","",'(4).Midterm Results'!F92)</f>
        <v/>
      </c>
      <c r="G92" s="52" t="str">
        <f>IF('(4).Midterm Results'!G92="","",'(4).Midterm Results'!G92)</f>
        <v/>
      </c>
      <c r="H92" s="52" t="str">
        <f>IF('(4).Midterm Results'!H92="","",'(4).Midterm Results'!H92)</f>
        <v/>
      </c>
      <c r="I92" s="52" t="str">
        <f>IF('(4).Midterm Results'!I92="","",'(4).Midterm Results'!I92)</f>
        <v/>
      </c>
      <c r="J92" s="52" t="str">
        <f>IF('(4).Midterm Results'!J92="","",'(4).Midterm Results'!J92)</f>
        <v/>
      </c>
      <c r="K92" s="52" t="str">
        <f>IF('(4).Midterm Results'!K92="","",'(4).Midterm Results'!K92)</f>
        <v/>
      </c>
      <c r="L92" s="52" t="str">
        <f>IF('(4).Midterm Results'!L92="","",'(4).Midterm Results'!L92)</f>
        <v/>
      </c>
      <c r="M92" s="52" t="str">
        <f>IF('(4).Midterm Results'!M92="","",'(4).Midterm Results'!M92)</f>
        <v/>
      </c>
      <c r="N92" s="52" t="str">
        <f>IF('(4).Midterm Results'!N92="","",'(4).Midterm Results'!N92)</f>
        <v/>
      </c>
      <c r="O92" s="53" t="str">
        <f>IF('(4).Midterm Results'!O92="","",'(4).Midterm Results'!O92)</f>
        <v/>
      </c>
      <c r="P92" s="51" t="str">
        <f>IF('(5).Promotion Daily'!AH92="","",'(5).Promotion Daily'!AH92)</f>
        <v/>
      </c>
      <c r="Q92" s="52" t="str">
        <f>IF('(6).Promotion Exam'!D92="","",'(6).Promotion Exam'!D92)</f>
        <v/>
      </c>
      <c r="R92" s="52" t="str">
        <f>IF('(6).Promotion Exam'!E92="","",'(6).Promotion Exam'!E92)</f>
        <v/>
      </c>
      <c r="S92" s="52" t="str">
        <f>IF('(6).Promotion Exam'!F92="","",'(6).Promotion Exam'!F92)</f>
        <v/>
      </c>
      <c r="T92" s="52" t="str">
        <f>IF('(6).Promotion Exam'!G92="","",'(6).Promotion Exam'!G92)</f>
        <v/>
      </c>
      <c r="U92" s="52" t="str">
        <f>IF('(6).Promotion Exam'!H92="","",'(6).Promotion Exam'!H92)</f>
        <v/>
      </c>
      <c r="V92" s="52" t="str">
        <f>IF('(6).Promotion Exam'!I92="","",'(6).Promotion Exam'!I92)</f>
        <v/>
      </c>
      <c r="W92" s="52" t="str">
        <f>IF('(6).Promotion Exam'!J92="","",'(6).Promotion Exam'!J92)</f>
        <v/>
      </c>
      <c r="X92" s="52" t="str">
        <f>IF('(6).Promotion Exam'!K92="","",'(6).Promotion Exam'!K92)</f>
        <v/>
      </c>
      <c r="Y92" s="52" t="str">
        <f>IF('(6).Promotion Exam'!L92="","",'(6).Promotion Exam'!L92)</f>
        <v/>
      </c>
      <c r="Z92" s="52" t="str">
        <f>IF('(6).Promotion Exam'!M92="","",'(6).Promotion Exam'!M92)</f>
        <v/>
      </c>
      <c r="AA92" s="53" t="str">
        <f>IF(B92="","",IF(P92="Incomplete","Incomplete",IF('(6).Promotion Exam'!N92="Change","Change",IF('(6).Promotion Exam'!N92="Stop","Stop",IF('(6).Promotion Exam'!N92="Incomplete","Incomplete",IF(COUNTBLANK(Q92:Z92)&gt;=1,"Incomplete",P92*20%+SUM(Q92:Z92)*80%))))))</f>
        <v/>
      </c>
      <c r="AB92" s="54" t="str">
        <f t="shared" si="16"/>
        <v/>
      </c>
      <c r="AC92" s="55" t="str">
        <f t="shared" si="17"/>
        <v/>
      </c>
      <c r="AD92" s="55" t="str">
        <f t="shared" si="18"/>
        <v/>
      </c>
      <c r="AE92" s="56" t="str">
        <f t="shared" si="19"/>
        <v/>
      </c>
      <c r="AF92" s="57" t="str">
        <f t="shared" si="20"/>
        <v/>
      </c>
      <c r="AG92" s="97" t="str">
        <f t="shared" si="21"/>
        <v/>
      </c>
      <c r="AH92" s="58" t="str">
        <f t="shared" si="22"/>
        <v/>
      </c>
      <c r="AI92" s="58" t="str">
        <f t="shared" si="23"/>
        <v/>
      </c>
      <c r="AJ92" s="59"/>
    </row>
    <row r="93" spans="1:36" ht="15.95" customHeight="1">
      <c r="A93" s="66">
        <v>15</v>
      </c>
      <c r="B93" s="63" t="str">
        <f>IF('(6).Promotion Exam'!B93="","",'(6).Promotion Exam'!B93)</f>
        <v/>
      </c>
      <c r="C93" s="67" t="str">
        <f>IF('(6).Promotion Exam'!C93="","",'(6).Promotion Exam'!C93)</f>
        <v/>
      </c>
      <c r="D93" s="51" t="str">
        <f>IF('(4).Midterm Results'!D93="","",'(4).Midterm Results'!D93)</f>
        <v/>
      </c>
      <c r="E93" s="52" t="str">
        <f>IF('(4).Midterm Results'!E93="","",'(4).Midterm Results'!E93)</f>
        <v/>
      </c>
      <c r="F93" s="52" t="str">
        <f>IF('(4).Midterm Results'!F93="","",'(4).Midterm Results'!F93)</f>
        <v/>
      </c>
      <c r="G93" s="52" t="str">
        <f>IF('(4).Midterm Results'!G93="","",'(4).Midterm Results'!G93)</f>
        <v/>
      </c>
      <c r="H93" s="52" t="str">
        <f>IF('(4).Midterm Results'!H93="","",'(4).Midterm Results'!H93)</f>
        <v/>
      </c>
      <c r="I93" s="52" t="str">
        <f>IF('(4).Midterm Results'!I93="","",'(4).Midterm Results'!I93)</f>
        <v/>
      </c>
      <c r="J93" s="52" t="str">
        <f>IF('(4).Midterm Results'!J93="","",'(4).Midterm Results'!J93)</f>
        <v/>
      </c>
      <c r="K93" s="52" t="str">
        <f>IF('(4).Midterm Results'!K93="","",'(4).Midterm Results'!K93)</f>
        <v/>
      </c>
      <c r="L93" s="52" t="str">
        <f>IF('(4).Midterm Results'!L93="","",'(4).Midterm Results'!L93)</f>
        <v/>
      </c>
      <c r="M93" s="52" t="str">
        <f>IF('(4).Midterm Results'!M93="","",'(4).Midterm Results'!M93)</f>
        <v/>
      </c>
      <c r="N93" s="52" t="str">
        <f>IF('(4).Midterm Results'!N93="","",'(4).Midterm Results'!N93)</f>
        <v/>
      </c>
      <c r="O93" s="53" t="str">
        <f>IF('(4).Midterm Results'!O93="","",'(4).Midterm Results'!O93)</f>
        <v/>
      </c>
      <c r="P93" s="51" t="str">
        <f>IF('(5).Promotion Daily'!AH93="","",'(5).Promotion Daily'!AH93)</f>
        <v/>
      </c>
      <c r="Q93" s="52" t="str">
        <f>IF('(6).Promotion Exam'!D93="","",'(6).Promotion Exam'!D93)</f>
        <v/>
      </c>
      <c r="R93" s="52" t="str">
        <f>IF('(6).Promotion Exam'!E93="","",'(6).Promotion Exam'!E93)</f>
        <v/>
      </c>
      <c r="S93" s="52" t="str">
        <f>IF('(6).Promotion Exam'!F93="","",'(6).Promotion Exam'!F93)</f>
        <v/>
      </c>
      <c r="T93" s="52" t="str">
        <f>IF('(6).Promotion Exam'!G93="","",'(6).Promotion Exam'!G93)</f>
        <v/>
      </c>
      <c r="U93" s="52" t="str">
        <f>IF('(6).Promotion Exam'!H93="","",'(6).Promotion Exam'!H93)</f>
        <v/>
      </c>
      <c r="V93" s="52" t="str">
        <f>IF('(6).Promotion Exam'!I93="","",'(6).Promotion Exam'!I93)</f>
        <v/>
      </c>
      <c r="W93" s="52" t="str">
        <f>IF('(6).Promotion Exam'!J93="","",'(6).Promotion Exam'!J93)</f>
        <v/>
      </c>
      <c r="X93" s="52" t="str">
        <f>IF('(6).Promotion Exam'!K93="","",'(6).Promotion Exam'!K93)</f>
        <v/>
      </c>
      <c r="Y93" s="52" t="str">
        <f>IF('(6).Promotion Exam'!L93="","",'(6).Promotion Exam'!L93)</f>
        <v/>
      </c>
      <c r="Z93" s="52" t="str">
        <f>IF('(6).Promotion Exam'!M93="","",'(6).Promotion Exam'!M93)</f>
        <v/>
      </c>
      <c r="AA93" s="53" t="str">
        <f>IF(B93="","",IF(P93="Incomplete","Incomplete",IF('(6).Promotion Exam'!N93="Change","Change",IF('(6).Promotion Exam'!N93="Stop","Stop",IF('(6).Promotion Exam'!N93="Incomplete","Incomplete",IF(COUNTBLANK(Q93:Z93)&gt;=1,"Incomplete",P93*20%+SUM(Q93:Z93)*80%))))))</f>
        <v/>
      </c>
      <c r="AB93" s="54" t="str">
        <f t="shared" si="16"/>
        <v/>
      </c>
      <c r="AC93" s="55" t="str">
        <f t="shared" si="17"/>
        <v/>
      </c>
      <c r="AD93" s="55" t="str">
        <f t="shared" si="18"/>
        <v/>
      </c>
      <c r="AE93" s="56" t="str">
        <f t="shared" si="19"/>
        <v/>
      </c>
      <c r="AF93" s="57" t="str">
        <f t="shared" si="20"/>
        <v/>
      </c>
      <c r="AG93" s="97" t="str">
        <f t="shared" si="21"/>
        <v/>
      </c>
      <c r="AH93" s="58" t="str">
        <f t="shared" si="22"/>
        <v/>
      </c>
      <c r="AI93" s="58" t="str">
        <f t="shared" si="23"/>
        <v/>
      </c>
      <c r="AJ93" s="59"/>
    </row>
    <row r="94" spans="1:36" ht="15.95" customHeight="1">
      <c r="A94" s="66">
        <v>16</v>
      </c>
      <c r="B94" s="63" t="str">
        <f>IF('(6).Promotion Exam'!B94="","",'(6).Promotion Exam'!B94)</f>
        <v/>
      </c>
      <c r="C94" s="67" t="str">
        <f>IF('(6).Promotion Exam'!C94="","",'(6).Promotion Exam'!C94)</f>
        <v/>
      </c>
      <c r="D94" s="51" t="str">
        <f>IF('(4).Midterm Results'!D94="","",'(4).Midterm Results'!D94)</f>
        <v/>
      </c>
      <c r="E94" s="52" t="str">
        <f>IF('(4).Midterm Results'!E94="","",'(4).Midterm Results'!E94)</f>
        <v/>
      </c>
      <c r="F94" s="52" t="str">
        <f>IF('(4).Midterm Results'!F94="","",'(4).Midterm Results'!F94)</f>
        <v/>
      </c>
      <c r="G94" s="52" t="str">
        <f>IF('(4).Midterm Results'!G94="","",'(4).Midterm Results'!G94)</f>
        <v/>
      </c>
      <c r="H94" s="52" t="str">
        <f>IF('(4).Midterm Results'!H94="","",'(4).Midterm Results'!H94)</f>
        <v/>
      </c>
      <c r="I94" s="52" t="str">
        <f>IF('(4).Midterm Results'!I94="","",'(4).Midterm Results'!I94)</f>
        <v/>
      </c>
      <c r="J94" s="52" t="str">
        <f>IF('(4).Midterm Results'!J94="","",'(4).Midterm Results'!J94)</f>
        <v/>
      </c>
      <c r="K94" s="52" t="str">
        <f>IF('(4).Midterm Results'!K94="","",'(4).Midterm Results'!K94)</f>
        <v/>
      </c>
      <c r="L94" s="52" t="str">
        <f>IF('(4).Midterm Results'!L94="","",'(4).Midterm Results'!L94)</f>
        <v/>
      </c>
      <c r="M94" s="52" t="str">
        <f>IF('(4).Midterm Results'!M94="","",'(4).Midterm Results'!M94)</f>
        <v/>
      </c>
      <c r="N94" s="52" t="str">
        <f>IF('(4).Midterm Results'!N94="","",'(4).Midterm Results'!N94)</f>
        <v/>
      </c>
      <c r="O94" s="53" t="str">
        <f>IF('(4).Midterm Results'!O94="","",'(4).Midterm Results'!O94)</f>
        <v/>
      </c>
      <c r="P94" s="51" t="str">
        <f>IF('(5).Promotion Daily'!AH94="","",'(5).Promotion Daily'!AH94)</f>
        <v/>
      </c>
      <c r="Q94" s="52" t="str">
        <f>IF('(6).Promotion Exam'!D94="","",'(6).Promotion Exam'!D94)</f>
        <v/>
      </c>
      <c r="R94" s="52" t="str">
        <f>IF('(6).Promotion Exam'!E94="","",'(6).Promotion Exam'!E94)</f>
        <v/>
      </c>
      <c r="S94" s="52" t="str">
        <f>IF('(6).Promotion Exam'!F94="","",'(6).Promotion Exam'!F94)</f>
        <v/>
      </c>
      <c r="T94" s="52" t="str">
        <f>IF('(6).Promotion Exam'!G94="","",'(6).Promotion Exam'!G94)</f>
        <v/>
      </c>
      <c r="U94" s="52" t="str">
        <f>IF('(6).Promotion Exam'!H94="","",'(6).Promotion Exam'!H94)</f>
        <v/>
      </c>
      <c r="V94" s="52" t="str">
        <f>IF('(6).Promotion Exam'!I94="","",'(6).Promotion Exam'!I94)</f>
        <v/>
      </c>
      <c r="W94" s="52" t="str">
        <f>IF('(6).Promotion Exam'!J94="","",'(6).Promotion Exam'!J94)</f>
        <v/>
      </c>
      <c r="X94" s="52" t="str">
        <f>IF('(6).Promotion Exam'!K94="","",'(6).Promotion Exam'!K94)</f>
        <v/>
      </c>
      <c r="Y94" s="52" t="str">
        <f>IF('(6).Promotion Exam'!L94="","",'(6).Promotion Exam'!L94)</f>
        <v/>
      </c>
      <c r="Z94" s="52" t="str">
        <f>IF('(6).Promotion Exam'!M94="","",'(6).Promotion Exam'!M94)</f>
        <v/>
      </c>
      <c r="AA94" s="53" t="str">
        <f>IF(B94="","",IF(P94="Incomplete","Incomplete",IF('(6).Promotion Exam'!N94="Change","Change",IF('(6).Promotion Exam'!N94="Stop","Stop",IF('(6).Promotion Exam'!N94="Incomplete","Incomplete",IF(COUNTBLANK(Q94:Z94)&gt;=1,"Incomplete",P94*20%+SUM(Q94:Z94)*80%))))))</f>
        <v/>
      </c>
      <c r="AB94" s="54" t="str">
        <f t="shared" si="16"/>
        <v/>
      </c>
      <c r="AC94" s="55" t="str">
        <f t="shared" si="17"/>
        <v/>
      </c>
      <c r="AD94" s="55" t="str">
        <f t="shared" si="18"/>
        <v/>
      </c>
      <c r="AE94" s="56" t="str">
        <f t="shared" si="19"/>
        <v/>
      </c>
      <c r="AF94" s="57" t="str">
        <f t="shared" si="20"/>
        <v/>
      </c>
      <c r="AG94" s="97" t="str">
        <f t="shared" si="21"/>
        <v/>
      </c>
      <c r="AH94" s="58" t="str">
        <f t="shared" si="22"/>
        <v/>
      </c>
      <c r="AI94" s="58" t="str">
        <f t="shared" si="23"/>
        <v/>
      </c>
      <c r="AJ94" s="59"/>
    </row>
    <row r="95" spans="1:36" ht="15.95" customHeight="1">
      <c r="A95" s="66">
        <v>17</v>
      </c>
      <c r="B95" s="63" t="str">
        <f>IF('(6).Promotion Exam'!B95="","",'(6).Promotion Exam'!B95)</f>
        <v/>
      </c>
      <c r="C95" s="67" t="str">
        <f>IF('(6).Promotion Exam'!C95="","",'(6).Promotion Exam'!C95)</f>
        <v/>
      </c>
      <c r="D95" s="51" t="str">
        <f>IF('(4).Midterm Results'!D95="","",'(4).Midterm Results'!D95)</f>
        <v/>
      </c>
      <c r="E95" s="52" t="str">
        <f>IF('(4).Midterm Results'!E95="","",'(4).Midterm Results'!E95)</f>
        <v/>
      </c>
      <c r="F95" s="52" t="str">
        <f>IF('(4).Midterm Results'!F95="","",'(4).Midterm Results'!F95)</f>
        <v/>
      </c>
      <c r="G95" s="52" t="str">
        <f>IF('(4).Midterm Results'!G95="","",'(4).Midterm Results'!G95)</f>
        <v/>
      </c>
      <c r="H95" s="52" t="str">
        <f>IF('(4).Midterm Results'!H95="","",'(4).Midterm Results'!H95)</f>
        <v/>
      </c>
      <c r="I95" s="52" t="str">
        <f>IF('(4).Midterm Results'!I95="","",'(4).Midterm Results'!I95)</f>
        <v/>
      </c>
      <c r="J95" s="52" t="str">
        <f>IF('(4).Midterm Results'!J95="","",'(4).Midterm Results'!J95)</f>
        <v/>
      </c>
      <c r="K95" s="52" t="str">
        <f>IF('(4).Midterm Results'!K95="","",'(4).Midterm Results'!K95)</f>
        <v/>
      </c>
      <c r="L95" s="52" t="str">
        <f>IF('(4).Midterm Results'!L95="","",'(4).Midterm Results'!L95)</f>
        <v/>
      </c>
      <c r="M95" s="52" t="str">
        <f>IF('(4).Midterm Results'!M95="","",'(4).Midterm Results'!M95)</f>
        <v/>
      </c>
      <c r="N95" s="52" t="str">
        <f>IF('(4).Midterm Results'!N95="","",'(4).Midterm Results'!N95)</f>
        <v/>
      </c>
      <c r="O95" s="53" t="str">
        <f>IF('(4).Midterm Results'!O95="","",'(4).Midterm Results'!O95)</f>
        <v/>
      </c>
      <c r="P95" s="51" t="str">
        <f>IF('(5).Promotion Daily'!AH95="","",'(5).Promotion Daily'!AH95)</f>
        <v/>
      </c>
      <c r="Q95" s="52" t="str">
        <f>IF('(6).Promotion Exam'!D95="","",'(6).Promotion Exam'!D95)</f>
        <v/>
      </c>
      <c r="R95" s="52" t="str">
        <f>IF('(6).Promotion Exam'!E95="","",'(6).Promotion Exam'!E95)</f>
        <v/>
      </c>
      <c r="S95" s="52" t="str">
        <f>IF('(6).Promotion Exam'!F95="","",'(6).Promotion Exam'!F95)</f>
        <v/>
      </c>
      <c r="T95" s="52" t="str">
        <f>IF('(6).Promotion Exam'!G95="","",'(6).Promotion Exam'!G95)</f>
        <v/>
      </c>
      <c r="U95" s="52" t="str">
        <f>IF('(6).Promotion Exam'!H95="","",'(6).Promotion Exam'!H95)</f>
        <v/>
      </c>
      <c r="V95" s="52" t="str">
        <f>IF('(6).Promotion Exam'!I95="","",'(6).Promotion Exam'!I95)</f>
        <v/>
      </c>
      <c r="W95" s="52" t="str">
        <f>IF('(6).Promotion Exam'!J95="","",'(6).Promotion Exam'!J95)</f>
        <v/>
      </c>
      <c r="X95" s="52" t="str">
        <f>IF('(6).Promotion Exam'!K95="","",'(6).Promotion Exam'!K95)</f>
        <v/>
      </c>
      <c r="Y95" s="52" t="str">
        <f>IF('(6).Promotion Exam'!L95="","",'(6).Promotion Exam'!L95)</f>
        <v/>
      </c>
      <c r="Z95" s="52" t="str">
        <f>IF('(6).Promotion Exam'!M95="","",'(6).Promotion Exam'!M95)</f>
        <v/>
      </c>
      <c r="AA95" s="53" t="str">
        <f>IF(B95="","",IF(P95="Incomplete","Incomplete",IF('(6).Promotion Exam'!N95="Change","Change",IF('(6).Promotion Exam'!N95="Stop","Stop",IF('(6).Promotion Exam'!N95="Incomplete","Incomplete",IF(COUNTBLANK(Q95:Z95)&gt;=1,"Incomplete",P95*20%+SUM(Q95:Z95)*80%))))))</f>
        <v/>
      </c>
      <c r="AB95" s="54" t="str">
        <f t="shared" si="16"/>
        <v/>
      </c>
      <c r="AC95" s="55" t="str">
        <f t="shared" si="17"/>
        <v/>
      </c>
      <c r="AD95" s="55" t="str">
        <f t="shared" si="18"/>
        <v/>
      </c>
      <c r="AE95" s="56" t="str">
        <f t="shared" si="19"/>
        <v/>
      </c>
      <c r="AF95" s="57" t="str">
        <f t="shared" si="20"/>
        <v/>
      </c>
      <c r="AG95" s="97" t="str">
        <f t="shared" si="21"/>
        <v/>
      </c>
      <c r="AH95" s="58" t="str">
        <f t="shared" si="22"/>
        <v/>
      </c>
      <c r="AI95" s="58" t="str">
        <f t="shared" si="23"/>
        <v/>
      </c>
      <c r="AJ95" s="59"/>
    </row>
    <row r="96" spans="1:36" ht="15.95" customHeight="1">
      <c r="A96" s="66">
        <v>18</v>
      </c>
      <c r="B96" s="63" t="str">
        <f>IF('(6).Promotion Exam'!B96="","",'(6).Promotion Exam'!B96)</f>
        <v/>
      </c>
      <c r="C96" s="67" t="str">
        <f>IF('(6).Promotion Exam'!C96="","",'(6).Promotion Exam'!C96)</f>
        <v/>
      </c>
      <c r="D96" s="51" t="str">
        <f>IF('(4).Midterm Results'!D96="","",'(4).Midterm Results'!D96)</f>
        <v/>
      </c>
      <c r="E96" s="52" t="str">
        <f>IF('(4).Midterm Results'!E96="","",'(4).Midterm Results'!E96)</f>
        <v/>
      </c>
      <c r="F96" s="52" t="str">
        <f>IF('(4).Midterm Results'!F96="","",'(4).Midterm Results'!F96)</f>
        <v/>
      </c>
      <c r="G96" s="52" t="str">
        <f>IF('(4).Midterm Results'!G96="","",'(4).Midterm Results'!G96)</f>
        <v/>
      </c>
      <c r="H96" s="52" t="str">
        <f>IF('(4).Midterm Results'!H96="","",'(4).Midterm Results'!H96)</f>
        <v/>
      </c>
      <c r="I96" s="52" t="str">
        <f>IF('(4).Midterm Results'!I96="","",'(4).Midterm Results'!I96)</f>
        <v/>
      </c>
      <c r="J96" s="52" t="str">
        <f>IF('(4).Midterm Results'!J96="","",'(4).Midterm Results'!J96)</f>
        <v/>
      </c>
      <c r="K96" s="52" t="str">
        <f>IF('(4).Midterm Results'!K96="","",'(4).Midterm Results'!K96)</f>
        <v/>
      </c>
      <c r="L96" s="52" t="str">
        <f>IF('(4).Midterm Results'!L96="","",'(4).Midterm Results'!L96)</f>
        <v/>
      </c>
      <c r="M96" s="52" t="str">
        <f>IF('(4).Midterm Results'!M96="","",'(4).Midterm Results'!M96)</f>
        <v/>
      </c>
      <c r="N96" s="52" t="str">
        <f>IF('(4).Midterm Results'!N96="","",'(4).Midterm Results'!N96)</f>
        <v/>
      </c>
      <c r="O96" s="53" t="str">
        <f>IF('(4).Midterm Results'!O96="","",'(4).Midterm Results'!O96)</f>
        <v/>
      </c>
      <c r="P96" s="51" t="str">
        <f>IF('(5).Promotion Daily'!AH96="","",'(5).Promotion Daily'!AH96)</f>
        <v/>
      </c>
      <c r="Q96" s="52" t="str">
        <f>IF('(6).Promotion Exam'!D96="","",'(6).Promotion Exam'!D96)</f>
        <v/>
      </c>
      <c r="R96" s="52" t="str">
        <f>IF('(6).Promotion Exam'!E96="","",'(6).Promotion Exam'!E96)</f>
        <v/>
      </c>
      <c r="S96" s="52" t="str">
        <f>IF('(6).Promotion Exam'!F96="","",'(6).Promotion Exam'!F96)</f>
        <v/>
      </c>
      <c r="T96" s="52" t="str">
        <f>IF('(6).Promotion Exam'!G96="","",'(6).Promotion Exam'!G96)</f>
        <v/>
      </c>
      <c r="U96" s="52" t="str">
        <f>IF('(6).Promotion Exam'!H96="","",'(6).Promotion Exam'!H96)</f>
        <v/>
      </c>
      <c r="V96" s="52" t="str">
        <f>IF('(6).Promotion Exam'!I96="","",'(6).Promotion Exam'!I96)</f>
        <v/>
      </c>
      <c r="W96" s="52" t="str">
        <f>IF('(6).Promotion Exam'!J96="","",'(6).Promotion Exam'!J96)</f>
        <v/>
      </c>
      <c r="X96" s="52" t="str">
        <f>IF('(6).Promotion Exam'!K96="","",'(6).Promotion Exam'!K96)</f>
        <v/>
      </c>
      <c r="Y96" s="52" t="str">
        <f>IF('(6).Promotion Exam'!L96="","",'(6).Promotion Exam'!L96)</f>
        <v/>
      </c>
      <c r="Z96" s="52" t="str">
        <f>IF('(6).Promotion Exam'!M96="","",'(6).Promotion Exam'!M96)</f>
        <v/>
      </c>
      <c r="AA96" s="53" t="str">
        <f>IF(B96="","",IF(P96="Incomplete","Incomplete",IF('(6).Promotion Exam'!N96="Change","Change",IF('(6).Promotion Exam'!N96="Stop","Stop",IF('(6).Promotion Exam'!N96="Incomplete","Incomplete",IF(COUNTBLANK(Q96:Z96)&gt;=1,"Incomplete",P96*20%+SUM(Q96:Z96)*80%))))))</f>
        <v/>
      </c>
      <c r="AB96" s="54" t="str">
        <f t="shared" si="16"/>
        <v/>
      </c>
      <c r="AC96" s="55" t="str">
        <f t="shared" si="17"/>
        <v/>
      </c>
      <c r="AD96" s="55" t="str">
        <f t="shared" si="18"/>
        <v/>
      </c>
      <c r="AE96" s="56" t="str">
        <f t="shared" si="19"/>
        <v/>
      </c>
      <c r="AF96" s="57" t="str">
        <f t="shared" si="20"/>
        <v/>
      </c>
      <c r="AG96" s="97" t="str">
        <f t="shared" si="21"/>
        <v/>
      </c>
      <c r="AH96" s="58" t="str">
        <f t="shared" si="22"/>
        <v/>
      </c>
      <c r="AI96" s="58" t="str">
        <f t="shared" si="23"/>
        <v/>
      </c>
      <c r="AJ96" s="59"/>
    </row>
    <row r="97" spans="1:36" ht="15.95" customHeight="1">
      <c r="A97" s="66">
        <v>19</v>
      </c>
      <c r="B97" s="63" t="str">
        <f>IF('(6).Promotion Exam'!B97="","",'(6).Promotion Exam'!B97)</f>
        <v/>
      </c>
      <c r="C97" s="67" t="str">
        <f>IF('(6).Promotion Exam'!C97="","",'(6).Promotion Exam'!C97)</f>
        <v/>
      </c>
      <c r="D97" s="51" t="str">
        <f>IF('(4).Midterm Results'!D97="","",'(4).Midterm Results'!D97)</f>
        <v/>
      </c>
      <c r="E97" s="52" t="str">
        <f>IF('(4).Midterm Results'!E97="","",'(4).Midterm Results'!E97)</f>
        <v/>
      </c>
      <c r="F97" s="52" t="str">
        <f>IF('(4).Midterm Results'!F97="","",'(4).Midterm Results'!F97)</f>
        <v/>
      </c>
      <c r="G97" s="52" t="str">
        <f>IF('(4).Midterm Results'!G97="","",'(4).Midterm Results'!G97)</f>
        <v/>
      </c>
      <c r="H97" s="52" t="str">
        <f>IF('(4).Midterm Results'!H97="","",'(4).Midterm Results'!H97)</f>
        <v/>
      </c>
      <c r="I97" s="52" t="str">
        <f>IF('(4).Midterm Results'!I97="","",'(4).Midterm Results'!I97)</f>
        <v/>
      </c>
      <c r="J97" s="52" t="str">
        <f>IF('(4).Midterm Results'!J97="","",'(4).Midterm Results'!J97)</f>
        <v/>
      </c>
      <c r="K97" s="52" t="str">
        <f>IF('(4).Midterm Results'!K97="","",'(4).Midterm Results'!K97)</f>
        <v/>
      </c>
      <c r="L97" s="52" t="str">
        <f>IF('(4).Midterm Results'!L97="","",'(4).Midterm Results'!L97)</f>
        <v/>
      </c>
      <c r="M97" s="52" t="str">
        <f>IF('(4).Midterm Results'!M97="","",'(4).Midterm Results'!M97)</f>
        <v/>
      </c>
      <c r="N97" s="52" t="str">
        <f>IF('(4).Midterm Results'!N97="","",'(4).Midterm Results'!N97)</f>
        <v/>
      </c>
      <c r="O97" s="53" t="str">
        <f>IF('(4).Midterm Results'!O97="","",'(4).Midterm Results'!O97)</f>
        <v/>
      </c>
      <c r="P97" s="51" t="str">
        <f>IF('(5).Promotion Daily'!AH97="","",'(5).Promotion Daily'!AH97)</f>
        <v/>
      </c>
      <c r="Q97" s="52" t="str">
        <f>IF('(6).Promotion Exam'!D97="","",'(6).Promotion Exam'!D97)</f>
        <v/>
      </c>
      <c r="R97" s="52" t="str">
        <f>IF('(6).Promotion Exam'!E97="","",'(6).Promotion Exam'!E97)</f>
        <v/>
      </c>
      <c r="S97" s="52" t="str">
        <f>IF('(6).Promotion Exam'!F97="","",'(6).Promotion Exam'!F97)</f>
        <v/>
      </c>
      <c r="T97" s="52" t="str">
        <f>IF('(6).Promotion Exam'!G97="","",'(6).Promotion Exam'!G97)</f>
        <v/>
      </c>
      <c r="U97" s="52" t="str">
        <f>IF('(6).Promotion Exam'!H97="","",'(6).Promotion Exam'!H97)</f>
        <v/>
      </c>
      <c r="V97" s="52" t="str">
        <f>IF('(6).Promotion Exam'!I97="","",'(6).Promotion Exam'!I97)</f>
        <v/>
      </c>
      <c r="W97" s="52" t="str">
        <f>IF('(6).Promotion Exam'!J97="","",'(6).Promotion Exam'!J97)</f>
        <v/>
      </c>
      <c r="X97" s="52" t="str">
        <f>IF('(6).Promotion Exam'!K97="","",'(6).Promotion Exam'!K97)</f>
        <v/>
      </c>
      <c r="Y97" s="52" t="str">
        <f>IF('(6).Promotion Exam'!L97="","",'(6).Promotion Exam'!L97)</f>
        <v/>
      </c>
      <c r="Z97" s="52" t="str">
        <f>IF('(6).Promotion Exam'!M97="","",'(6).Promotion Exam'!M97)</f>
        <v/>
      </c>
      <c r="AA97" s="53" t="str">
        <f>IF(B97="","",IF(P97="Incomplete","Incomplete",IF('(6).Promotion Exam'!N97="Change","Change",IF('(6).Promotion Exam'!N97="Stop","Stop",IF('(6).Promotion Exam'!N97="Incomplete","Incomplete",IF(COUNTBLANK(Q97:Z97)&gt;=1,"Incomplete",P97*20%+SUM(Q97:Z97)*80%))))))</f>
        <v/>
      </c>
      <c r="AB97" s="54" t="str">
        <f t="shared" si="16"/>
        <v/>
      </c>
      <c r="AC97" s="55" t="str">
        <f t="shared" si="17"/>
        <v/>
      </c>
      <c r="AD97" s="55" t="str">
        <f t="shared" si="18"/>
        <v/>
      </c>
      <c r="AE97" s="56" t="str">
        <f t="shared" si="19"/>
        <v/>
      </c>
      <c r="AF97" s="57" t="str">
        <f t="shared" si="20"/>
        <v/>
      </c>
      <c r="AG97" s="97" t="str">
        <f t="shared" si="21"/>
        <v/>
      </c>
      <c r="AH97" s="58" t="str">
        <f t="shared" si="22"/>
        <v/>
      </c>
      <c r="AI97" s="58" t="str">
        <f t="shared" si="23"/>
        <v/>
      </c>
      <c r="AJ97" s="59"/>
    </row>
    <row r="98" spans="1:36" ht="15.95" customHeight="1">
      <c r="A98" s="66">
        <v>20</v>
      </c>
      <c r="B98" s="63" t="str">
        <f>IF('(6).Promotion Exam'!B98="","",'(6).Promotion Exam'!B98)</f>
        <v/>
      </c>
      <c r="C98" s="67" t="str">
        <f>IF('(6).Promotion Exam'!C98="","",'(6).Promotion Exam'!C98)</f>
        <v/>
      </c>
      <c r="D98" s="51" t="str">
        <f>IF('(4).Midterm Results'!D98="","",'(4).Midterm Results'!D98)</f>
        <v/>
      </c>
      <c r="E98" s="52" t="str">
        <f>IF('(4).Midterm Results'!E98="","",'(4).Midterm Results'!E98)</f>
        <v/>
      </c>
      <c r="F98" s="52" t="str">
        <f>IF('(4).Midterm Results'!F98="","",'(4).Midterm Results'!F98)</f>
        <v/>
      </c>
      <c r="G98" s="52" t="str">
        <f>IF('(4).Midterm Results'!G98="","",'(4).Midterm Results'!G98)</f>
        <v/>
      </c>
      <c r="H98" s="52" t="str">
        <f>IF('(4).Midterm Results'!H98="","",'(4).Midterm Results'!H98)</f>
        <v/>
      </c>
      <c r="I98" s="52" t="str">
        <f>IF('(4).Midterm Results'!I98="","",'(4).Midterm Results'!I98)</f>
        <v/>
      </c>
      <c r="J98" s="52" t="str">
        <f>IF('(4).Midterm Results'!J98="","",'(4).Midterm Results'!J98)</f>
        <v/>
      </c>
      <c r="K98" s="52" t="str">
        <f>IF('(4).Midterm Results'!K98="","",'(4).Midterm Results'!K98)</f>
        <v/>
      </c>
      <c r="L98" s="52" t="str">
        <f>IF('(4).Midterm Results'!L98="","",'(4).Midterm Results'!L98)</f>
        <v/>
      </c>
      <c r="M98" s="52" t="str">
        <f>IF('(4).Midterm Results'!M98="","",'(4).Midterm Results'!M98)</f>
        <v/>
      </c>
      <c r="N98" s="52" t="str">
        <f>IF('(4).Midterm Results'!N98="","",'(4).Midterm Results'!N98)</f>
        <v/>
      </c>
      <c r="O98" s="53" t="str">
        <f>IF('(4).Midterm Results'!O98="","",'(4).Midterm Results'!O98)</f>
        <v/>
      </c>
      <c r="P98" s="51" t="str">
        <f>IF('(5).Promotion Daily'!AH98="","",'(5).Promotion Daily'!AH98)</f>
        <v/>
      </c>
      <c r="Q98" s="52" t="str">
        <f>IF('(6).Promotion Exam'!D98="","",'(6).Promotion Exam'!D98)</f>
        <v/>
      </c>
      <c r="R98" s="52" t="str">
        <f>IF('(6).Promotion Exam'!E98="","",'(6).Promotion Exam'!E98)</f>
        <v/>
      </c>
      <c r="S98" s="52" t="str">
        <f>IF('(6).Promotion Exam'!F98="","",'(6).Promotion Exam'!F98)</f>
        <v/>
      </c>
      <c r="T98" s="52" t="str">
        <f>IF('(6).Promotion Exam'!G98="","",'(6).Promotion Exam'!G98)</f>
        <v/>
      </c>
      <c r="U98" s="52" t="str">
        <f>IF('(6).Promotion Exam'!H98="","",'(6).Promotion Exam'!H98)</f>
        <v/>
      </c>
      <c r="V98" s="52" t="str">
        <f>IF('(6).Promotion Exam'!I98="","",'(6).Promotion Exam'!I98)</f>
        <v/>
      </c>
      <c r="W98" s="52" t="str">
        <f>IF('(6).Promotion Exam'!J98="","",'(6).Promotion Exam'!J98)</f>
        <v/>
      </c>
      <c r="X98" s="52" t="str">
        <f>IF('(6).Promotion Exam'!K98="","",'(6).Promotion Exam'!K98)</f>
        <v/>
      </c>
      <c r="Y98" s="52" t="str">
        <f>IF('(6).Promotion Exam'!L98="","",'(6).Promotion Exam'!L98)</f>
        <v/>
      </c>
      <c r="Z98" s="52" t="str">
        <f>IF('(6).Promotion Exam'!M98="","",'(6).Promotion Exam'!M98)</f>
        <v/>
      </c>
      <c r="AA98" s="53" t="str">
        <f>IF(B98="","",IF(P98="Incomplete","Incomplete",IF('(6).Promotion Exam'!N98="Change","Change",IF('(6).Promotion Exam'!N98="Stop","Stop",IF('(6).Promotion Exam'!N98="Incomplete","Incomplete",IF(COUNTBLANK(Q98:Z98)&gt;=1,"Incomplete",P98*20%+SUM(Q98:Z98)*80%))))))</f>
        <v/>
      </c>
      <c r="AB98" s="54" t="str">
        <f t="shared" si="16"/>
        <v/>
      </c>
      <c r="AC98" s="55" t="str">
        <f t="shared" si="17"/>
        <v/>
      </c>
      <c r="AD98" s="55" t="str">
        <f t="shared" si="18"/>
        <v/>
      </c>
      <c r="AE98" s="56" t="str">
        <f t="shared" si="19"/>
        <v/>
      </c>
      <c r="AF98" s="57" t="str">
        <f t="shared" si="20"/>
        <v/>
      </c>
      <c r="AG98" s="97" t="str">
        <f t="shared" si="21"/>
        <v/>
      </c>
      <c r="AH98" s="58" t="str">
        <f t="shared" si="22"/>
        <v/>
      </c>
      <c r="AI98" s="58" t="str">
        <f t="shared" si="23"/>
        <v/>
      </c>
      <c r="AJ98" s="59"/>
    </row>
    <row r="99" spans="1:36" ht="15.95" customHeight="1">
      <c r="A99" s="66">
        <v>21</v>
      </c>
      <c r="B99" s="63" t="str">
        <f>IF('(6).Promotion Exam'!B99="","",'(6).Promotion Exam'!B99)</f>
        <v/>
      </c>
      <c r="C99" s="67" t="str">
        <f>IF('(6).Promotion Exam'!C99="","",'(6).Promotion Exam'!C99)</f>
        <v/>
      </c>
      <c r="D99" s="51" t="str">
        <f>IF('(4).Midterm Results'!D99="","",'(4).Midterm Results'!D99)</f>
        <v/>
      </c>
      <c r="E99" s="52" t="str">
        <f>IF('(4).Midterm Results'!E99="","",'(4).Midterm Results'!E99)</f>
        <v/>
      </c>
      <c r="F99" s="52" t="str">
        <f>IF('(4).Midterm Results'!F99="","",'(4).Midterm Results'!F99)</f>
        <v/>
      </c>
      <c r="G99" s="52" t="str">
        <f>IF('(4).Midterm Results'!G99="","",'(4).Midterm Results'!G99)</f>
        <v/>
      </c>
      <c r="H99" s="52" t="str">
        <f>IF('(4).Midterm Results'!H99="","",'(4).Midterm Results'!H99)</f>
        <v/>
      </c>
      <c r="I99" s="52" t="str">
        <f>IF('(4).Midterm Results'!I99="","",'(4).Midterm Results'!I99)</f>
        <v/>
      </c>
      <c r="J99" s="52" t="str">
        <f>IF('(4).Midterm Results'!J99="","",'(4).Midterm Results'!J99)</f>
        <v/>
      </c>
      <c r="K99" s="52" t="str">
        <f>IF('(4).Midterm Results'!K99="","",'(4).Midterm Results'!K99)</f>
        <v/>
      </c>
      <c r="L99" s="52" t="str">
        <f>IF('(4).Midterm Results'!L99="","",'(4).Midterm Results'!L99)</f>
        <v/>
      </c>
      <c r="M99" s="52" t="str">
        <f>IF('(4).Midterm Results'!M99="","",'(4).Midterm Results'!M99)</f>
        <v/>
      </c>
      <c r="N99" s="52" t="str">
        <f>IF('(4).Midterm Results'!N99="","",'(4).Midterm Results'!N99)</f>
        <v/>
      </c>
      <c r="O99" s="53" t="str">
        <f>IF('(4).Midterm Results'!O99="","",'(4).Midterm Results'!O99)</f>
        <v/>
      </c>
      <c r="P99" s="51" t="str">
        <f>IF('(5).Promotion Daily'!AH99="","",'(5).Promotion Daily'!AH99)</f>
        <v/>
      </c>
      <c r="Q99" s="52" t="str">
        <f>IF('(6).Promotion Exam'!D99="","",'(6).Promotion Exam'!D99)</f>
        <v/>
      </c>
      <c r="R99" s="52" t="str">
        <f>IF('(6).Promotion Exam'!E99="","",'(6).Promotion Exam'!E99)</f>
        <v/>
      </c>
      <c r="S99" s="52" t="str">
        <f>IF('(6).Promotion Exam'!F99="","",'(6).Promotion Exam'!F99)</f>
        <v/>
      </c>
      <c r="T99" s="52" t="str">
        <f>IF('(6).Promotion Exam'!G99="","",'(6).Promotion Exam'!G99)</f>
        <v/>
      </c>
      <c r="U99" s="52" t="str">
        <f>IF('(6).Promotion Exam'!H99="","",'(6).Promotion Exam'!H99)</f>
        <v/>
      </c>
      <c r="V99" s="52" t="str">
        <f>IF('(6).Promotion Exam'!I99="","",'(6).Promotion Exam'!I99)</f>
        <v/>
      </c>
      <c r="W99" s="52" t="str">
        <f>IF('(6).Promotion Exam'!J99="","",'(6).Promotion Exam'!J99)</f>
        <v/>
      </c>
      <c r="X99" s="52" t="str">
        <f>IF('(6).Promotion Exam'!K99="","",'(6).Promotion Exam'!K99)</f>
        <v/>
      </c>
      <c r="Y99" s="52" t="str">
        <f>IF('(6).Promotion Exam'!L99="","",'(6).Promotion Exam'!L99)</f>
        <v/>
      </c>
      <c r="Z99" s="52" t="str">
        <f>IF('(6).Promotion Exam'!M99="","",'(6).Promotion Exam'!M99)</f>
        <v/>
      </c>
      <c r="AA99" s="53" t="str">
        <f>IF(B99="","",IF(P99="Incomplete","Incomplete",IF('(6).Promotion Exam'!N99="Change","Change",IF('(6).Promotion Exam'!N99="Stop","Stop",IF('(6).Promotion Exam'!N99="Incomplete","Incomplete",IF(COUNTBLANK(Q99:Z99)&gt;=1,"Incomplete",P99*20%+SUM(Q99:Z99)*80%))))))</f>
        <v/>
      </c>
      <c r="AB99" s="54" t="str">
        <f t="shared" si="16"/>
        <v/>
      </c>
      <c r="AC99" s="55" t="str">
        <f t="shared" si="17"/>
        <v/>
      </c>
      <c r="AD99" s="55" t="str">
        <f t="shared" si="18"/>
        <v/>
      </c>
      <c r="AE99" s="56" t="str">
        <f t="shared" si="19"/>
        <v/>
      </c>
      <c r="AF99" s="57" t="str">
        <f t="shared" si="20"/>
        <v/>
      </c>
      <c r="AG99" s="97" t="str">
        <f t="shared" si="21"/>
        <v/>
      </c>
      <c r="AH99" s="58" t="str">
        <f t="shared" si="22"/>
        <v/>
      </c>
      <c r="AI99" s="58" t="str">
        <f t="shared" si="23"/>
        <v/>
      </c>
      <c r="AJ99" s="59"/>
    </row>
    <row r="100" spans="1:36" ht="15.95" customHeight="1">
      <c r="A100" s="66">
        <v>22</v>
      </c>
      <c r="B100" s="63" t="str">
        <f>IF('(6).Promotion Exam'!B100="","",'(6).Promotion Exam'!B100)</f>
        <v/>
      </c>
      <c r="C100" s="67" t="str">
        <f>IF('(6).Promotion Exam'!C100="","",'(6).Promotion Exam'!C100)</f>
        <v/>
      </c>
      <c r="D100" s="51" t="str">
        <f>IF('(4).Midterm Results'!D100="","",'(4).Midterm Results'!D100)</f>
        <v/>
      </c>
      <c r="E100" s="52" t="str">
        <f>IF('(4).Midterm Results'!E100="","",'(4).Midterm Results'!E100)</f>
        <v/>
      </c>
      <c r="F100" s="52" t="str">
        <f>IF('(4).Midterm Results'!F100="","",'(4).Midterm Results'!F100)</f>
        <v/>
      </c>
      <c r="G100" s="52" t="str">
        <f>IF('(4).Midterm Results'!G100="","",'(4).Midterm Results'!G100)</f>
        <v/>
      </c>
      <c r="H100" s="52" t="str">
        <f>IF('(4).Midterm Results'!H100="","",'(4).Midterm Results'!H100)</f>
        <v/>
      </c>
      <c r="I100" s="52" t="str">
        <f>IF('(4).Midterm Results'!I100="","",'(4).Midterm Results'!I100)</f>
        <v/>
      </c>
      <c r="J100" s="52" t="str">
        <f>IF('(4).Midterm Results'!J100="","",'(4).Midterm Results'!J100)</f>
        <v/>
      </c>
      <c r="K100" s="52" t="str">
        <f>IF('(4).Midterm Results'!K100="","",'(4).Midterm Results'!K100)</f>
        <v/>
      </c>
      <c r="L100" s="52" t="str">
        <f>IF('(4).Midterm Results'!L100="","",'(4).Midterm Results'!L100)</f>
        <v/>
      </c>
      <c r="M100" s="52" t="str">
        <f>IF('(4).Midterm Results'!M100="","",'(4).Midterm Results'!M100)</f>
        <v/>
      </c>
      <c r="N100" s="52" t="str">
        <f>IF('(4).Midterm Results'!N100="","",'(4).Midterm Results'!N100)</f>
        <v/>
      </c>
      <c r="O100" s="53" t="str">
        <f>IF('(4).Midterm Results'!O100="","",'(4).Midterm Results'!O100)</f>
        <v/>
      </c>
      <c r="P100" s="51" t="str">
        <f>IF('(5).Promotion Daily'!AH100="","",'(5).Promotion Daily'!AH100)</f>
        <v/>
      </c>
      <c r="Q100" s="52" t="str">
        <f>IF('(6).Promotion Exam'!D100="","",'(6).Promotion Exam'!D100)</f>
        <v/>
      </c>
      <c r="R100" s="52" t="str">
        <f>IF('(6).Promotion Exam'!E100="","",'(6).Promotion Exam'!E100)</f>
        <v/>
      </c>
      <c r="S100" s="52" t="str">
        <f>IF('(6).Promotion Exam'!F100="","",'(6).Promotion Exam'!F100)</f>
        <v/>
      </c>
      <c r="T100" s="52" t="str">
        <f>IF('(6).Promotion Exam'!G100="","",'(6).Promotion Exam'!G100)</f>
        <v/>
      </c>
      <c r="U100" s="52" t="str">
        <f>IF('(6).Promotion Exam'!H100="","",'(6).Promotion Exam'!H100)</f>
        <v/>
      </c>
      <c r="V100" s="52" t="str">
        <f>IF('(6).Promotion Exam'!I100="","",'(6).Promotion Exam'!I100)</f>
        <v/>
      </c>
      <c r="W100" s="52" t="str">
        <f>IF('(6).Promotion Exam'!J100="","",'(6).Promotion Exam'!J100)</f>
        <v/>
      </c>
      <c r="X100" s="52" t="str">
        <f>IF('(6).Promotion Exam'!K100="","",'(6).Promotion Exam'!K100)</f>
        <v/>
      </c>
      <c r="Y100" s="52" t="str">
        <f>IF('(6).Promotion Exam'!L100="","",'(6).Promotion Exam'!L100)</f>
        <v/>
      </c>
      <c r="Z100" s="52" t="str">
        <f>IF('(6).Promotion Exam'!M100="","",'(6).Promotion Exam'!M100)</f>
        <v/>
      </c>
      <c r="AA100" s="53" t="str">
        <f>IF(B100="","",IF(P100="Incomplete","Incomplete",IF('(6).Promotion Exam'!N100="Change","Change",IF('(6).Promotion Exam'!N100="Stop","Stop",IF('(6).Promotion Exam'!N100="Incomplete","Incomplete",IF(COUNTBLANK(Q100:Z100)&gt;=1,"Incomplete",P100*20%+SUM(Q100:Z100)*80%))))))</f>
        <v/>
      </c>
      <c r="AB100" s="54" t="str">
        <f t="shared" si="16"/>
        <v/>
      </c>
      <c r="AC100" s="55" t="str">
        <f t="shared" si="17"/>
        <v/>
      </c>
      <c r="AD100" s="55" t="str">
        <f t="shared" si="18"/>
        <v/>
      </c>
      <c r="AE100" s="56" t="str">
        <f t="shared" si="19"/>
        <v/>
      </c>
      <c r="AF100" s="57" t="str">
        <f t="shared" si="20"/>
        <v/>
      </c>
      <c r="AG100" s="97" t="str">
        <f t="shared" si="21"/>
        <v/>
      </c>
      <c r="AH100" s="58" t="str">
        <f t="shared" si="22"/>
        <v/>
      </c>
      <c r="AI100" s="58" t="str">
        <f t="shared" si="23"/>
        <v/>
      </c>
      <c r="AJ100" s="59"/>
    </row>
    <row r="101" spans="1:36" ht="15.95" customHeight="1">
      <c r="A101" s="66">
        <v>23</v>
      </c>
      <c r="B101" s="63" t="str">
        <f>IF('(6).Promotion Exam'!B101="","",'(6).Promotion Exam'!B101)</f>
        <v/>
      </c>
      <c r="C101" s="67" t="str">
        <f>IF('(6).Promotion Exam'!C101="","",'(6).Promotion Exam'!C101)</f>
        <v/>
      </c>
      <c r="D101" s="51" t="str">
        <f>IF('(4).Midterm Results'!D101="","",'(4).Midterm Results'!D101)</f>
        <v/>
      </c>
      <c r="E101" s="52" t="str">
        <f>IF('(4).Midterm Results'!E101="","",'(4).Midterm Results'!E101)</f>
        <v/>
      </c>
      <c r="F101" s="52" t="str">
        <f>IF('(4).Midterm Results'!F101="","",'(4).Midterm Results'!F101)</f>
        <v/>
      </c>
      <c r="G101" s="52" t="str">
        <f>IF('(4).Midterm Results'!G101="","",'(4).Midterm Results'!G101)</f>
        <v/>
      </c>
      <c r="H101" s="52" t="str">
        <f>IF('(4).Midterm Results'!H101="","",'(4).Midterm Results'!H101)</f>
        <v/>
      </c>
      <c r="I101" s="52" t="str">
        <f>IF('(4).Midterm Results'!I101="","",'(4).Midterm Results'!I101)</f>
        <v/>
      </c>
      <c r="J101" s="52" t="str">
        <f>IF('(4).Midterm Results'!J101="","",'(4).Midterm Results'!J101)</f>
        <v/>
      </c>
      <c r="K101" s="52" t="str">
        <f>IF('(4).Midterm Results'!K101="","",'(4).Midterm Results'!K101)</f>
        <v/>
      </c>
      <c r="L101" s="52" t="str">
        <f>IF('(4).Midterm Results'!L101="","",'(4).Midterm Results'!L101)</f>
        <v/>
      </c>
      <c r="M101" s="52" t="str">
        <f>IF('(4).Midterm Results'!M101="","",'(4).Midterm Results'!M101)</f>
        <v/>
      </c>
      <c r="N101" s="52" t="str">
        <f>IF('(4).Midterm Results'!N101="","",'(4).Midterm Results'!N101)</f>
        <v/>
      </c>
      <c r="O101" s="53" t="str">
        <f>IF('(4).Midterm Results'!O101="","",'(4).Midterm Results'!O101)</f>
        <v/>
      </c>
      <c r="P101" s="51" t="str">
        <f>IF('(5).Promotion Daily'!AH101="","",'(5).Promotion Daily'!AH101)</f>
        <v/>
      </c>
      <c r="Q101" s="52" t="str">
        <f>IF('(6).Promotion Exam'!D101="","",'(6).Promotion Exam'!D101)</f>
        <v/>
      </c>
      <c r="R101" s="52" t="str">
        <f>IF('(6).Promotion Exam'!E101="","",'(6).Promotion Exam'!E101)</f>
        <v/>
      </c>
      <c r="S101" s="52" t="str">
        <f>IF('(6).Promotion Exam'!F101="","",'(6).Promotion Exam'!F101)</f>
        <v/>
      </c>
      <c r="T101" s="52" t="str">
        <f>IF('(6).Promotion Exam'!G101="","",'(6).Promotion Exam'!G101)</f>
        <v/>
      </c>
      <c r="U101" s="52" t="str">
        <f>IF('(6).Promotion Exam'!H101="","",'(6).Promotion Exam'!H101)</f>
        <v/>
      </c>
      <c r="V101" s="52" t="str">
        <f>IF('(6).Promotion Exam'!I101="","",'(6).Promotion Exam'!I101)</f>
        <v/>
      </c>
      <c r="W101" s="52" t="str">
        <f>IF('(6).Promotion Exam'!J101="","",'(6).Promotion Exam'!J101)</f>
        <v/>
      </c>
      <c r="X101" s="52" t="str">
        <f>IF('(6).Promotion Exam'!K101="","",'(6).Promotion Exam'!K101)</f>
        <v/>
      </c>
      <c r="Y101" s="52" t="str">
        <f>IF('(6).Promotion Exam'!L101="","",'(6).Promotion Exam'!L101)</f>
        <v/>
      </c>
      <c r="Z101" s="52" t="str">
        <f>IF('(6).Promotion Exam'!M101="","",'(6).Promotion Exam'!M101)</f>
        <v/>
      </c>
      <c r="AA101" s="53" t="str">
        <f>IF(B101="","",IF(P101="Incomplete","Incomplete",IF('(6).Promotion Exam'!N101="Change","Change",IF('(6).Promotion Exam'!N101="Stop","Stop",IF('(6).Promotion Exam'!N101="Incomplete","Incomplete",IF(COUNTBLANK(Q101:Z101)&gt;=1,"Incomplete",P101*20%+SUM(Q101:Z101)*80%))))))</f>
        <v/>
      </c>
      <c r="AB101" s="54" t="str">
        <f t="shared" si="16"/>
        <v/>
      </c>
      <c r="AC101" s="55" t="str">
        <f t="shared" si="17"/>
        <v/>
      </c>
      <c r="AD101" s="55" t="str">
        <f t="shared" si="18"/>
        <v/>
      </c>
      <c r="AE101" s="56" t="str">
        <f t="shared" si="19"/>
        <v/>
      </c>
      <c r="AF101" s="57" t="str">
        <f t="shared" si="20"/>
        <v/>
      </c>
      <c r="AG101" s="97" t="str">
        <f t="shared" si="21"/>
        <v/>
      </c>
      <c r="AH101" s="58" t="str">
        <f t="shared" si="22"/>
        <v/>
      </c>
      <c r="AI101" s="58" t="str">
        <f t="shared" si="23"/>
        <v/>
      </c>
      <c r="AJ101" s="59"/>
    </row>
    <row r="102" spans="1:36" ht="15.95" customHeight="1">
      <c r="A102" s="66">
        <v>24</v>
      </c>
      <c r="B102" s="63" t="str">
        <f>IF('(6).Promotion Exam'!B102="","",'(6).Promotion Exam'!B102)</f>
        <v/>
      </c>
      <c r="C102" s="67" t="str">
        <f>IF('(6).Promotion Exam'!C102="","",'(6).Promotion Exam'!C102)</f>
        <v/>
      </c>
      <c r="D102" s="51" t="str">
        <f>IF('(4).Midterm Results'!D102="","",'(4).Midterm Results'!D102)</f>
        <v/>
      </c>
      <c r="E102" s="52" t="str">
        <f>IF('(4).Midterm Results'!E102="","",'(4).Midterm Results'!E102)</f>
        <v/>
      </c>
      <c r="F102" s="52" t="str">
        <f>IF('(4).Midterm Results'!F102="","",'(4).Midterm Results'!F102)</f>
        <v/>
      </c>
      <c r="G102" s="52" t="str">
        <f>IF('(4).Midterm Results'!G102="","",'(4).Midterm Results'!G102)</f>
        <v/>
      </c>
      <c r="H102" s="52" t="str">
        <f>IF('(4).Midterm Results'!H102="","",'(4).Midterm Results'!H102)</f>
        <v/>
      </c>
      <c r="I102" s="52" t="str">
        <f>IF('(4).Midterm Results'!I102="","",'(4).Midterm Results'!I102)</f>
        <v/>
      </c>
      <c r="J102" s="52" t="str">
        <f>IF('(4).Midterm Results'!J102="","",'(4).Midterm Results'!J102)</f>
        <v/>
      </c>
      <c r="K102" s="52" t="str">
        <f>IF('(4).Midterm Results'!K102="","",'(4).Midterm Results'!K102)</f>
        <v/>
      </c>
      <c r="L102" s="52" t="str">
        <f>IF('(4).Midterm Results'!L102="","",'(4).Midterm Results'!L102)</f>
        <v/>
      </c>
      <c r="M102" s="52" t="str">
        <f>IF('(4).Midterm Results'!M102="","",'(4).Midterm Results'!M102)</f>
        <v/>
      </c>
      <c r="N102" s="52" t="str">
        <f>IF('(4).Midterm Results'!N102="","",'(4).Midterm Results'!N102)</f>
        <v/>
      </c>
      <c r="O102" s="53" t="str">
        <f>IF('(4).Midterm Results'!O102="","",'(4).Midterm Results'!O102)</f>
        <v/>
      </c>
      <c r="P102" s="51" t="str">
        <f>IF('(5).Promotion Daily'!AH102="","",'(5).Promotion Daily'!AH102)</f>
        <v/>
      </c>
      <c r="Q102" s="52" t="str">
        <f>IF('(6).Promotion Exam'!D102="","",'(6).Promotion Exam'!D102)</f>
        <v/>
      </c>
      <c r="R102" s="52" t="str">
        <f>IF('(6).Promotion Exam'!E102="","",'(6).Promotion Exam'!E102)</f>
        <v/>
      </c>
      <c r="S102" s="52" t="str">
        <f>IF('(6).Promotion Exam'!F102="","",'(6).Promotion Exam'!F102)</f>
        <v/>
      </c>
      <c r="T102" s="52" t="str">
        <f>IF('(6).Promotion Exam'!G102="","",'(6).Promotion Exam'!G102)</f>
        <v/>
      </c>
      <c r="U102" s="52" t="str">
        <f>IF('(6).Promotion Exam'!H102="","",'(6).Promotion Exam'!H102)</f>
        <v/>
      </c>
      <c r="V102" s="52" t="str">
        <f>IF('(6).Promotion Exam'!I102="","",'(6).Promotion Exam'!I102)</f>
        <v/>
      </c>
      <c r="W102" s="52" t="str">
        <f>IF('(6).Promotion Exam'!J102="","",'(6).Promotion Exam'!J102)</f>
        <v/>
      </c>
      <c r="X102" s="52" t="str">
        <f>IF('(6).Promotion Exam'!K102="","",'(6).Promotion Exam'!K102)</f>
        <v/>
      </c>
      <c r="Y102" s="52" t="str">
        <f>IF('(6).Promotion Exam'!L102="","",'(6).Promotion Exam'!L102)</f>
        <v/>
      </c>
      <c r="Z102" s="52" t="str">
        <f>IF('(6).Promotion Exam'!M102="","",'(6).Promotion Exam'!M102)</f>
        <v/>
      </c>
      <c r="AA102" s="53" t="str">
        <f>IF(B102="","",IF(P102="Incomplete","Incomplete",IF('(6).Promotion Exam'!N102="Change","Change",IF('(6).Promotion Exam'!N102="Stop","Stop",IF('(6).Promotion Exam'!N102="Incomplete","Incomplete",IF(COUNTBLANK(Q102:Z102)&gt;=1,"Incomplete",P102*20%+SUM(Q102:Z102)*80%))))))</f>
        <v/>
      </c>
      <c r="AB102" s="54" t="str">
        <f t="shared" si="16"/>
        <v/>
      </c>
      <c r="AC102" s="55" t="str">
        <f t="shared" si="17"/>
        <v/>
      </c>
      <c r="AD102" s="55" t="str">
        <f t="shared" si="18"/>
        <v/>
      </c>
      <c r="AE102" s="56" t="str">
        <f t="shared" si="19"/>
        <v/>
      </c>
      <c r="AF102" s="57" t="str">
        <f t="shared" si="20"/>
        <v/>
      </c>
      <c r="AG102" s="97" t="str">
        <f t="shared" si="21"/>
        <v/>
      </c>
      <c r="AH102" s="58" t="str">
        <f t="shared" si="22"/>
        <v/>
      </c>
      <c r="AI102" s="58" t="str">
        <f t="shared" si="23"/>
        <v/>
      </c>
      <c r="AJ102" s="59"/>
    </row>
    <row r="103" spans="1:36" ht="15.95" customHeight="1">
      <c r="A103" s="66">
        <v>25</v>
      </c>
      <c r="B103" s="63" t="str">
        <f>IF('(6).Promotion Exam'!B103="","",'(6).Promotion Exam'!B103)</f>
        <v/>
      </c>
      <c r="C103" s="67" t="str">
        <f>IF('(6).Promotion Exam'!C103="","",'(6).Promotion Exam'!C103)</f>
        <v/>
      </c>
      <c r="D103" s="51" t="str">
        <f>IF('(4).Midterm Results'!D103="","",'(4).Midterm Results'!D103)</f>
        <v/>
      </c>
      <c r="E103" s="52" t="str">
        <f>IF('(4).Midterm Results'!E103="","",'(4).Midterm Results'!E103)</f>
        <v/>
      </c>
      <c r="F103" s="52" t="str">
        <f>IF('(4).Midterm Results'!F103="","",'(4).Midterm Results'!F103)</f>
        <v/>
      </c>
      <c r="G103" s="52" t="str">
        <f>IF('(4).Midterm Results'!G103="","",'(4).Midterm Results'!G103)</f>
        <v/>
      </c>
      <c r="H103" s="52" t="str">
        <f>IF('(4).Midterm Results'!H103="","",'(4).Midterm Results'!H103)</f>
        <v/>
      </c>
      <c r="I103" s="52" t="str">
        <f>IF('(4).Midterm Results'!I103="","",'(4).Midterm Results'!I103)</f>
        <v/>
      </c>
      <c r="J103" s="52" t="str">
        <f>IF('(4).Midterm Results'!J103="","",'(4).Midterm Results'!J103)</f>
        <v/>
      </c>
      <c r="K103" s="52" t="str">
        <f>IF('(4).Midterm Results'!K103="","",'(4).Midterm Results'!K103)</f>
        <v/>
      </c>
      <c r="L103" s="52" t="str">
        <f>IF('(4).Midterm Results'!L103="","",'(4).Midterm Results'!L103)</f>
        <v/>
      </c>
      <c r="M103" s="52" t="str">
        <f>IF('(4).Midterm Results'!M103="","",'(4).Midterm Results'!M103)</f>
        <v/>
      </c>
      <c r="N103" s="52" t="str">
        <f>IF('(4).Midterm Results'!N103="","",'(4).Midterm Results'!N103)</f>
        <v/>
      </c>
      <c r="O103" s="53" t="str">
        <f>IF('(4).Midterm Results'!O103="","",'(4).Midterm Results'!O103)</f>
        <v/>
      </c>
      <c r="P103" s="51" t="str">
        <f>IF('(5).Promotion Daily'!AH103="","",'(5).Promotion Daily'!AH103)</f>
        <v/>
      </c>
      <c r="Q103" s="52" t="str">
        <f>IF('(6).Promotion Exam'!D103="","",'(6).Promotion Exam'!D103)</f>
        <v/>
      </c>
      <c r="R103" s="52" t="str">
        <f>IF('(6).Promotion Exam'!E103="","",'(6).Promotion Exam'!E103)</f>
        <v/>
      </c>
      <c r="S103" s="52" t="str">
        <f>IF('(6).Promotion Exam'!F103="","",'(6).Promotion Exam'!F103)</f>
        <v/>
      </c>
      <c r="T103" s="52" t="str">
        <f>IF('(6).Promotion Exam'!G103="","",'(6).Promotion Exam'!G103)</f>
        <v/>
      </c>
      <c r="U103" s="52" t="str">
        <f>IF('(6).Promotion Exam'!H103="","",'(6).Promotion Exam'!H103)</f>
        <v/>
      </c>
      <c r="V103" s="52" t="str">
        <f>IF('(6).Promotion Exam'!I103="","",'(6).Promotion Exam'!I103)</f>
        <v/>
      </c>
      <c r="W103" s="52" t="str">
        <f>IF('(6).Promotion Exam'!J103="","",'(6).Promotion Exam'!J103)</f>
        <v/>
      </c>
      <c r="X103" s="52" t="str">
        <f>IF('(6).Promotion Exam'!K103="","",'(6).Promotion Exam'!K103)</f>
        <v/>
      </c>
      <c r="Y103" s="52" t="str">
        <f>IF('(6).Promotion Exam'!L103="","",'(6).Promotion Exam'!L103)</f>
        <v/>
      </c>
      <c r="Z103" s="52" t="str">
        <f>IF('(6).Promotion Exam'!M103="","",'(6).Promotion Exam'!M103)</f>
        <v/>
      </c>
      <c r="AA103" s="53" t="str">
        <f>IF(B103="","",IF(P103="Incomplete","Incomplete",IF('(6).Promotion Exam'!N103="Change","Change",IF('(6).Promotion Exam'!N103="Stop","Stop",IF('(6).Promotion Exam'!N103="Incomplete","Incomplete",IF(COUNTBLANK(Q103:Z103)&gt;=1,"Incomplete",P103*20%+SUM(Q103:Z103)*80%))))))</f>
        <v/>
      </c>
      <c r="AB103" s="54" t="str">
        <f t="shared" si="16"/>
        <v/>
      </c>
      <c r="AC103" s="55" t="str">
        <f t="shared" si="17"/>
        <v/>
      </c>
      <c r="AD103" s="55" t="str">
        <f t="shared" si="18"/>
        <v/>
      </c>
      <c r="AE103" s="56" t="str">
        <f t="shared" si="19"/>
        <v/>
      </c>
      <c r="AF103" s="57" t="str">
        <f t="shared" si="20"/>
        <v/>
      </c>
      <c r="AG103" s="97" t="str">
        <f t="shared" si="21"/>
        <v/>
      </c>
      <c r="AH103" s="58" t="str">
        <f t="shared" si="22"/>
        <v/>
      </c>
      <c r="AI103" s="58" t="str">
        <f t="shared" si="23"/>
        <v/>
      </c>
      <c r="AJ103" s="59"/>
    </row>
    <row r="104" spans="1:36" ht="15.95" customHeight="1">
      <c r="A104" s="66">
        <v>26</v>
      </c>
      <c r="B104" s="63" t="str">
        <f>IF('(6).Promotion Exam'!B104="","",'(6).Promotion Exam'!B104)</f>
        <v/>
      </c>
      <c r="C104" s="67" t="str">
        <f>IF('(6).Promotion Exam'!C104="","",'(6).Promotion Exam'!C104)</f>
        <v/>
      </c>
      <c r="D104" s="51" t="str">
        <f>IF('(4).Midterm Results'!D104="","",'(4).Midterm Results'!D104)</f>
        <v/>
      </c>
      <c r="E104" s="52" t="str">
        <f>IF('(4).Midterm Results'!E104="","",'(4).Midterm Results'!E104)</f>
        <v/>
      </c>
      <c r="F104" s="52" t="str">
        <f>IF('(4).Midterm Results'!F104="","",'(4).Midterm Results'!F104)</f>
        <v/>
      </c>
      <c r="G104" s="52" t="str">
        <f>IF('(4).Midterm Results'!G104="","",'(4).Midterm Results'!G104)</f>
        <v/>
      </c>
      <c r="H104" s="52" t="str">
        <f>IF('(4).Midterm Results'!H104="","",'(4).Midterm Results'!H104)</f>
        <v/>
      </c>
      <c r="I104" s="52" t="str">
        <f>IF('(4).Midterm Results'!I104="","",'(4).Midterm Results'!I104)</f>
        <v/>
      </c>
      <c r="J104" s="52" t="str">
        <f>IF('(4).Midterm Results'!J104="","",'(4).Midterm Results'!J104)</f>
        <v/>
      </c>
      <c r="K104" s="52" t="str">
        <f>IF('(4).Midterm Results'!K104="","",'(4).Midterm Results'!K104)</f>
        <v/>
      </c>
      <c r="L104" s="52" t="str">
        <f>IF('(4).Midterm Results'!L104="","",'(4).Midterm Results'!L104)</f>
        <v/>
      </c>
      <c r="M104" s="52" t="str">
        <f>IF('(4).Midterm Results'!M104="","",'(4).Midterm Results'!M104)</f>
        <v/>
      </c>
      <c r="N104" s="52" t="str">
        <f>IF('(4).Midterm Results'!N104="","",'(4).Midterm Results'!N104)</f>
        <v/>
      </c>
      <c r="O104" s="53" t="str">
        <f>IF('(4).Midterm Results'!O104="","",'(4).Midterm Results'!O104)</f>
        <v/>
      </c>
      <c r="P104" s="51" t="str">
        <f>IF('(5).Promotion Daily'!AH104="","",'(5).Promotion Daily'!AH104)</f>
        <v/>
      </c>
      <c r="Q104" s="52" t="str">
        <f>IF('(6).Promotion Exam'!D104="","",'(6).Promotion Exam'!D104)</f>
        <v/>
      </c>
      <c r="R104" s="52" t="str">
        <f>IF('(6).Promotion Exam'!E104="","",'(6).Promotion Exam'!E104)</f>
        <v/>
      </c>
      <c r="S104" s="52" t="str">
        <f>IF('(6).Promotion Exam'!F104="","",'(6).Promotion Exam'!F104)</f>
        <v/>
      </c>
      <c r="T104" s="52" t="str">
        <f>IF('(6).Promotion Exam'!G104="","",'(6).Promotion Exam'!G104)</f>
        <v/>
      </c>
      <c r="U104" s="52" t="str">
        <f>IF('(6).Promotion Exam'!H104="","",'(6).Promotion Exam'!H104)</f>
        <v/>
      </c>
      <c r="V104" s="52" t="str">
        <f>IF('(6).Promotion Exam'!I104="","",'(6).Promotion Exam'!I104)</f>
        <v/>
      </c>
      <c r="W104" s="52" t="str">
        <f>IF('(6).Promotion Exam'!J104="","",'(6).Promotion Exam'!J104)</f>
        <v/>
      </c>
      <c r="X104" s="52" t="str">
        <f>IF('(6).Promotion Exam'!K104="","",'(6).Promotion Exam'!K104)</f>
        <v/>
      </c>
      <c r="Y104" s="52" t="str">
        <f>IF('(6).Promotion Exam'!L104="","",'(6).Promotion Exam'!L104)</f>
        <v/>
      </c>
      <c r="Z104" s="52" t="str">
        <f>IF('(6).Promotion Exam'!M104="","",'(6).Promotion Exam'!M104)</f>
        <v/>
      </c>
      <c r="AA104" s="53" t="str">
        <f>IF(B104="","",IF(P104="Incomplete","Incomplete",IF('(6).Promotion Exam'!N104="Change","Change",IF('(6).Promotion Exam'!N104="Stop","Stop",IF('(6).Promotion Exam'!N104="Incomplete","Incomplete",IF(COUNTBLANK(Q104:Z104)&gt;=1,"Incomplete",P104*20%+SUM(Q104:Z104)*80%))))))</f>
        <v/>
      </c>
      <c r="AB104" s="54" t="str">
        <f t="shared" si="16"/>
        <v/>
      </c>
      <c r="AC104" s="55" t="str">
        <f t="shared" si="17"/>
        <v/>
      </c>
      <c r="AD104" s="55" t="str">
        <f t="shared" si="18"/>
        <v/>
      </c>
      <c r="AE104" s="56" t="str">
        <f t="shared" si="19"/>
        <v/>
      </c>
      <c r="AF104" s="57" t="str">
        <f t="shared" si="20"/>
        <v/>
      </c>
      <c r="AG104" s="97" t="str">
        <f t="shared" si="21"/>
        <v/>
      </c>
      <c r="AH104" s="58" t="str">
        <f t="shared" si="22"/>
        <v/>
      </c>
      <c r="AI104" s="58" t="str">
        <f t="shared" si="23"/>
        <v/>
      </c>
      <c r="AJ104" s="59"/>
    </row>
    <row r="105" spans="1:36" ht="15.95" customHeight="1">
      <c r="A105" s="66">
        <v>27</v>
      </c>
      <c r="B105" s="63" t="str">
        <f>IF('(6).Promotion Exam'!B105="","",'(6).Promotion Exam'!B105)</f>
        <v/>
      </c>
      <c r="C105" s="67" t="str">
        <f>IF('(6).Promotion Exam'!C105="","",'(6).Promotion Exam'!C105)</f>
        <v/>
      </c>
      <c r="D105" s="51" t="str">
        <f>IF('(4).Midterm Results'!D105="","",'(4).Midterm Results'!D105)</f>
        <v/>
      </c>
      <c r="E105" s="52" t="str">
        <f>IF('(4).Midterm Results'!E105="","",'(4).Midterm Results'!E105)</f>
        <v/>
      </c>
      <c r="F105" s="52" t="str">
        <f>IF('(4).Midterm Results'!F105="","",'(4).Midterm Results'!F105)</f>
        <v/>
      </c>
      <c r="G105" s="52" t="str">
        <f>IF('(4).Midterm Results'!G105="","",'(4).Midterm Results'!G105)</f>
        <v/>
      </c>
      <c r="H105" s="52" t="str">
        <f>IF('(4).Midterm Results'!H105="","",'(4).Midterm Results'!H105)</f>
        <v/>
      </c>
      <c r="I105" s="52" t="str">
        <f>IF('(4).Midterm Results'!I105="","",'(4).Midterm Results'!I105)</f>
        <v/>
      </c>
      <c r="J105" s="52" t="str">
        <f>IF('(4).Midterm Results'!J105="","",'(4).Midterm Results'!J105)</f>
        <v/>
      </c>
      <c r="K105" s="52" t="str">
        <f>IF('(4).Midterm Results'!K105="","",'(4).Midterm Results'!K105)</f>
        <v/>
      </c>
      <c r="L105" s="52" t="str">
        <f>IF('(4).Midterm Results'!L105="","",'(4).Midterm Results'!L105)</f>
        <v/>
      </c>
      <c r="M105" s="52" t="str">
        <f>IF('(4).Midterm Results'!M105="","",'(4).Midterm Results'!M105)</f>
        <v/>
      </c>
      <c r="N105" s="52" t="str">
        <f>IF('(4).Midterm Results'!N105="","",'(4).Midterm Results'!N105)</f>
        <v/>
      </c>
      <c r="O105" s="53" t="str">
        <f>IF('(4).Midterm Results'!O105="","",'(4).Midterm Results'!O105)</f>
        <v/>
      </c>
      <c r="P105" s="51" t="str">
        <f>IF('(5).Promotion Daily'!AH105="","",'(5).Promotion Daily'!AH105)</f>
        <v/>
      </c>
      <c r="Q105" s="52" t="str">
        <f>IF('(6).Promotion Exam'!D105="","",'(6).Promotion Exam'!D105)</f>
        <v/>
      </c>
      <c r="R105" s="52" t="str">
        <f>IF('(6).Promotion Exam'!E105="","",'(6).Promotion Exam'!E105)</f>
        <v/>
      </c>
      <c r="S105" s="52" t="str">
        <f>IF('(6).Promotion Exam'!F105="","",'(6).Promotion Exam'!F105)</f>
        <v/>
      </c>
      <c r="T105" s="52" t="str">
        <f>IF('(6).Promotion Exam'!G105="","",'(6).Promotion Exam'!G105)</f>
        <v/>
      </c>
      <c r="U105" s="52" t="str">
        <f>IF('(6).Promotion Exam'!H105="","",'(6).Promotion Exam'!H105)</f>
        <v/>
      </c>
      <c r="V105" s="52" t="str">
        <f>IF('(6).Promotion Exam'!I105="","",'(6).Promotion Exam'!I105)</f>
        <v/>
      </c>
      <c r="W105" s="52" t="str">
        <f>IF('(6).Promotion Exam'!J105="","",'(6).Promotion Exam'!J105)</f>
        <v/>
      </c>
      <c r="X105" s="52" t="str">
        <f>IF('(6).Promotion Exam'!K105="","",'(6).Promotion Exam'!K105)</f>
        <v/>
      </c>
      <c r="Y105" s="52" t="str">
        <f>IF('(6).Promotion Exam'!L105="","",'(6).Promotion Exam'!L105)</f>
        <v/>
      </c>
      <c r="Z105" s="52" t="str">
        <f>IF('(6).Promotion Exam'!M105="","",'(6).Promotion Exam'!M105)</f>
        <v/>
      </c>
      <c r="AA105" s="53" t="str">
        <f>IF(B105="","",IF(P105="Incomplete","Incomplete",IF('(6).Promotion Exam'!N105="Change","Change",IF('(6).Promotion Exam'!N105="Stop","Stop",IF('(6).Promotion Exam'!N105="Incomplete","Incomplete",IF(COUNTBLANK(Q105:Z105)&gt;=1,"Incomplete",P105*20%+SUM(Q105:Z105)*80%))))))</f>
        <v/>
      </c>
      <c r="AB105" s="54" t="str">
        <f t="shared" si="16"/>
        <v/>
      </c>
      <c r="AC105" s="55" t="str">
        <f t="shared" si="17"/>
        <v/>
      </c>
      <c r="AD105" s="55" t="str">
        <f t="shared" si="18"/>
        <v/>
      </c>
      <c r="AE105" s="56" t="str">
        <f t="shared" si="19"/>
        <v/>
      </c>
      <c r="AF105" s="57" t="str">
        <f t="shared" si="20"/>
        <v/>
      </c>
      <c r="AG105" s="97" t="str">
        <f t="shared" si="21"/>
        <v/>
      </c>
      <c r="AH105" s="58" t="str">
        <f t="shared" si="22"/>
        <v/>
      </c>
      <c r="AI105" s="58" t="str">
        <f t="shared" si="23"/>
        <v/>
      </c>
      <c r="AJ105" s="59"/>
    </row>
    <row r="106" spans="1:36" ht="15.95" customHeight="1">
      <c r="A106" s="66">
        <v>28</v>
      </c>
      <c r="B106" s="63" t="str">
        <f>IF('(6).Promotion Exam'!B106="","",'(6).Promotion Exam'!B106)</f>
        <v/>
      </c>
      <c r="C106" s="67" t="str">
        <f>IF('(6).Promotion Exam'!C106="","",'(6).Promotion Exam'!C106)</f>
        <v/>
      </c>
      <c r="D106" s="51" t="str">
        <f>IF('(4).Midterm Results'!D106="","",'(4).Midterm Results'!D106)</f>
        <v/>
      </c>
      <c r="E106" s="52" t="str">
        <f>IF('(4).Midterm Results'!E106="","",'(4).Midterm Results'!E106)</f>
        <v/>
      </c>
      <c r="F106" s="52" t="str">
        <f>IF('(4).Midterm Results'!F106="","",'(4).Midterm Results'!F106)</f>
        <v/>
      </c>
      <c r="G106" s="52" t="str">
        <f>IF('(4).Midterm Results'!G106="","",'(4).Midterm Results'!G106)</f>
        <v/>
      </c>
      <c r="H106" s="52" t="str">
        <f>IF('(4).Midterm Results'!H106="","",'(4).Midterm Results'!H106)</f>
        <v/>
      </c>
      <c r="I106" s="52" t="str">
        <f>IF('(4).Midterm Results'!I106="","",'(4).Midterm Results'!I106)</f>
        <v/>
      </c>
      <c r="J106" s="52" t="str">
        <f>IF('(4).Midterm Results'!J106="","",'(4).Midterm Results'!J106)</f>
        <v/>
      </c>
      <c r="K106" s="52" t="str">
        <f>IF('(4).Midterm Results'!K106="","",'(4).Midterm Results'!K106)</f>
        <v/>
      </c>
      <c r="L106" s="52" t="str">
        <f>IF('(4).Midterm Results'!L106="","",'(4).Midterm Results'!L106)</f>
        <v/>
      </c>
      <c r="M106" s="52" t="str">
        <f>IF('(4).Midterm Results'!M106="","",'(4).Midterm Results'!M106)</f>
        <v/>
      </c>
      <c r="N106" s="52" t="str">
        <f>IF('(4).Midterm Results'!N106="","",'(4).Midterm Results'!N106)</f>
        <v/>
      </c>
      <c r="O106" s="53" t="str">
        <f>IF('(4).Midterm Results'!O106="","",'(4).Midterm Results'!O106)</f>
        <v/>
      </c>
      <c r="P106" s="51" t="str">
        <f>IF('(5).Promotion Daily'!AH106="","",'(5).Promotion Daily'!AH106)</f>
        <v/>
      </c>
      <c r="Q106" s="52" t="str">
        <f>IF('(6).Promotion Exam'!D106="","",'(6).Promotion Exam'!D106)</f>
        <v/>
      </c>
      <c r="R106" s="52" t="str">
        <f>IF('(6).Promotion Exam'!E106="","",'(6).Promotion Exam'!E106)</f>
        <v/>
      </c>
      <c r="S106" s="52" t="str">
        <f>IF('(6).Promotion Exam'!F106="","",'(6).Promotion Exam'!F106)</f>
        <v/>
      </c>
      <c r="T106" s="52" t="str">
        <f>IF('(6).Promotion Exam'!G106="","",'(6).Promotion Exam'!G106)</f>
        <v/>
      </c>
      <c r="U106" s="52" t="str">
        <f>IF('(6).Promotion Exam'!H106="","",'(6).Promotion Exam'!H106)</f>
        <v/>
      </c>
      <c r="V106" s="52" t="str">
        <f>IF('(6).Promotion Exam'!I106="","",'(6).Promotion Exam'!I106)</f>
        <v/>
      </c>
      <c r="W106" s="52" t="str">
        <f>IF('(6).Promotion Exam'!J106="","",'(6).Promotion Exam'!J106)</f>
        <v/>
      </c>
      <c r="X106" s="52" t="str">
        <f>IF('(6).Promotion Exam'!K106="","",'(6).Promotion Exam'!K106)</f>
        <v/>
      </c>
      <c r="Y106" s="52" t="str">
        <f>IF('(6).Promotion Exam'!L106="","",'(6).Promotion Exam'!L106)</f>
        <v/>
      </c>
      <c r="Z106" s="52" t="str">
        <f>IF('(6).Promotion Exam'!M106="","",'(6).Promotion Exam'!M106)</f>
        <v/>
      </c>
      <c r="AA106" s="53" t="str">
        <f>IF(B106="","",IF(P106="Incomplete","Incomplete",IF('(6).Promotion Exam'!N106="Change","Change",IF('(6).Promotion Exam'!N106="Stop","Stop",IF('(6).Promotion Exam'!N106="Incomplete","Incomplete",IF(COUNTBLANK(Q106:Z106)&gt;=1,"Incomplete",P106*20%+SUM(Q106:Z106)*80%))))))</f>
        <v/>
      </c>
      <c r="AB106" s="54" t="str">
        <f t="shared" si="16"/>
        <v/>
      </c>
      <c r="AC106" s="55" t="str">
        <f t="shared" si="17"/>
        <v/>
      </c>
      <c r="AD106" s="55" t="str">
        <f t="shared" si="18"/>
        <v/>
      </c>
      <c r="AE106" s="56" t="str">
        <f t="shared" si="19"/>
        <v/>
      </c>
      <c r="AF106" s="57" t="str">
        <f t="shared" si="20"/>
        <v/>
      </c>
      <c r="AG106" s="97" t="str">
        <f t="shared" si="21"/>
        <v/>
      </c>
      <c r="AH106" s="58" t="str">
        <f t="shared" si="22"/>
        <v/>
      </c>
      <c r="AI106" s="58" t="str">
        <f t="shared" si="23"/>
        <v/>
      </c>
      <c r="AJ106" s="59"/>
    </row>
    <row r="107" spans="1:36" ht="15.95" customHeight="1">
      <c r="A107" s="66">
        <v>29</v>
      </c>
      <c r="B107" s="63" t="str">
        <f>IF('(6).Promotion Exam'!B107="","",'(6).Promotion Exam'!B107)</f>
        <v/>
      </c>
      <c r="C107" s="67" t="str">
        <f>IF('(6).Promotion Exam'!C107="","",'(6).Promotion Exam'!C107)</f>
        <v/>
      </c>
      <c r="D107" s="51" t="str">
        <f>IF('(4).Midterm Results'!D107="","",'(4).Midterm Results'!D107)</f>
        <v/>
      </c>
      <c r="E107" s="52" t="str">
        <f>IF('(4).Midterm Results'!E107="","",'(4).Midterm Results'!E107)</f>
        <v/>
      </c>
      <c r="F107" s="52" t="str">
        <f>IF('(4).Midterm Results'!F107="","",'(4).Midterm Results'!F107)</f>
        <v/>
      </c>
      <c r="G107" s="52" t="str">
        <f>IF('(4).Midterm Results'!G107="","",'(4).Midterm Results'!G107)</f>
        <v/>
      </c>
      <c r="H107" s="52" t="str">
        <f>IF('(4).Midterm Results'!H107="","",'(4).Midterm Results'!H107)</f>
        <v/>
      </c>
      <c r="I107" s="52" t="str">
        <f>IF('(4).Midterm Results'!I107="","",'(4).Midterm Results'!I107)</f>
        <v/>
      </c>
      <c r="J107" s="52" t="str">
        <f>IF('(4).Midterm Results'!J107="","",'(4).Midterm Results'!J107)</f>
        <v/>
      </c>
      <c r="K107" s="52" t="str">
        <f>IF('(4).Midterm Results'!K107="","",'(4).Midterm Results'!K107)</f>
        <v/>
      </c>
      <c r="L107" s="52" t="str">
        <f>IF('(4).Midterm Results'!L107="","",'(4).Midterm Results'!L107)</f>
        <v/>
      </c>
      <c r="M107" s="52" t="str">
        <f>IF('(4).Midterm Results'!M107="","",'(4).Midterm Results'!M107)</f>
        <v/>
      </c>
      <c r="N107" s="52" t="str">
        <f>IF('(4).Midterm Results'!N107="","",'(4).Midterm Results'!N107)</f>
        <v/>
      </c>
      <c r="O107" s="53" t="str">
        <f>IF('(4).Midterm Results'!O107="","",'(4).Midterm Results'!O107)</f>
        <v/>
      </c>
      <c r="P107" s="51" t="str">
        <f>IF('(5).Promotion Daily'!AH107="","",'(5).Promotion Daily'!AH107)</f>
        <v/>
      </c>
      <c r="Q107" s="52" t="str">
        <f>IF('(6).Promotion Exam'!D107="","",'(6).Promotion Exam'!D107)</f>
        <v/>
      </c>
      <c r="R107" s="52" t="str">
        <f>IF('(6).Promotion Exam'!E107="","",'(6).Promotion Exam'!E107)</f>
        <v/>
      </c>
      <c r="S107" s="52" t="str">
        <f>IF('(6).Promotion Exam'!F107="","",'(6).Promotion Exam'!F107)</f>
        <v/>
      </c>
      <c r="T107" s="52" t="str">
        <f>IF('(6).Promotion Exam'!G107="","",'(6).Promotion Exam'!G107)</f>
        <v/>
      </c>
      <c r="U107" s="52" t="str">
        <f>IF('(6).Promotion Exam'!H107="","",'(6).Promotion Exam'!H107)</f>
        <v/>
      </c>
      <c r="V107" s="52" t="str">
        <f>IF('(6).Promotion Exam'!I107="","",'(6).Promotion Exam'!I107)</f>
        <v/>
      </c>
      <c r="W107" s="52" t="str">
        <f>IF('(6).Promotion Exam'!J107="","",'(6).Promotion Exam'!J107)</f>
        <v/>
      </c>
      <c r="X107" s="52" t="str">
        <f>IF('(6).Promotion Exam'!K107="","",'(6).Promotion Exam'!K107)</f>
        <v/>
      </c>
      <c r="Y107" s="52" t="str">
        <f>IF('(6).Promotion Exam'!L107="","",'(6).Promotion Exam'!L107)</f>
        <v/>
      </c>
      <c r="Z107" s="52" t="str">
        <f>IF('(6).Promotion Exam'!M107="","",'(6).Promotion Exam'!M107)</f>
        <v/>
      </c>
      <c r="AA107" s="53" t="str">
        <f>IF(B107="","",IF(P107="Incomplete","Incomplete",IF('(6).Promotion Exam'!N107="Change","Change",IF('(6).Promotion Exam'!N107="Stop","Stop",IF('(6).Promotion Exam'!N107="Incomplete","Incomplete",IF(COUNTBLANK(Q107:Z107)&gt;=1,"Incomplete",P107*20%+SUM(Q107:Z107)*80%))))))</f>
        <v/>
      </c>
      <c r="AB107" s="54" t="str">
        <f t="shared" si="16"/>
        <v/>
      </c>
      <c r="AC107" s="55" t="str">
        <f t="shared" si="17"/>
        <v/>
      </c>
      <c r="AD107" s="55" t="str">
        <f t="shared" si="18"/>
        <v/>
      </c>
      <c r="AE107" s="56" t="str">
        <f t="shared" si="19"/>
        <v/>
      </c>
      <c r="AF107" s="57" t="str">
        <f t="shared" si="20"/>
        <v/>
      </c>
      <c r="AG107" s="97" t="str">
        <f t="shared" si="21"/>
        <v/>
      </c>
      <c r="AH107" s="58" t="str">
        <f t="shared" si="22"/>
        <v/>
      </c>
      <c r="AI107" s="58" t="str">
        <f t="shared" si="23"/>
        <v/>
      </c>
      <c r="AJ107" s="59"/>
    </row>
    <row r="108" spans="1:36" ht="15.95" customHeight="1">
      <c r="A108" s="66">
        <v>30</v>
      </c>
      <c r="B108" s="63" t="str">
        <f>IF('(6).Promotion Exam'!B108="","",'(6).Promotion Exam'!B108)</f>
        <v/>
      </c>
      <c r="C108" s="67" t="str">
        <f>IF('(6).Promotion Exam'!C108="","",'(6).Promotion Exam'!C108)</f>
        <v/>
      </c>
      <c r="D108" s="51" t="str">
        <f>IF('(4).Midterm Results'!D108="","",'(4).Midterm Results'!D108)</f>
        <v/>
      </c>
      <c r="E108" s="52" t="str">
        <f>IF('(4).Midterm Results'!E108="","",'(4).Midterm Results'!E108)</f>
        <v/>
      </c>
      <c r="F108" s="52" t="str">
        <f>IF('(4).Midterm Results'!F108="","",'(4).Midterm Results'!F108)</f>
        <v/>
      </c>
      <c r="G108" s="52" t="str">
        <f>IF('(4).Midterm Results'!G108="","",'(4).Midterm Results'!G108)</f>
        <v/>
      </c>
      <c r="H108" s="52" t="str">
        <f>IF('(4).Midterm Results'!H108="","",'(4).Midterm Results'!H108)</f>
        <v/>
      </c>
      <c r="I108" s="52" t="str">
        <f>IF('(4).Midterm Results'!I108="","",'(4).Midterm Results'!I108)</f>
        <v/>
      </c>
      <c r="J108" s="52" t="str">
        <f>IF('(4).Midterm Results'!J108="","",'(4).Midterm Results'!J108)</f>
        <v/>
      </c>
      <c r="K108" s="52" t="str">
        <f>IF('(4).Midterm Results'!K108="","",'(4).Midterm Results'!K108)</f>
        <v/>
      </c>
      <c r="L108" s="52" t="str">
        <f>IF('(4).Midterm Results'!L108="","",'(4).Midterm Results'!L108)</f>
        <v/>
      </c>
      <c r="M108" s="52" t="str">
        <f>IF('(4).Midterm Results'!M108="","",'(4).Midterm Results'!M108)</f>
        <v/>
      </c>
      <c r="N108" s="52" t="str">
        <f>IF('(4).Midterm Results'!N108="","",'(4).Midterm Results'!N108)</f>
        <v/>
      </c>
      <c r="O108" s="53" t="str">
        <f>IF('(4).Midterm Results'!O108="","",'(4).Midterm Results'!O108)</f>
        <v/>
      </c>
      <c r="P108" s="51" t="str">
        <f>IF('(5).Promotion Daily'!AH108="","",'(5).Promotion Daily'!AH108)</f>
        <v/>
      </c>
      <c r="Q108" s="52" t="str">
        <f>IF('(6).Promotion Exam'!D108="","",'(6).Promotion Exam'!D108)</f>
        <v/>
      </c>
      <c r="R108" s="52" t="str">
        <f>IF('(6).Promotion Exam'!E108="","",'(6).Promotion Exam'!E108)</f>
        <v/>
      </c>
      <c r="S108" s="52" t="str">
        <f>IF('(6).Promotion Exam'!F108="","",'(6).Promotion Exam'!F108)</f>
        <v/>
      </c>
      <c r="T108" s="52" t="str">
        <f>IF('(6).Promotion Exam'!G108="","",'(6).Promotion Exam'!G108)</f>
        <v/>
      </c>
      <c r="U108" s="52" t="str">
        <f>IF('(6).Promotion Exam'!H108="","",'(6).Promotion Exam'!H108)</f>
        <v/>
      </c>
      <c r="V108" s="52" t="str">
        <f>IF('(6).Promotion Exam'!I108="","",'(6).Promotion Exam'!I108)</f>
        <v/>
      </c>
      <c r="W108" s="52" t="str">
        <f>IF('(6).Promotion Exam'!J108="","",'(6).Promotion Exam'!J108)</f>
        <v/>
      </c>
      <c r="X108" s="52" t="str">
        <f>IF('(6).Promotion Exam'!K108="","",'(6).Promotion Exam'!K108)</f>
        <v/>
      </c>
      <c r="Y108" s="52" t="str">
        <f>IF('(6).Promotion Exam'!L108="","",'(6).Promotion Exam'!L108)</f>
        <v/>
      </c>
      <c r="Z108" s="52" t="str">
        <f>IF('(6).Promotion Exam'!M108="","",'(6).Promotion Exam'!M108)</f>
        <v/>
      </c>
      <c r="AA108" s="53" t="str">
        <f>IF(B108="","",IF(P108="Incomplete","Incomplete",IF('(6).Promotion Exam'!N108="Change","Change",IF('(6).Promotion Exam'!N108="Stop","Stop",IF('(6).Promotion Exam'!N108="Incomplete","Incomplete",IF(COUNTBLANK(Q108:Z108)&gt;=1,"Incomplete",P108*20%+SUM(Q108:Z108)*80%))))))</f>
        <v/>
      </c>
      <c r="AB108" s="54" t="str">
        <f t="shared" si="16"/>
        <v/>
      </c>
      <c r="AC108" s="55" t="str">
        <f t="shared" si="17"/>
        <v/>
      </c>
      <c r="AD108" s="55" t="str">
        <f t="shared" si="18"/>
        <v/>
      </c>
      <c r="AE108" s="56" t="str">
        <f t="shared" si="19"/>
        <v/>
      </c>
      <c r="AF108" s="57" t="str">
        <f t="shared" si="20"/>
        <v/>
      </c>
      <c r="AG108" s="97" t="str">
        <f t="shared" si="21"/>
        <v/>
      </c>
      <c r="AH108" s="58" t="str">
        <f t="shared" si="22"/>
        <v/>
      </c>
      <c r="AI108" s="58" t="str">
        <f t="shared" si="23"/>
        <v/>
      </c>
      <c r="AJ108" s="59"/>
    </row>
    <row r="109" spans="1:36" ht="15.95" customHeight="1">
      <c r="A109" s="18" t="s">
        <v>0</v>
      </c>
      <c r="B109" s="19">
        <f>'(6).Promotion Exam'!B109</f>
        <v>0</v>
      </c>
      <c r="C109" s="60"/>
      <c r="D109" s="222" t="s">
        <v>94</v>
      </c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F109" s="5">
        <f>B109</f>
        <v>0</v>
      </c>
      <c r="AG109" s="5" t="str">
        <f>IF(AH109="12:30-3:00","WK",IF(AH109="3:00-5:30","WK","MF"))</f>
        <v>MF</v>
      </c>
      <c r="AH109" s="5">
        <f>B111</f>
        <v>0</v>
      </c>
      <c r="AI109" s="5">
        <f>B113</f>
        <v>0</v>
      </c>
    </row>
    <row r="110" spans="1:36" ht="15.95" customHeight="1">
      <c r="A110" s="18" t="s">
        <v>1</v>
      </c>
      <c r="B110" s="19">
        <f>'(6).Promotion Exam'!B110</f>
        <v>0</v>
      </c>
      <c r="C110" s="60"/>
      <c r="D110" s="222" t="str">
        <f>'(3).Midterm Exam'!D111</f>
        <v>FEBRUARY - JULY 2026</v>
      </c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72"/>
      <c r="AB110" s="5"/>
    </row>
    <row r="111" spans="1:36" ht="15.95" customHeight="1">
      <c r="A111" s="18" t="s">
        <v>2</v>
      </c>
      <c r="B111" s="19">
        <f>'(6).Promotion Exam'!B111</f>
        <v>0</v>
      </c>
      <c r="C111" s="60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3"/>
      <c r="AB111" s="5"/>
    </row>
    <row r="112" spans="1:36" ht="15.95" customHeight="1">
      <c r="A112" s="18" t="s">
        <v>3</v>
      </c>
      <c r="B112" s="19">
        <f>'(6).Promotion Exam'!B112</f>
        <v>0</v>
      </c>
      <c r="C112" s="60"/>
      <c r="D112" s="92" t="s">
        <v>19</v>
      </c>
      <c r="E112" s="268" t="s">
        <v>93</v>
      </c>
      <c r="F112" s="269"/>
      <c r="G112" s="269"/>
      <c r="H112" s="269"/>
      <c r="I112" s="269"/>
      <c r="J112" s="269"/>
      <c r="K112" s="269"/>
      <c r="L112" s="269"/>
      <c r="M112" s="269"/>
      <c r="N112" s="270"/>
      <c r="O112" s="93" t="s">
        <v>95</v>
      </c>
      <c r="P112" s="92" t="s">
        <v>31</v>
      </c>
      <c r="Q112" s="268" t="s">
        <v>96</v>
      </c>
      <c r="R112" s="269"/>
      <c r="S112" s="269"/>
      <c r="T112" s="269"/>
      <c r="U112" s="269"/>
      <c r="V112" s="269"/>
      <c r="W112" s="269"/>
      <c r="X112" s="269"/>
      <c r="Y112" s="269"/>
      <c r="Z112" s="270"/>
      <c r="AA112" s="93" t="s">
        <v>95</v>
      </c>
      <c r="AB112" s="252" t="s">
        <v>27</v>
      </c>
      <c r="AC112" s="253"/>
      <c r="AD112" s="253"/>
      <c r="AE112" s="254"/>
      <c r="AF112" s="255" t="s">
        <v>20</v>
      </c>
      <c r="AG112" s="256"/>
      <c r="AH112" s="256"/>
      <c r="AI112" s="256"/>
      <c r="AJ112" s="257"/>
    </row>
    <row r="113" spans="1:36" ht="15.95" customHeight="1">
      <c r="A113" s="18" t="s">
        <v>4</v>
      </c>
      <c r="B113" s="19">
        <f>'(6).Promotion Exam'!B113</f>
        <v>0</v>
      </c>
      <c r="C113" s="60"/>
      <c r="D113" s="95" t="s">
        <v>18</v>
      </c>
      <c r="E113" s="91" t="str">
        <f>IF(OR($B110="K5",$B110="K6",$B110="K7",$B110="K8",$B110="K9",$B110="K10"),"Lis","ULC")</f>
        <v>ULC</v>
      </c>
      <c r="F113" s="91" t="str">
        <f>IF(OR($B110="K5",$B110="K6",$B110="K7",$B110="K8",$B110="K9",$B110="K10"),"Spk","Alp.N")</f>
        <v>Alp.N</v>
      </c>
      <c r="G113" s="91" t="str">
        <f>IF(OR($B110="K5",$B110="K6",$B110="K7",$B110="K8",$B110="K9",$B110="K10"),"Rea","Alp.S")</f>
        <v>Alp.S</v>
      </c>
      <c r="H113" s="91" t="str">
        <f>IF(OR($B110="K5",$B110="K6",$B110="K7",$B110="K8",$B110="K9",$B110="K10"),"Wri","Voc")</f>
        <v>Voc</v>
      </c>
      <c r="I113" s="91" t="str">
        <f>IF(OR($B110="K5",$B110="K6",$B110="K7",$B110="K8",$B110="K9",$B110="K10"),"Gra","Spr")</f>
        <v>Spr</v>
      </c>
      <c r="J113" s="91" t="str">
        <f>IF(OR($B110="K5",$B110="K6",$B110="K7",$B110="K8",$B110="K9",$B110="K10"),"Voc","Pho")</f>
        <v>Pho</v>
      </c>
      <c r="K113" s="91" t="str">
        <f>IF(OR($B110="K5",$B110="K6",$B110="K7",$B110="K8",$B110="K9",$B110="K10"),"Roots","Math")</f>
        <v>Math</v>
      </c>
      <c r="L113" s="91" t="str">
        <f>IF(OR($B110="K5",$B110="K6",$B110="K7",$B110="K8",$B110="K9",$B110="K10"),"Pho","Shap")</f>
        <v>Shap</v>
      </c>
      <c r="M113" s="91" t="str">
        <f>IF(OR($B110="K5",$B110="K6",$B110="K7",$B110="K8",$B110="K9",$B110="K10"),"Math","Sci")</f>
        <v>Sci</v>
      </c>
      <c r="N113" s="91" t="str">
        <f>IF(OR($B110="K5",$B110="K6",$B110="K7",$B110="K8",$B110="K9",$B110="K10"),"Sci","Trac")</f>
        <v>Trac</v>
      </c>
      <c r="O113" s="94" t="s">
        <v>24</v>
      </c>
      <c r="P113" s="95" t="s">
        <v>18</v>
      </c>
      <c r="Q113" s="91" t="str">
        <f>IF(OR($B110="K5",$B110="K6",$B110="K7",$B110="K8",$B110="K9",$B110="K10"),"Lis","ULC")</f>
        <v>ULC</v>
      </c>
      <c r="R113" s="91" t="str">
        <f>IF(OR($B110="K5",$B110="K6",$B110="K7",$B110="K8",$B110="K9",$B110="K10"),"Spk","Alp.N")</f>
        <v>Alp.N</v>
      </c>
      <c r="S113" s="91" t="str">
        <f>IF(OR($B110="K5",$B110="K6",$B110="K7",$B110="K8",$B110="K9",$B110="K10"),"Rea","Alp.S")</f>
        <v>Alp.S</v>
      </c>
      <c r="T113" s="91" t="str">
        <f>IF(OR($B110="K5",$B110="K6",$B110="K7",$B110="K8",$B110="K9",$B110="K10"),"Wri","Voc")</f>
        <v>Voc</v>
      </c>
      <c r="U113" s="91" t="str">
        <f>IF(OR($B110="K5",$B110="K6",$B110="K7",$B110="K8",$B110="K9",$B110="K10"),"Gra","Spr")</f>
        <v>Spr</v>
      </c>
      <c r="V113" s="91" t="str">
        <f>IF(OR($B110="K5",$B110="K6",$B110="K7",$B110="K8",$B110="K9",$B110="K10"),"Voc","Pho")</f>
        <v>Pho</v>
      </c>
      <c r="W113" s="91" t="str">
        <f>IF(OR($B110="K5",$B110="K6",$B110="K7",$B110="K8",$B110="K9",$B110="K10"),"Roots","Math")</f>
        <v>Math</v>
      </c>
      <c r="X113" s="91" t="str">
        <f>IF(OR($B110="K5",$B110="K6",$B110="K7",$B110="K8",$B110="K9",$B110="K10"),"Pho","Shap")</f>
        <v>Shap</v>
      </c>
      <c r="Y113" s="91" t="str">
        <f>IF(OR($B110="K5",$B110="K6",$B110="K7",$B110="K8",$B110="K9",$B110="K10"),"Math","Sci")</f>
        <v>Sci</v>
      </c>
      <c r="Z113" s="91" t="str">
        <f>IF(OR($B110="K5",$B110="K6",$B110="K7",$B110="K8",$B110="K9",$B110="K10"),"Sci","Trac")</f>
        <v>Trac</v>
      </c>
      <c r="AA113" s="94" t="s">
        <v>24</v>
      </c>
      <c r="AB113" s="44" t="s">
        <v>23</v>
      </c>
      <c r="AC113" s="260" t="s">
        <v>25</v>
      </c>
      <c r="AD113" s="260" t="s">
        <v>26</v>
      </c>
      <c r="AE113" s="262" t="s">
        <v>22</v>
      </c>
      <c r="AF113" s="264" t="s">
        <v>21</v>
      </c>
      <c r="AG113" s="266" t="s">
        <v>119</v>
      </c>
      <c r="AH113" s="258" t="s">
        <v>32</v>
      </c>
      <c r="AI113" s="258" t="s">
        <v>33</v>
      </c>
      <c r="AJ113" s="22" t="s">
        <v>28</v>
      </c>
    </row>
    <row r="114" spans="1:36" ht="15.95" customHeight="1">
      <c r="A114" s="65" t="s">
        <v>5</v>
      </c>
      <c r="B114" s="64" t="s">
        <v>6</v>
      </c>
      <c r="C114" s="85" t="s">
        <v>7</v>
      </c>
      <c r="D114" s="99">
        <v>100</v>
      </c>
      <c r="E114" s="99">
        <v>10</v>
      </c>
      <c r="F114" s="99">
        <v>10</v>
      </c>
      <c r="G114" s="99">
        <v>10</v>
      </c>
      <c r="H114" s="99">
        <v>10</v>
      </c>
      <c r="I114" s="99">
        <v>10</v>
      </c>
      <c r="J114" s="99">
        <v>10</v>
      </c>
      <c r="K114" s="99">
        <v>10</v>
      </c>
      <c r="L114" s="99">
        <v>10</v>
      </c>
      <c r="M114" s="99">
        <v>10</v>
      </c>
      <c r="N114" s="99">
        <v>10</v>
      </c>
      <c r="O114" s="99">
        <v>100</v>
      </c>
      <c r="P114" s="99">
        <v>100</v>
      </c>
      <c r="Q114" s="99">
        <v>10</v>
      </c>
      <c r="R114" s="99">
        <v>10</v>
      </c>
      <c r="S114" s="99">
        <v>10</v>
      </c>
      <c r="T114" s="99">
        <v>10</v>
      </c>
      <c r="U114" s="99">
        <v>10</v>
      </c>
      <c r="V114" s="99">
        <v>10</v>
      </c>
      <c r="W114" s="99">
        <v>10</v>
      </c>
      <c r="X114" s="99">
        <v>10</v>
      </c>
      <c r="Y114" s="99">
        <v>10</v>
      </c>
      <c r="Z114" s="99">
        <v>10</v>
      </c>
      <c r="AA114" s="99">
        <v>100</v>
      </c>
      <c r="AB114" s="45" t="s">
        <v>24</v>
      </c>
      <c r="AC114" s="261"/>
      <c r="AD114" s="261"/>
      <c r="AE114" s="263"/>
      <c r="AF114" s="265"/>
      <c r="AG114" s="267"/>
      <c r="AH114" s="259"/>
      <c r="AI114" s="259"/>
      <c r="AJ114" s="23" t="s">
        <v>29</v>
      </c>
    </row>
    <row r="115" spans="1:36" ht="15.95" customHeight="1">
      <c r="A115" s="66">
        <v>1</v>
      </c>
      <c r="B115" s="68" t="str">
        <f>IF('(6).Promotion Exam'!B115="","",'(6).Promotion Exam'!B115)</f>
        <v/>
      </c>
      <c r="C115" s="79" t="str">
        <f>IF('(6).Promotion Exam'!C115="","",'(6).Promotion Exam'!C115)</f>
        <v/>
      </c>
      <c r="D115" s="86" t="str">
        <f>IF('(4).Midterm Results'!D115="","",'(4).Midterm Results'!D115)</f>
        <v/>
      </c>
      <c r="E115" s="87" t="str">
        <f>IF('(4).Midterm Results'!E115="","",'(4).Midterm Results'!E115)</f>
        <v/>
      </c>
      <c r="F115" s="87" t="str">
        <f>IF('(4).Midterm Results'!F115="","",'(4).Midterm Results'!F115)</f>
        <v/>
      </c>
      <c r="G115" s="87" t="str">
        <f>IF('(4).Midterm Results'!G115="","",'(4).Midterm Results'!G115)</f>
        <v/>
      </c>
      <c r="H115" s="87" t="str">
        <f>IF('(4).Midterm Results'!H115="","",'(4).Midterm Results'!H115)</f>
        <v/>
      </c>
      <c r="I115" s="87" t="str">
        <f>IF('(4).Midterm Results'!I115="","",'(4).Midterm Results'!I115)</f>
        <v/>
      </c>
      <c r="J115" s="87" t="str">
        <f>IF('(4).Midterm Results'!J115="","",'(4).Midterm Results'!J115)</f>
        <v/>
      </c>
      <c r="K115" s="87" t="str">
        <f>IF('(4).Midterm Results'!K115="","",'(4).Midterm Results'!K115)</f>
        <v/>
      </c>
      <c r="L115" s="87" t="str">
        <f>IF('(4).Midterm Results'!L115="","",'(4).Midterm Results'!L115)</f>
        <v/>
      </c>
      <c r="M115" s="87" t="str">
        <f>IF('(4).Midterm Results'!M115="","",'(4).Midterm Results'!M115)</f>
        <v/>
      </c>
      <c r="N115" s="87" t="str">
        <f>IF('(4).Midterm Results'!N115="","",'(4).Midterm Results'!N115)</f>
        <v/>
      </c>
      <c r="O115" s="88" t="str">
        <f>IF('(4).Midterm Results'!O115="","",'(4).Midterm Results'!O115)</f>
        <v/>
      </c>
      <c r="P115" s="86" t="str">
        <f>IF('(5).Promotion Daily'!AH115="","",'(5).Promotion Daily'!AH115)</f>
        <v/>
      </c>
      <c r="Q115" s="87" t="str">
        <f>IF('(6).Promotion Exam'!D115="","",'(6).Promotion Exam'!D115)</f>
        <v/>
      </c>
      <c r="R115" s="87" t="str">
        <f>IF('(6).Promotion Exam'!E115="","",'(6).Promotion Exam'!E115)</f>
        <v/>
      </c>
      <c r="S115" s="87" t="str">
        <f>IF('(6).Promotion Exam'!F115="","",'(6).Promotion Exam'!F115)</f>
        <v/>
      </c>
      <c r="T115" s="87" t="str">
        <f>IF('(6).Promotion Exam'!G115="","",'(6).Promotion Exam'!G115)</f>
        <v/>
      </c>
      <c r="U115" s="87" t="str">
        <f>IF('(6).Promotion Exam'!H115="","",'(6).Promotion Exam'!H115)</f>
        <v/>
      </c>
      <c r="V115" s="87" t="str">
        <f>IF('(6).Promotion Exam'!I115="","",'(6).Promotion Exam'!I115)</f>
        <v/>
      </c>
      <c r="W115" s="87" t="str">
        <f>IF('(6).Promotion Exam'!J115="","",'(6).Promotion Exam'!J115)</f>
        <v/>
      </c>
      <c r="X115" s="87" t="str">
        <f>IF('(6).Promotion Exam'!K115="","",'(6).Promotion Exam'!K115)</f>
        <v/>
      </c>
      <c r="Y115" s="87" t="str">
        <f>IF('(6).Promotion Exam'!L115="","",'(6).Promotion Exam'!L115)</f>
        <v/>
      </c>
      <c r="Z115" s="87" t="str">
        <f>IF('(6).Promotion Exam'!M115="","",'(6).Promotion Exam'!M115)</f>
        <v/>
      </c>
      <c r="AA115" s="88" t="str">
        <f>IF(B115="","",IF(P115="Incomplete","Incomplete",IF('(6).Promotion Exam'!N115="Change","Change",IF('(6).Promotion Exam'!N115="Stop","Stop",IF('(6).Promotion Exam'!N115="Incomplete","Incomplete",IF(COUNTBLANK(Q115:Z115)&gt;=1,"Incomplete",P115*20%+SUM(Q115:Z115)*80%))))))</f>
        <v/>
      </c>
      <c r="AB115" s="98" t="str">
        <f>IF(O115="","",IF(O115="Incomplete","",IF(O115="Change","",IF(O115="Stop","",IF(AA115="","",SUM(O115,AA115)/2)))))</f>
        <v/>
      </c>
      <c r="AC115" s="55" t="str">
        <f>IF(AB115="","",IF(AB115&lt;55,"Repeat",IF(AB115&lt;65,"C-",IF(AB115&lt;70,"C",IF(AB115&lt;75,"C+",IF(AB115&lt;80,"B-",IF(AB115&lt;85,"B",IF(AB115&lt;90,"B+",IF(AB115&gt;=90,"A")))))))))</f>
        <v/>
      </c>
      <c r="AD115" s="55" t="str">
        <f>IF(AC115="","",IF(AC115="Repeat","Repeat",IF(AC115="C-","Below Average",IF(AC115="C","Average",IF(AC115="C+","Above Average",IF(AC115="B-","Fairly Good",IF(AC115="B","Good",IF(AC115="B+","Very Good",IF(AC115="A","Excellent")))))))))</f>
        <v/>
      </c>
      <c r="AE115" s="56" t="str">
        <f>IF(AD115="","",IF(AD115="Repeat","ត្រួតថ្នាក់",IF(AD115="Below Average","ក្រោមមធ្យមភាគ",IF(AD115="Average","មធ្យមភាគ",IF(AD115="Above Average","លើមធ្យមភាគ",IF(AD115="Fairly Good","ល្អបង្គួរ",IF(AD115="Good","ល្អ",IF(AD115="Very Good","ល្អណាស់",IF(AD115="Excellent","ល្អប្រសើរ")))))))))</f>
        <v/>
      </c>
      <c r="AF115" s="57" t="str">
        <f>IF(B115="","",$AF$109)</f>
        <v/>
      </c>
      <c r="AG115" s="97" t="str">
        <f>IF(B115="","",$AG$109)</f>
        <v/>
      </c>
      <c r="AH115" s="58" t="str">
        <f>IF(B115="","",$AH$109)</f>
        <v/>
      </c>
      <c r="AI115" s="58" t="str">
        <f>IF(B115="","",$AI$109)</f>
        <v/>
      </c>
      <c r="AJ115" s="59"/>
    </row>
    <row r="116" spans="1:36" ht="15.95" customHeight="1">
      <c r="A116" s="66">
        <v>2</v>
      </c>
      <c r="B116" s="63" t="str">
        <f>IF('(6).Promotion Exam'!B116="","",'(6).Promotion Exam'!B116)</f>
        <v/>
      </c>
      <c r="C116" s="67" t="str">
        <f>IF('(6).Promotion Exam'!C116="","",'(6).Promotion Exam'!C116)</f>
        <v/>
      </c>
      <c r="D116" s="51" t="str">
        <f>IF('(4).Midterm Results'!D116="","",'(4).Midterm Results'!D116)</f>
        <v/>
      </c>
      <c r="E116" s="52" t="str">
        <f>IF('(4).Midterm Results'!E116="","",'(4).Midterm Results'!E116)</f>
        <v/>
      </c>
      <c r="F116" s="52" t="str">
        <f>IF('(4).Midterm Results'!F116="","",'(4).Midterm Results'!F116)</f>
        <v/>
      </c>
      <c r="G116" s="52" t="str">
        <f>IF('(4).Midterm Results'!G116="","",'(4).Midterm Results'!G116)</f>
        <v/>
      </c>
      <c r="H116" s="52" t="str">
        <f>IF('(4).Midterm Results'!H116="","",'(4).Midterm Results'!H116)</f>
        <v/>
      </c>
      <c r="I116" s="52" t="str">
        <f>IF('(4).Midterm Results'!I116="","",'(4).Midterm Results'!I116)</f>
        <v/>
      </c>
      <c r="J116" s="52" t="str">
        <f>IF('(4).Midterm Results'!J116="","",'(4).Midterm Results'!J116)</f>
        <v/>
      </c>
      <c r="K116" s="52" t="str">
        <f>IF('(4).Midterm Results'!K116="","",'(4).Midterm Results'!K116)</f>
        <v/>
      </c>
      <c r="L116" s="52" t="str">
        <f>IF('(4).Midterm Results'!L116="","",'(4).Midterm Results'!L116)</f>
        <v/>
      </c>
      <c r="M116" s="52" t="str">
        <f>IF('(4).Midterm Results'!M116="","",'(4).Midterm Results'!M116)</f>
        <v/>
      </c>
      <c r="N116" s="52" t="str">
        <f>IF('(4).Midterm Results'!N116="","",'(4).Midterm Results'!N116)</f>
        <v/>
      </c>
      <c r="O116" s="53" t="str">
        <f>IF('(4).Midterm Results'!O116="","",'(4).Midterm Results'!O116)</f>
        <v/>
      </c>
      <c r="P116" s="51" t="str">
        <f>IF('(5).Promotion Daily'!AH116="","",'(5).Promotion Daily'!AH116)</f>
        <v/>
      </c>
      <c r="Q116" s="52" t="str">
        <f>IF('(6).Promotion Exam'!D116="","",'(6).Promotion Exam'!D116)</f>
        <v/>
      </c>
      <c r="R116" s="52" t="str">
        <f>IF('(6).Promotion Exam'!E116="","",'(6).Promotion Exam'!E116)</f>
        <v/>
      </c>
      <c r="S116" s="52" t="str">
        <f>IF('(6).Promotion Exam'!F116="","",'(6).Promotion Exam'!F116)</f>
        <v/>
      </c>
      <c r="T116" s="52" t="str">
        <f>IF('(6).Promotion Exam'!G116="","",'(6).Promotion Exam'!G116)</f>
        <v/>
      </c>
      <c r="U116" s="52" t="str">
        <f>IF('(6).Promotion Exam'!H116="","",'(6).Promotion Exam'!H116)</f>
        <v/>
      </c>
      <c r="V116" s="52" t="str">
        <f>IF('(6).Promotion Exam'!I116="","",'(6).Promotion Exam'!I116)</f>
        <v/>
      </c>
      <c r="W116" s="52" t="str">
        <f>IF('(6).Promotion Exam'!J116="","",'(6).Promotion Exam'!J116)</f>
        <v/>
      </c>
      <c r="X116" s="52" t="str">
        <f>IF('(6).Promotion Exam'!K116="","",'(6).Promotion Exam'!K116)</f>
        <v/>
      </c>
      <c r="Y116" s="52" t="str">
        <f>IF('(6).Promotion Exam'!L116="","",'(6).Promotion Exam'!L116)</f>
        <v/>
      </c>
      <c r="Z116" s="52" t="str">
        <f>IF('(6).Promotion Exam'!M116="","",'(6).Promotion Exam'!M116)</f>
        <v/>
      </c>
      <c r="AA116" s="53" t="str">
        <f>IF(B116="","",IF(P116="Incomplete","Incomplete",IF('(6).Promotion Exam'!N116="Change","Change",IF('(6).Promotion Exam'!N116="Stop","Stop",IF('(6).Promotion Exam'!N116="Incomplete","Incomplete",IF(COUNTBLANK(Q116:Z116)&gt;=1,"Incomplete",P116*20%+SUM(Q116:Z116)*80%))))))</f>
        <v/>
      </c>
      <c r="AB116" s="54" t="str">
        <f t="shared" ref="AB116:AB144" si="24">IF(O116="","",IF(O116="Incomplete","",IF(O116="Change","",IF(O116="Stop","",IF(AA116="","",SUM(O116,AA116)/2)))))</f>
        <v/>
      </c>
      <c r="AC116" s="55" t="str">
        <f t="shared" ref="AC116:AC144" si="25">IF(AB116="","",IF(AB116&lt;55,"Repeat",IF(AB116&lt;65,"C-",IF(AB116&lt;70,"C",IF(AB116&lt;75,"C+",IF(AB116&lt;80,"B-",IF(AB116&lt;85,"B",IF(AB116&lt;90,"B+",IF(AB116&gt;=90,"A")))))))))</f>
        <v/>
      </c>
      <c r="AD116" s="55" t="str">
        <f t="shared" ref="AD116:AD144" si="26">IF(AC116="","",IF(AC116="Repeat","Repeat",IF(AC116="C-","Below Average",IF(AC116="C","Average",IF(AC116="C+","Above Average",IF(AC116="B-","Fairly Good",IF(AC116="B","Good",IF(AC116="B+","Very Good",IF(AC116="A","Excellent")))))))))</f>
        <v/>
      </c>
      <c r="AE116" s="56" t="str">
        <f t="shared" ref="AE116:AE144" si="27">IF(AD116="","",IF(AD116="Repeat","ត្រួតថ្នាក់",IF(AD116="Below Average","ក្រោមមធ្យមភាគ",IF(AD116="Average","មធ្យមភាគ",IF(AD116="Above Average","លើមធ្យមភាគ",IF(AD116="Fairly Good","ល្អបង្គួរ",IF(AD116="Good","ល្អ",IF(AD116="Very Good","ល្អណាស់",IF(AD116="Excellent","ល្អប្រសើរ")))))))))</f>
        <v/>
      </c>
      <c r="AF116" s="57" t="str">
        <f t="shared" ref="AF116:AF144" si="28">IF(B116="","",$AF$109)</f>
        <v/>
      </c>
      <c r="AG116" s="97" t="str">
        <f t="shared" ref="AG116:AG144" si="29">IF(B116="","",$AG$109)</f>
        <v/>
      </c>
      <c r="AH116" s="58" t="str">
        <f t="shared" ref="AH116:AH144" si="30">IF(B116="","",$AH$109)</f>
        <v/>
      </c>
      <c r="AI116" s="58" t="str">
        <f t="shared" ref="AI116:AI144" si="31">IF(B116="","",$AI$109)</f>
        <v/>
      </c>
      <c r="AJ116" s="59"/>
    </row>
    <row r="117" spans="1:36" ht="15.95" customHeight="1">
      <c r="A117" s="66">
        <v>3</v>
      </c>
      <c r="B117" s="63" t="str">
        <f>IF('(6).Promotion Exam'!B117="","",'(6).Promotion Exam'!B117)</f>
        <v/>
      </c>
      <c r="C117" s="67" t="str">
        <f>IF('(6).Promotion Exam'!C117="","",'(6).Promotion Exam'!C117)</f>
        <v/>
      </c>
      <c r="D117" s="51" t="str">
        <f>IF('(4).Midterm Results'!D117="","",'(4).Midterm Results'!D117)</f>
        <v/>
      </c>
      <c r="E117" s="52" t="str">
        <f>IF('(4).Midterm Results'!E117="","",'(4).Midterm Results'!E117)</f>
        <v/>
      </c>
      <c r="F117" s="52" t="str">
        <f>IF('(4).Midterm Results'!F117="","",'(4).Midterm Results'!F117)</f>
        <v/>
      </c>
      <c r="G117" s="52" t="str">
        <f>IF('(4).Midterm Results'!G117="","",'(4).Midterm Results'!G117)</f>
        <v/>
      </c>
      <c r="H117" s="52" t="str">
        <f>IF('(4).Midterm Results'!H117="","",'(4).Midterm Results'!H117)</f>
        <v/>
      </c>
      <c r="I117" s="52" t="str">
        <f>IF('(4).Midterm Results'!I117="","",'(4).Midterm Results'!I117)</f>
        <v/>
      </c>
      <c r="J117" s="52" t="str">
        <f>IF('(4).Midterm Results'!J117="","",'(4).Midterm Results'!J117)</f>
        <v/>
      </c>
      <c r="K117" s="52" t="str">
        <f>IF('(4).Midterm Results'!K117="","",'(4).Midterm Results'!K117)</f>
        <v/>
      </c>
      <c r="L117" s="52" t="str">
        <f>IF('(4).Midterm Results'!L117="","",'(4).Midterm Results'!L117)</f>
        <v/>
      </c>
      <c r="M117" s="52" t="str">
        <f>IF('(4).Midterm Results'!M117="","",'(4).Midterm Results'!M117)</f>
        <v/>
      </c>
      <c r="N117" s="52" t="str">
        <f>IF('(4).Midterm Results'!N117="","",'(4).Midterm Results'!N117)</f>
        <v/>
      </c>
      <c r="O117" s="53" t="str">
        <f>IF('(4).Midterm Results'!O117="","",'(4).Midterm Results'!O117)</f>
        <v/>
      </c>
      <c r="P117" s="51" t="str">
        <f>IF('(5).Promotion Daily'!AH117="","",'(5).Promotion Daily'!AH117)</f>
        <v/>
      </c>
      <c r="Q117" s="52" t="str">
        <f>IF('(6).Promotion Exam'!D117="","",'(6).Promotion Exam'!D117)</f>
        <v/>
      </c>
      <c r="R117" s="52" t="str">
        <f>IF('(6).Promotion Exam'!E117="","",'(6).Promotion Exam'!E117)</f>
        <v/>
      </c>
      <c r="S117" s="52" t="str">
        <f>IF('(6).Promotion Exam'!F117="","",'(6).Promotion Exam'!F117)</f>
        <v/>
      </c>
      <c r="T117" s="52" t="str">
        <f>IF('(6).Promotion Exam'!G117="","",'(6).Promotion Exam'!G117)</f>
        <v/>
      </c>
      <c r="U117" s="52" t="str">
        <f>IF('(6).Promotion Exam'!H117="","",'(6).Promotion Exam'!H117)</f>
        <v/>
      </c>
      <c r="V117" s="52" t="str">
        <f>IF('(6).Promotion Exam'!I117="","",'(6).Promotion Exam'!I117)</f>
        <v/>
      </c>
      <c r="W117" s="52" t="str">
        <f>IF('(6).Promotion Exam'!J117="","",'(6).Promotion Exam'!J117)</f>
        <v/>
      </c>
      <c r="X117" s="52" t="str">
        <f>IF('(6).Promotion Exam'!K117="","",'(6).Promotion Exam'!K117)</f>
        <v/>
      </c>
      <c r="Y117" s="52" t="str">
        <f>IF('(6).Promotion Exam'!L117="","",'(6).Promotion Exam'!L117)</f>
        <v/>
      </c>
      <c r="Z117" s="52" t="str">
        <f>IF('(6).Promotion Exam'!M117="","",'(6).Promotion Exam'!M117)</f>
        <v/>
      </c>
      <c r="AA117" s="53" t="str">
        <f>IF(B117="","",IF(P117="Incomplete","Incomplete",IF('(6).Promotion Exam'!N117="Change","Change",IF('(6).Promotion Exam'!N117="Stop","Stop",IF('(6).Promotion Exam'!N117="Incomplete","Incomplete",IF(COUNTBLANK(Q117:Z117)&gt;=1,"Incomplete",P117*20%+SUM(Q117:Z117)*80%))))))</f>
        <v/>
      </c>
      <c r="AB117" s="54" t="str">
        <f t="shared" si="24"/>
        <v/>
      </c>
      <c r="AC117" s="55" t="str">
        <f t="shared" si="25"/>
        <v/>
      </c>
      <c r="AD117" s="55" t="str">
        <f t="shared" si="26"/>
        <v/>
      </c>
      <c r="AE117" s="56" t="str">
        <f t="shared" si="27"/>
        <v/>
      </c>
      <c r="AF117" s="57" t="str">
        <f t="shared" si="28"/>
        <v/>
      </c>
      <c r="AG117" s="97" t="str">
        <f t="shared" si="29"/>
        <v/>
      </c>
      <c r="AH117" s="58" t="str">
        <f t="shared" si="30"/>
        <v/>
      </c>
      <c r="AI117" s="58" t="str">
        <f t="shared" si="31"/>
        <v/>
      </c>
      <c r="AJ117" s="59"/>
    </row>
    <row r="118" spans="1:36" ht="15.95" customHeight="1">
      <c r="A118" s="66">
        <v>4</v>
      </c>
      <c r="B118" s="63" t="str">
        <f>IF('(6).Promotion Exam'!B118="","",'(6).Promotion Exam'!B118)</f>
        <v/>
      </c>
      <c r="C118" s="67" t="str">
        <f>IF('(6).Promotion Exam'!C118="","",'(6).Promotion Exam'!C118)</f>
        <v/>
      </c>
      <c r="D118" s="51" t="str">
        <f>IF('(4).Midterm Results'!D118="","",'(4).Midterm Results'!D118)</f>
        <v/>
      </c>
      <c r="E118" s="52" t="str">
        <f>IF('(4).Midterm Results'!E118="","",'(4).Midterm Results'!E118)</f>
        <v/>
      </c>
      <c r="F118" s="52" t="str">
        <f>IF('(4).Midterm Results'!F118="","",'(4).Midterm Results'!F118)</f>
        <v/>
      </c>
      <c r="G118" s="52" t="str">
        <f>IF('(4).Midterm Results'!G118="","",'(4).Midterm Results'!G118)</f>
        <v/>
      </c>
      <c r="H118" s="52" t="str">
        <f>IF('(4).Midterm Results'!H118="","",'(4).Midterm Results'!H118)</f>
        <v/>
      </c>
      <c r="I118" s="52" t="str">
        <f>IF('(4).Midterm Results'!I118="","",'(4).Midterm Results'!I118)</f>
        <v/>
      </c>
      <c r="J118" s="52" t="str">
        <f>IF('(4).Midterm Results'!J118="","",'(4).Midterm Results'!J118)</f>
        <v/>
      </c>
      <c r="K118" s="52" t="str">
        <f>IF('(4).Midterm Results'!K118="","",'(4).Midterm Results'!K118)</f>
        <v/>
      </c>
      <c r="L118" s="52" t="str">
        <f>IF('(4).Midterm Results'!L118="","",'(4).Midterm Results'!L118)</f>
        <v/>
      </c>
      <c r="M118" s="52" t="str">
        <f>IF('(4).Midterm Results'!M118="","",'(4).Midterm Results'!M118)</f>
        <v/>
      </c>
      <c r="N118" s="52" t="str">
        <f>IF('(4).Midterm Results'!N118="","",'(4).Midterm Results'!N118)</f>
        <v/>
      </c>
      <c r="O118" s="53" t="str">
        <f>IF('(4).Midterm Results'!O118="","",'(4).Midterm Results'!O118)</f>
        <v/>
      </c>
      <c r="P118" s="51" t="str">
        <f>IF('(5).Promotion Daily'!AH118="","",'(5).Promotion Daily'!AH118)</f>
        <v/>
      </c>
      <c r="Q118" s="52" t="str">
        <f>IF('(6).Promotion Exam'!D118="","",'(6).Promotion Exam'!D118)</f>
        <v/>
      </c>
      <c r="R118" s="52" t="str">
        <f>IF('(6).Promotion Exam'!E118="","",'(6).Promotion Exam'!E118)</f>
        <v/>
      </c>
      <c r="S118" s="52" t="str">
        <f>IF('(6).Promotion Exam'!F118="","",'(6).Promotion Exam'!F118)</f>
        <v/>
      </c>
      <c r="T118" s="52" t="str">
        <f>IF('(6).Promotion Exam'!G118="","",'(6).Promotion Exam'!G118)</f>
        <v/>
      </c>
      <c r="U118" s="52" t="str">
        <f>IF('(6).Promotion Exam'!H118="","",'(6).Promotion Exam'!H118)</f>
        <v/>
      </c>
      <c r="V118" s="52" t="str">
        <f>IF('(6).Promotion Exam'!I118="","",'(6).Promotion Exam'!I118)</f>
        <v/>
      </c>
      <c r="W118" s="52" t="str">
        <f>IF('(6).Promotion Exam'!J118="","",'(6).Promotion Exam'!J118)</f>
        <v/>
      </c>
      <c r="X118" s="52" t="str">
        <f>IF('(6).Promotion Exam'!K118="","",'(6).Promotion Exam'!K118)</f>
        <v/>
      </c>
      <c r="Y118" s="52" t="str">
        <f>IF('(6).Promotion Exam'!L118="","",'(6).Promotion Exam'!L118)</f>
        <v/>
      </c>
      <c r="Z118" s="52" t="str">
        <f>IF('(6).Promotion Exam'!M118="","",'(6).Promotion Exam'!M118)</f>
        <v/>
      </c>
      <c r="AA118" s="53" t="str">
        <f>IF(B118="","",IF(P118="Incomplete","Incomplete",IF('(6).Promotion Exam'!N118="Change","Change",IF('(6).Promotion Exam'!N118="Stop","Stop",IF('(6).Promotion Exam'!N118="Incomplete","Incomplete",IF(COUNTBLANK(Q118:Z118)&gt;=1,"Incomplete",P118*20%+SUM(Q118:Z118)*80%))))))</f>
        <v/>
      </c>
      <c r="AB118" s="54" t="str">
        <f t="shared" si="24"/>
        <v/>
      </c>
      <c r="AC118" s="55" t="str">
        <f t="shared" si="25"/>
        <v/>
      </c>
      <c r="AD118" s="55" t="str">
        <f t="shared" si="26"/>
        <v/>
      </c>
      <c r="AE118" s="56" t="str">
        <f t="shared" si="27"/>
        <v/>
      </c>
      <c r="AF118" s="57" t="str">
        <f t="shared" si="28"/>
        <v/>
      </c>
      <c r="AG118" s="97" t="str">
        <f t="shared" si="29"/>
        <v/>
      </c>
      <c r="AH118" s="58" t="str">
        <f t="shared" si="30"/>
        <v/>
      </c>
      <c r="AI118" s="58" t="str">
        <f t="shared" si="31"/>
        <v/>
      </c>
      <c r="AJ118" s="59"/>
    </row>
    <row r="119" spans="1:36" ht="15.95" customHeight="1">
      <c r="A119" s="66">
        <v>5</v>
      </c>
      <c r="B119" s="63" t="str">
        <f>IF('(6).Promotion Exam'!B119="","",'(6).Promotion Exam'!B119)</f>
        <v/>
      </c>
      <c r="C119" s="67" t="str">
        <f>IF('(6).Promotion Exam'!C119="","",'(6).Promotion Exam'!C119)</f>
        <v/>
      </c>
      <c r="D119" s="51" t="str">
        <f>IF('(4).Midterm Results'!D119="","",'(4).Midterm Results'!D119)</f>
        <v/>
      </c>
      <c r="E119" s="52" t="str">
        <f>IF('(4).Midterm Results'!E119="","",'(4).Midterm Results'!E119)</f>
        <v/>
      </c>
      <c r="F119" s="52" t="str">
        <f>IF('(4).Midterm Results'!F119="","",'(4).Midterm Results'!F119)</f>
        <v/>
      </c>
      <c r="G119" s="52" t="str">
        <f>IF('(4).Midterm Results'!G119="","",'(4).Midterm Results'!G119)</f>
        <v/>
      </c>
      <c r="H119" s="52" t="str">
        <f>IF('(4).Midterm Results'!H119="","",'(4).Midterm Results'!H119)</f>
        <v/>
      </c>
      <c r="I119" s="52" t="str">
        <f>IF('(4).Midterm Results'!I119="","",'(4).Midterm Results'!I119)</f>
        <v/>
      </c>
      <c r="J119" s="52" t="str">
        <f>IF('(4).Midterm Results'!J119="","",'(4).Midterm Results'!J119)</f>
        <v/>
      </c>
      <c r="K119" s="52" t="str">
        <f>IF('(4).Midterm Results'!K119="","",'(4).Midterm Results'!K119)</f>
        <v/>
      </c>
      <c r="L119" s="52" t="str">
        <f>IF('(4).Midterm Results'!L119="","",'(4).Midterm Results'!L119)</f>
        <v/>
      </c>
      <c r="M119" s="52" t="str">
        <f>IF('(4).Midterm Results'!M119="","",'(4).Midterm Results'!M119)</f>
        <v/>
      </c>
      <c r="N119" s="52" t="str">
        <f>IF('(4).Midterm Results'!N119="","",'(4).Midterm Results'!N119)</f>
        <v/>
      </c>
      <c r="O119" s="53" t="str">
        <f>IF('(4).Midterm Results'!O119="","",'(4).Midterm Results'!O119)</f>
        <v/>
      </c>
      <c r="P119" s="51" t="str">
        <f>IF('(5).Promotion Daily'!AH119="","",'(5).Promotion Daily'!AH119)</f>
        <v/>
      </c>
      <c r="Q119" s="52" t="str">
        <f>IF('(6).Promotion Exam'!D119="","",'(6).Promotion Exam'!D119)</f>
        <v/>
      </c>
      <c r="R119" s="52" t="str">
        <f>IF('(6).Promotion Exam'!E119="","",'(6).Promotion Exam'!E119)</f>
        <v/>
      </c>
      <c r="S119" s="52" t="str">
        <f>IF('(6).Promotion Exam'!F119="","",'(6).Promotion Exam'!F119)</f>
        <v/>
      </c>
      <c r="T119" s="52" t="str">
        <f>IF('(6).Promotion Exam'!G119="","",'(6).Promotion Exam'!G119)</f>
        <v/>
      </c>
      <c r="U119" s="52" t="str">
        <f>IF('(6).Promotion Exam'!H119="","",'(6).Promotion Exam'!H119)</f>
        <v/>
      </c>
      <c r="V119" s="52" t="str">
        <f>IF('(6).Promotion Exam'!I119="","",'(6).Promotion Exam'!I119)</f>
        <v/>
      </c>
      <c r="W119" s="52" t="str">
        <f>IF('(6).Promotion Exam'!J119="","",'(6).Promotion Exam'!J119)</f>
        <v/>
      </c>
      <c r="X119" s="52" t="str">
        <f>IF('(6).Promotion Exam'!K119="","",'(6).Promotion Exam'!K119)</f>
        <v/>
      </c>
      <c r="Y119" s="52" t="str">
        <f>IF('(6).Promotion Exam'!L119="","",'(6).Promotion Exam'!L119)</f>
        <v/>
      </c>
      <c r="Z119" s="52" t="str">
        <f>IF('(6).Promotion Exam'!M119="","",'(6).Promotion Exam'!M119)</f>
        <v/>
      </c>
      <c r="AA119" s="53" t="str">
        <f>IF(B119="","",IF(P119="Incomplete","Incomplete",IF('(6).Promotion Exam'!N119="Change","Change",IF('(6).Promotion Exam'!N119="Stop","Stop",IF('(6).Promotion Exam'!N119="Incomplete","Incomplete",IF(COUNTBLANK(Q119:Z119)&gt;=1,"Incomplete",P119*20%+SUM(Q119:Z119)*80%))))))</f>
        <v/>
      </c>
      <c r="AB119" s="54" t="str">
        <f t="shared" si="24"/>
        <v/>
      </c>
      <c r="AC119" s="55" t="str">
        <f t="shared" si="25"/>
        <v/>
      </c>
      <c r="AD119" s="55" t="str">
        <f t="shared" si="26"/>
        <v/>
      </c>
      <c r="AE119" s="56" t="str">
        <f t="shared" si="27"/>
        <v/>
      </c>
      <c r="AF119" s="57" t="str">
        <f t="shared" si="28"/>
        <v/>
      </c>
      <c r="AG119" s="97" t="str">
        <f t="shared" si="29"/>
        <v/>
      </c>
      <c r="AH119" s="58" t="str">
        <f t="shared" si="30"/>
        <v/>
      </c>
      <c r="AI119" s="58" t="str">
        <f t="shared" si="31"/>
        <v/>
      </c>
      <c r="AJ119" s="59"/>
    </row>
    <row r="120" spans="1:36" ht="15.95" customHeight="1">
      <c r="A120" s="66">
        <v>6</v>
      </c>
      <c r="B120" s="63" t="str">
        <f>IF('(6).Promotion Exam'!B120="","",'(6).Promotion Exam'!B120)</f>
        <v/>
      </c>
      <c r="C120" s="67" t="str">
        <f>IF('(6).Promotion Exam'!C120="","",'(6).Promotion Exam'!C120)</f>
        <v/>
      </c>
      <c r="D120" s="51" t="str">
        <f>IF('(4).Midterm Results'!D120="","",'(4).Midterm Results'!D120)</f>
        <v/>
      </c>
      <c r="E120" s="52" t="str">
        <f>IF('(4).Midterm Results'!E120="","",'(4).Midterm Results'!E120)</f>
        <v/>
      </c>
      <c r="F120" s="52" t="str">
        <f>IF('(4).Midterm Results'!F120="","",'(4).Midterm Results'!F120)</f>
        <v/>
      </c>
      <c r="G120" s="52" t="str">
        <f>IF('(4).Midterm Results'!G120="","",'(4).Midterm Results'!G120)</f>
        <v/>
      </c>
      <c r="H120" s="52" t="str">
        <f>IF('(4).Midterm Results'!H120="","",'(4).Midterm Results'!H120)</f>
        <v/>
      </c>
      <c r="I120" s="52" t="str">
        <f>IF('(4).Midterm Results'!I120="","",'(4).Midterm Results'!I120)</f>
        <v/>
      </c>
      <c r="J120" s="52" t="str">
        <f>IF('(4).Midterm Results'!J120="","",'(4).Midterm Results'!J120)</f>
        <v/>
      </c>
      <c r="K120" s="52" t="str">
        <f>IF('(4).Midterm Results'!K120="","",'(4).Midterm Results'!K120)</f>
        <v/>
      </c>
      <c r="L120" s="52" t="str">
        <f>IF('(4).Midterm Results'!L120="","",'(4).Midterm Results'!L120)</f>
        <v/>
      </c>
      <c r="M120" s="52" t="str">
        <f>IF('(4).Midterm Results'!M120="","",'(4).Midterm Results'!M120)</f>
        <v/>
      </c>
      <c r="N120" s="52" t="str">
        <f>IF('(4).Midterm Results'!N120="","",'(4).Midterm Results'!N120)</f>
        <v/>
      </c>
      <c r="O120" s="53" t="str">
        <f>IF('(4).Midterm Results'!O120="","",'(4).Midterm Results'!O120)</f>
        <v/>
      </c>
      <c r="P120" s="51" t="str">
        <f>IF('(5).Promotion Daily'!AH120="","",'(5).Promotion Daily'!AH120)</f>
        <v/>
      </c>
      <c r="Q120" s="52" t="str">
        <f>IF('(6).Promotion Exam'!D120="","",'(6).Promotion Exam'!D120)</f>
        <v/>
      </c>
      <c r="R120" s="52" t="str">
        <f>IF('(6).Promotion Exam'!E120="","",'(6).Promotion Exam'!E120)</f>
        <v/>
      </c>
      <c r="S120" s="52" t="str">
        <f>IF('(6).Promotion Exam'!F120="","",'(6).Promotion Exam'!F120)</f>
        <v/>
      </c>
      <c r="T120" s="52" t="str">
        <f>IF('(6).Promotion Exam'!G120="","",'(6).Promotion Exam'!G120)</f>
        <v/>
      </c>
      <c r="U120" s="52" t="str">
        <f>IF('(6).Promotion Exam'!H120="","",'(6).Promotion Exam'!H120)</f>
        <v/>
      </c>
      <c r="V120" s="52" t="str">
        <f>IF('(6).Promotion Exam'!I120="","",'(6).Promotion Exam'!I120)</f>
        <v/>
      </c>
      <c r="W120" s="52" t="str">
        <f>IF('(6).Promotion Exam'!J120="","",'(6).Promotion Exam'!J120)</f>
        <v/>
      </c>
      <c r="X120" s="52" t="str">
        <f>IF('(6).Promotion Exam'!K120="","",'(6).Promotion Exam'!K120)</f>
        <v/>
      </c>
      <c r="Y120" s="52" t="str">
        <f>IF('(6).Promotion Exam'!L120="","",'(6).Promotion Exam'!L120)</f>
        <v/>
      </c>
      <c r="Z120" s="52" t="str">
        <f>IF('(6).Promotion Exam'!M120="","",'(6).Promotion Exam'!M120)</f>
        <v/>
      </c>
      <c r="AA120" s="53" t="str">
        <f>IF(B120="","",IF(P120="Incomplete","Incomplete",IF('(6).Promotion Exam'!N120="Change","Change",IF('(6).Promotion Exam'!N120="Stop","Stop",IF('(6).Promotion Exam'!N120="Incomplete","Incomplete",IF(COUNTBLANK(Q120:Z120)&gt;=1,"Incomplete",P120*20%+SUM(Q120:Z120)*80%))))))</f>
        <v/>
      </c>
      <c r="AB120" s="54" t="str">
        <f t="shared" si="24"/>
        <v/>
      </c>
      <c r="AC120" s="55" t="str">
        <f t="shared" si="25"/>
        <v/>
      </c>
      <c r="AD120" s="55" t="str">
        <f t="shared" si="26"/>
        <v/>
      </c>
      <c r="AE120" s="56" t="str">
        <f t="shared" si="27"/>
        <v/>
      </c>
      <c r="AF120" s="57" t="str">
        <f t="shared" si="28"/>
        <v/>
      </c>
      <c r="AG120" s="97" t="str">
        <f t="shared" si="29"/>
        <v/>
      </c>
      <c r="AH120" s="58" t="str">
        <f t="shared" si="30"/>
        <v/>
      </c>
      <c r="AI120" s="58" t="str">
        <f t="shared" si="31"/>
        <v/>
      </c>
      <c r="AJ120" s="59"/>
    </row>
    <row r="121" spans="1:36" ht="15.95" customHeight="1">
      <c r="A121" s="66">
        <v>7</v>
      </c>
      <c r="B121" s="63" t="str">
        <f>IF('(6).Promotion Exam'!B121="","",'(6).Promotion Exam'!B121)</f>
        <v/>
      </c>
      <c r="C121" s="67" t="str">
        <f>IF('(6).Promotion Exam'!C121="","",'(6).Promotion Exam'!C121)</f>
        <v/>
      </c>
      <c r="D121" s="51" t="str">
        <f>IF('(4).Midterm Results'!D121="","",'(4).Midterm Results'!D121)</f>
        <v/>
      </c>
      <c r="E121" s="52" t="str">
        <f>IF('(4).Midterm Results'!E121="","",'(4).Midterm Results'!E121)</f>
        <v/>
      </c>
      <c r="F121" s="52" t="str">
        <f>IF('(4).Midterm Results'!F121="","",'(4).Midterm Results'!F121)</f>
        <v/>
      </c>
      <c r="G121" s="52" t="str">
        <f>IF('(4).Midterm Results'!G121="","",'(4).Midterm Results'!G121)</f>
        <v/>
      </c>
      <c r="H121" s="52" t="str">
        <f>IF('(4).Midterm Results'!H121="","",'(4).Midterm Results'!H121)</f>
        <v/>
      </c>
      <c r="I121" s="52" t="str">
        <f>IF('(4).Midterm Results'!I121="","",'(4).Midterm Results'!I121)</f>
        <v/>
      </c>
      <c r="J121" s="52" t="str">
        <f>IF('(4).Midterm Results'!J121="","",'(4).Midterm Results'!J121)</f>
        <v/>
      </c>
      <c r="K121" s="52" t="str">
        <f>IF('(4).Midterm Results'!K121="","",'(4).Midterm Results'!K121)</f>
        <v/>
      </c>
      <c r="L121" s="52" t="str">
        <f>IF('(4).Midterm Results'!L121="","",'(4).Midterm Results'!L121)</f>
        <v/>
      </c>
      <c r="M121" s="52" t="str">
        <f>IF('(4).Midterm Results'!M121="","",'(4).Midterm Results'!M121)</f>
        <v/>
      </c>
      <c r="N121" s="52" t="str">
        <f>IF('(4).Midterm Results'!N121="","",'(4).Midterm Results'!N121)</f>
        <v/>
      </c>
      <c r="O121" s="53" t="str">
        <f>IF('(4).Midterm Results'!O121="","",'(4).Midterm Results'!O121)</f>
        <v/>
      </c>
      <c r="P121" s="51" t="str">
        <f>IF('(5).Promotion Daily'!AH121="","",'(5).Promotion Daily'!AH121)</f>
        <v/>
      </c>
      <c r="Q121" s="52" t="str">
        <f>IF('(6).Promotion Exam'!D121="","",'(6).Promotion Exam'!D121)</f>
        <v/>
      </c>
      <c r="R121" s="52" t="str">
        <f>IF('(6).Promotion Exam'!E121="","",'(6).Promotion Exam'!E121)</f>
        <v/>
      </c>
      <c r="S121" s="52" t="str">
        <f>IF('(6).Promotion Exam'!F121="","",'(6).Promotion Exam'!F121)</f>
        <v/>
      </c>
      <c r="T121" s="52" t="str">
        <f>IF('(6).Promotion Exam'!G121="","",'(6).Promotion Exam'!G121)</f>
        <v/>
      </c>
      <c r="U121" s="52" t="str">
        <f>IF('(6).Promotion Exam'!H121="","",'(6).Promotion Exam'!H121)</f>
        <v/>
      </c>
      <c r="V121" s="52" t="str">
        <f>IF('(6).Promotion Exam'!I121="","",'(6).Promotion Exam'!I121)</f>
        <v/>
      </c>
      <c r="W121" s="52" t="str">
        <f>IF('(6).Promotion Exam'!J121="","",'(6).Promotion Exam'!J121)</f>
        <v/>
      </c>
      <c r="X121" s="52" t="str">
        <f>IF('(6).Promotion Exam'!K121="","",'(6).Promotion Exam'!K121)</f>
        <v/>
      </c>
      <c r="Y121" s="52" t="str">
        <f>IF('(6).Promotion Exam'!L121="","",'(6).Promotion Exam'!L121)</f>
        <v/>
      </c>
      <c r="Z121" s="52" t="str">
        <f>IF('(6).Promotion Exam'!M121="","",'(6).Promotion Exam'!M121)</f>
        <v/>
      </c>
      <c r="AA121" s="53" t="str">
        <f>IF(B121="","",IF(P121="Incomplete","Incomplete",IF('(6).Promotion Exam'!N121="Change","Change",IF('(6).Promotion Exam'!N121="Stop","Stop",IF('(6).Promotion Exam'!N121="Incomplete","Incomplete",IF(COUNTBLANK(Q121:Z121)&gt;=1,"Incomplete",P121*20%+SUM(Q121:Z121)*80%))))))</f>
        <v/>
      </c>
      <c r="AB121" s="54" t="str">
        <f t="shared" si="24"/>
        <v/>
      </c>
      <c r="AC121" s="55" t="str">
        <f t="shared" si="25"/>
        <v/>
      </c>
      <c r="AD121" s="55" t="str">
        <f t="shared" si="26"/>
        <v/>
      </c>
      <c r="AE121" s="56" t="str">
        <f t="shared" si="27"/>
        <v/>
      </c>
      <c r="AF121" s="57" t="str">
        <f t="shared" si="28"/>
        <v/>
      </c>
      <c r="AG121" s="97" t="str">
        <f t="shared" si="29"/>
        <v/>
      </c>
      <c r="AH121" s="58" t="str">
        <f t="shared" si="30"/>
        <v/>
      </c>
      <c r="AI121" s="58" t="str">
        <f t="shared" si="31"/>
        <v/>
      </c>
      <c r="AJ121" s="59"/>
    </row>
    <row r="122" spans="1:36" ht="15.95" customHeight="1">
      <c r="A122" s="66">
        <v>8</v>
      </c>
      <c r="B122" s="63" t="str">
        <f>IF('(6).Promotion Exam'!B122="","",'(6).Promotion Exam'!B122)</f>
        <v/>
      </c>
      <c r="C122" s="67" t="str">
        <f>IF('(6).Promotion Exam'!C122="","",'(6).Promotion Exam'!C122)</f>
        <v/>
      </c>
      <c r="D122" s="51" t="str">
        <f>IF('(4).Midterm Results'!D122="","",'(4).Midterm Results'!D122)</f>
        <v/>
      </c>
      <c r="E122" s="52" t="str">
        <f>IF('(4).Midterm Results'!E122="","",'(4).Midterm Results'!E122)</f>
        <v/>
      </c>
      <c r="F122" s="52" t="str">
        <f>IF('(4).Midterm Results'!F122="","",'(4).Midterm Results'!F122)</f>
        <v/>
      </c>
      <c r="G122" s="52" t="str">
        <f>IF('(4).Midterm Results'!G122="","",'(4).Midterm Results'!G122)</f>
        <v/>
      </c>
      <c r="H122" s="52" t="str">
        <f>IF('(4).Midterm Results'!H122="","",'(4).Midterm Results'!H122)</f>
        <v/>
      </c>
      <c r="I122" s="52" t="str">
        <f>IF('(4).Midterm Results'!I122="","",'(4).Midterm Results'!I122)</f>
        <v/>
      </c>
      <c r="J122" s="52" t="str">
        <f>IF('(4).Midterm Results'!J122="","",'(4).Midterm Results'!J122)</f>
        <v/>
      </c>
      <c r="K122" s="52" t="str">
        <f>IF('(4).Midterm Results'!K122="","",'(4).Midterm Results'!K122)</f>
        <v/>
      </c>
      <c r="L122" s="52" t="str">
        <f>IF('(4).Midterm Results'!L122="","",'(4).Midterm Results'!L122)</f>
        <v/>
      </c>
      <c r="M122" s="52" t="str">
        <f>IF('(4).Midterm Results'!M122="","",'(4).Midterm Results'!M122)</f>
        <v/>
      </c>
      <c r="N122" s="52" t="str">
        <f>IF('(4).Midterm Results'!N122="","",'(4).Midterm Results'!N122)</f>
        <v/>
      </c>
      <c r="O122" s="53" t="str">
        <f>IF('(4).Midterm Results'!O122="","",'(4).Midterm Results'!O122)</f>
        <v/>
      </c>
      <c r="P122" s="51" t="str">
        <f>IF('(5).Promotion Daily'!AH122="","",'(5).Promotion Daily'!AH122)</f>
        <v/>
      </c>
      <c r="Q122" s="52" t="str">
        <f>IF('(6).Promotion Exam'!D122="","",'(6).Promotion Exam'!D122)</f>
        <v/>
      </c>
      <c r="R122" s="52" t="str">
        <f>IF('(6).Promotion Exam'!E122="","",'(6).Promotion Exam'!E122)</f>
        <v/>
      </c>
      <c r="S122" s="52" t="str">
        <f>IF('(6).Promotion Exam'!F122="","",'(6).Promotion Exam'!F122)</f>
        <v/>
      </c>
      <c r="T122" s="52" t="str">
        <f>IF('(6).Promotion Exam'!G122="","",'(6).Promotion Exam'!G122)</f>
        <v/>
      </c>
      <c r="U122" s="52" t="str">
        <f>IF('(6).Promotion Exam'!H122="","",'(6).Promotion Exam'!H122)</f>
        <v/>
      </c>
      <c r="V122" s="52" t="str">
        <f>IF('(6).Promotion Exam'!I122="","",'(6).Promotion Exam'!I122)</f>
        <v/>
      </c>
      <c r="W122" s="52" t="str">
        <f>IF('(6).Promotion Exam'!J122="","",'(6).Promotion Exam'!J122)</f>
        <v/>
      </c>
      <c r="X122" s="52" t="str">
        <f>IF('(6).Promotion Exam'!K122="","",'(6).Promotion Exam'!K122)</f>
        <v/>
      </c>
      <c r="Y122" s="52" t="str">
        <f>IF('(6).Promotion Exam'!L122="","",'(6).Promotion Exam'!L122)</f>
        <v/>
      </c>
      <c r="Z122" s="52" t="str">
        <f>IF('(6).Promotion Exam'!M122="","",'(6).Promotion Exam'!M122)</f>
        <v/>
      </c>
      <c r="AA122" s="53" t="str">
        <f>IF(B122="","",IF(P122="Incomplete","Incomplete",IF('(6).Promotion Exam'!N122="Change","Change",IF('(6).Promotion Exam'!N122="Stop","Stop",IF('(6).Promotion Exam'!N122="Incomplete","Incomplete",IF(COUNTBLANK(Q122:Z122)&gt;=1,"Incomplete",P122*20%+SUM(Q122:Z122)*80%))))))</f>
        <v/>
      </c>
      <c r="AB122" s="54" t="str">
        <f t="shared" si="24"/>
        <v/>
      </c>
      <c r="AC122" s="55" t="str">
        <f t="shared" si="25"/>
        <v/>
      </c>
      <c r="AD122" s="55" t="str">
        <f t="shared" si="26"/>
        <v/>
      </c>
      <c r="AE122" s="56" t="str">
        <f t="shared" si="27"/>
        <v/>
      </c>
      <c r="AF122" s="57" t="str">
        <f t="shared" si="28"/>
        <v/>
      </c>
      <c r="AG122" s="97" t="str">
        <f t="shared" si="29"/>
        <v/>
      </c>
      <c r="AH122" s="58" t="str">
        <f t="shared" si="30"/>
        <v/>
      </c>
      <c r="AI122" s="58" t="str">
        <f t="shared" si="31"/>
        <v/>
      </c>
      <c r="AJ122" s="59"/>
    </row>
    <row r="123" spans="1:36" ht="15.95" customHeight="1">
      <c r="A123" s="66">
        <v>9</v>
      </c>
      <c r="B123" s="63" t="str">
        <f>IF('(6).Promotion Exam'!B123="","",'(6).Promotion Exam'!B123)</f>
        <v/>
      </c>
      <c r="C123" s="67" t="str">
        <f>IF('(6).Promotion Exam'!C123="","",'(6).Promotion Exam'!C123)</f>
        <v/>
      </c>
      <c r="D123" s="51" t="str">
        <f>IF('(4).Midterm Results'!D123="","",'(4).Midterm Results'!D123)</f>
        <v/>
      </c>
      <c r="E123" s="52" t="str">
        <f>IF('(4).Midterm Results'!E123="","",'(4).Midterm Results'!E123)</f>
        <v/>
      </c>
      <c r="F123" s="52" t="str">
        <f>IF('(4).Midterm Results'!F123="","",'(4).Midterm Results'!F123)</f>
        <v/>
      </c>
      <c r="G123" s="52" t="str">
        <f>IF('(4).Midterm Results'!G123="","",'(4).Midterm Results'!G123)</f>
        <v/>
      </c>
      <c r="H123" s="52" t="str">
        <f>IF('(4).Midterm Results'!H123="","",'(4).Midterm Results'!H123)</f>
        <v/>
      </c>
      <c r="I123" s="52" t="str">
        <f>IF('(4).Midterm Results'!I123="","",'(4).Midterm Results'!I123)</f>
        <v/>
      </c>
      <c r="J123" s="52" t="str">
        <f>IF('(4).Midterm Results'!J123="","",'(4).Midterm Results'!J123)</f>
        <v/>
      </c>
      <c r="K123" s="52" t="str">
        <f>IF('(4).Midterm Results'!K123="","",'(4).Midterm Results'!K123)</f>
        <v/>
      </c>
      <c r="L123" s="52" t="str">
        <f>IF('(4).Midterm Results'!L123="","",'(4).Midterm Results'!L123)</f>
        <v/>
      </c>
      <c r="M123" s="52" t="str">
        <f>IF('(4).Midterm Results'!M123="","",'(4).Midterm Results'!M123)</f>
        <v/>
      </c>
      <c r="N123" s="52" t="str">
        <f>IF('(4).Midterm Results'!N123="","",'(4).Midterm Results'!N123)</f>
        <v/>
      </c>
      <c r="O123" s="53" t="str">
        <f>IF('(4).Midterm Results'!O123="","",'(4).Midterm Results'!O123)</f>
        <v/>
      </c>
      <c r="P123" s="51" t="str">
        <f>IF('(5).Promotion Daily'!AH123="","",'(5).Promotion Daily'!AH123)</f>
        <v/>
      </c>
      <c r="Q123" s="52" t="str">
        <f>IF('(6).Promotion Exam'!D123="","",'(6).Promotion Exam'!D123)</f>
        <v/>
      </c>
      <c r="R123" s="52" t="str">
        <f>IF('(6).Promotion Exam'!E123="","",'(6).Promotion Exam'!E123)</f>
        <v/>
      </c>
      <c r="S123" s="52" t="str">
        <f>IF('(6).Promotion Exam'!F123="","",'(6).Promotion Exam'!F123)</f>
        <v/>
      </c>
      <c r="T123" s="52" t="str">
        <f>IF('(6).Promotion Exam'!G123="","",'(6).Promotion Exam'!G123)</f>
        <v/>
      </c>
      <c r="U123" s="52" t="str">
        <f>IF('(6).Promotion Exam'!H123="","",'(6).Promotion Exam'!H123)</f>
        <v/>
      </c>
      <c r="V123" s="52" t="str">
        <f>IF('(6).Promotion Exam'!I123="","",'(6).Promotion Exam'!I123)</f>
        <v/>
      </c>
      <c r="W123" s="52" t="str">
        <f>IF('(6).Promotion Exam'!J123="","",'(6).Promotion Exam'!J123)</f>
        <v/>
      </c>
      <c r="X123" s="52" t="str">
        <f>IF('(6).Promotion Exam'!K123="","",'(6).Promotion Exam'!K123)</f>
        <v/>
      </c>
      <c r="Y123" s="52" t="str">
        <f>IF('(6).Promotion Exam'!L123="","",'(6).Promotion Exam'!L123)</f>
        <v/>
      </c>
      <c r="Z123" s="52" t="str">
        <f>IF('(6).Promotion Exam'!M123="","",'(6).Promotion Exam'!M123)</f>
        <v/>
      </c>
      <c r="AA123" s="53" t="str">
        <f>IF(B123="","",IF(P123="Incomplete","Incomplete",IF('(6).Promotion Exam'!N123="Change","Change",IF('(6).Promotion Exam'!N123="Stop","Stop",IF('(6).Promotion Exam'!N123="Incomplete","Incomplete",IF(COUNTBLANK(Q123:Z123)&gt;=1,"Incomplete",P123*20%+SUM(Q123:Z123)*80%))))))</f>
        <v/>
      </c>
      <c r="AB123" s="54" t="str">
        <f t="shared" si="24"/>
        <v/>
      </c>
      <c r="AC123" s="55" t="str">
        <f t="shared" si="25"/>
        <v/>
      </c>
      <c r="AD123" s="55" t="str">
        <f t="shared" si="26"/>
        <v/>
      </c>
      <c r="AE123" s="56" t="str">
        <f t="shared" si="27"/>
        <v/>
      </c>
      <c r="AF123" s="57" t="str">
        <f t="shared" si="28"/>
        <v/>
      </c>
      <c r="AG123" s="97" t="str">
        <f t="shared" si="29"/>
        <v/>
      </c>
      <c r="AH123" s="58" t="str">
        <f t="shared" si="30"/>
        <v/>
      </c>
      <c r="AI123" s="58" t="str">
        <f t="shared" si="31"/>
        <v/>
      </c>
      <c r="AJ123" s="59"/>
    </row>
    <row r="124" spans="1:36" ht="15.95" customHeight="1">
      <c r="A124" s="66">
        <v>10</v>
      </c>
      <c r="B124" s="63" t="str">
        <f>IF('(6).Promotion Exam'!B124="","",'(6).Promotion Exam'!B124)</f>
        <v/>
      </c>
      <c r="C124" s="67" t="str">
        <f>IF('(6).Promotion Exam'!C124="","",'(6).Promotion Exam'!C124)</f>
        <v/>
      </c>
      <c r="D124" s="51" t="str">
        <f>IF('(4).Midterm Results'!D124="","",'(4).Midterm Results'!D124)</f>
        <v/>
      </c>
      <c r="E124" s="52" t="str">
        <f>IF('(4).Midterm Results'!E124="","",'(4).Midterm Results'!E124)</f>
        <v/>
      </c>
      <c r="F124" s="52" t="str">
        <f>IF('(4).Midterm Results'!F124="","",'(4).Midterm Results'!F124)</f>
        <v/>
      </c>
      <c r="G124" s="52" t="str">
        <f>IF('(4).Midterm Results'!G124="","",'(4).Midterm Results'!G124)</f>
        <v/>
      </c>
      <c r="H124" s="52" t="str">
        <f>IF('(4).Midterm Results'!H124="","",'(4).Midterm Results'!H124)</f>
        <v/>
      </c>
      <c r="I124" s="52" t="str">
        <f>IF('(4).Midterm Results'!I124="","",'(4).Midterm Results'!I124)</f>
        <v/>
      </c>
      <c r="J124" s="52" t="str">
        <f>IF('(4).Midterm Results'!J124="","",'(4).Midterm Results'!J124)</f>
        <v/>
      </c>
      <c r="K124" s="52" t="str">
        <f>IF('(4).Midterm Results'!K124="","",'(4).Midterm Results'!K124)</f>
        <v/>
      </c>
      <c r="L124" s="52" t="str">
        <f>IF('(4).Midterm Results'!L124="","",'(4).Midterm Results'!L124)</f>
        <v/>
      </c>
      <c r="M124" s="52" t="str">
        <f>IF('(4).Midterm Results'!M124="","",'(4).Midterm Results'!M124)</f>
        <v/>
      </c>
      <c r="N124" s="52" t="str">
        <f>IF('(4).Midterm Results'!N124="","",'(4).Midterm Results'!N124)</f>
        <v/>
      </c>
      <c r="O124" s="53" t="str">
        <f>IF('(4).Midterm Results'!O124="","",'(4).Midterm Results'!O124)</f>
        <v/>
      </c>
      <c r="P124" s="51" t="str">
        <f>IF('(5).Promotion Daily'!AH124="","",'(5).Promotion Daily'!AH124)</f>
        <v/>
      </c>
      <c r="Q124" s="52" t="str">
        <f>IF('(6).Promotion Exam'!D124="","",'(6).Promotion Exam'!D124)</f>
        <v/>
      </c>
      <c r="R124" s="52" t="str">
        <f>IF('(6).Promotion Exam'!E124="","",'(6).Promotion Exam'!E124)</f>
        <v/>
      </c>
      <c r="S124" s="52" t="str">
        <f>IF('(6).Promotion Exam'!F124="","",'(6).Promotion Exam'!F124)</f>
        <v/>
      </c>
      <c r="T124" s="52" t="str">
        <f>IF('(6).Promotion Exam'!G124="","",'(6).Promotion Exam'!G124)</f>
        <v/>
      </c>
      <c r="U124" s="52" t="str">
        <f>IF('(6).Promotion Exam'!H124="","",'(6).Promotion Exam'!H124)</f>
        <v/>
      </c>
      <c r="V124" s="52" t="str">
        <f>IF('(6).Promotion Exam'!I124="","",'(6).Promotion Exam'!I124)</f>
        <v/>
      </c>
      <c r="W124" s="52" t="str">
        <f>IF('(6).Promotion Exam'!J124="","",'(6).Promotion Exam'!J124)</f>
        <v/>
      </c>
      <c r="X124" s="52" t="str">
        <f>IF('(6).Promotion Exam'!K124="","",'(6).Promotion Exam'!K124)</f>
        <v/>
      </c>
      <c r="Y124" s="52" t="str">
        <f>IF('(6).Promotion Exam'!L124="","",'(6).Promotion Exam'!L124)</f>
        <v/>
      </c>
      <c r="Z124" s="52" t="str">
        <f>IF('(6).Promotion Exam'!M124="","",'(6).Promotion Exam'!M124)</f>
        <v/>
      </c>
      <c r="AA124" s="53" t="str">
        <f>IF(B124="","",IF(P124="Incomplete","Incomplete",IF('(6).Promotion Exam'!N124="Change","Change",IF('(6).Promotion Exam'!N124="Stop","Stop",IF('(6).Promotion Exam'!N124="Incomplete","Incomplete",IF(COUNTBLANK(Q124:Z124)&gt;=1,"Incomplete",P124*20%+SUM(Q124:Z124)*80%))))))</f>
        <v/>
      </c>
      <c r="AB124" s="54" t="str">
        <f t="shared" si="24"/>
        <v/>
      </c>
      <c r="AC124" s="55" t="str">
        <f t="shared" si="25"/>
        <v/>
      </c>
      <c r="AD124" s="55" t="str">
        <f t="shared" si="26"/>
        <v/>
      </c>
      <c r="AE124" s="56" t="str">
        <f t="shared" si="27"/>
        <v/>
      </c>
      <c r="AF124" s="57" t="str">
        <f t="shared" si="28"/>
        <v/>
      </c>
      <c r="AG124" s="97" t="str">
        <f t="shared" si="29"/>
        <v/>
      </c>
      <c r="AH124" s="58" t="str">
        <f t="shared" si="30"/>
        <v/>
      </c>
      <c r="AI124" s="58" t="str">
        <f t="shared" si="31"/>
        <v/>
      </c>
      <c r="AJ124" s="59"/>
    </row>
    <row r="125" spans="1:36" ht="15.95" customHeight="1">
      <c r="A125" s="66">
        <v>11</v>
      </c>
      <c r="B125" s="63" t="str">
        <f>IF('(6).Promotion Exam'!B125="","",'(6).Promotion Exam'!B125)</f>
        <v/>
      </c>
      <c r="C125" s="67" t="str">
        <f>IF('(6).Promotion Exam'!C125="","",'(6).Promotion Exam'!C125)</f>
        <v/>
      </c>
      <c r="D125" s="51" t="str">
        <f>IF('(4).Midterm Results'!D125="","",'(4).Midterm Results'!D125)</f>
        <v/>
      </c>
      <c r="E125" s="52" t="str">
        <f>IF('(4).Midterm Results'!E125="","",'(4).Midterm Results'!E125)</f>
        <v/>
      </c>
      <c r="F125" s="52" t="str">
        <f>IF('(4).Midterm Results'!F125="","",'(4).Midterm Results'!F125)</f>
        <v/>
      </c>
      <c r="G125" s="52" t="str">
        <f>IF('(4).Midterm Results'!G125="","",'(4).Midterm Results'!G125)</f>
        <v/>
      </c>
      <c r="H125" s="52" t="str">
        <f>IF('(4).Midterm Results'!H125="","",'(4).Midterm Results'!H125)</f>
        <v/>
      </c>
      <c r="I125" s="52" t="str">
        <f>IF('(4).Midterm Results'!I125="","",'(4).Midterm Results'!I125)</f>
        <v/>
      </c>
      <c r="J125" s="52" t="str">
        <f>IF('(4).Midterm Results'!J125="","",'(4).Midterm Results'!J125)</f>
        <v/>
      </c>
      <c r="K125" s="52" t="str">
        <f>IF('(4).Midterm Results'!K125="","",'(4).Midterm Results'!K125)</f>
        <v/>
      </c>
      <c r="L125" s="52" t="str">
        <f>IF('(4).Midterm Results'!L125="","",'(4).Midterm Results'!L125)</f>
        <v/>
      </c>
      <c r="M125" s="52" t="str">
        <f>IF('(4).Midterm Results'!M125="","",'(4).Midterm Results'!M125)</f>
        <v/>
      </c>
      <c r="N125" s="52" t="str">
        <f>IF('(4).Midterm Results'!N125="","",'(4).Midterm Results'!N125)</f>
        <v/>
      </c>
      <c r="O125" s="53" t="str">
        <f>IF('(4).Midterm Results'!O125="","",'(4).Midterm Results'!O125)</f>
        <v/>
      </c>
      <c r="P125" s="51" t="str">
        <f>IF('(5).Promotion Daily'!AH125="","",'(5).Promotion Daily'!AH125)</f>
        <v/>
      </c>
      <c r="Q125" s="52" t="str">
        <f>IF('(6).Promotion Exam'!D125="","",'(6).Promotion Exam'!D125)</f>
        <v/>
      </c>
      <c r="R125" s="52" t="str">
        <f>IF('(6).Promotion Exam'!E125="","",'(6).Promotion Exam'!E125)</f>
        <v/>
      </c>
      <c r="S125" s="52" t="str">
        <f>IF('(6).Promotion Exam'!F125="","",'(6).Promotion Exam'!F125)</f>
        <v/>
      </c>
      <c r="T125" s="52" t="str">
        <f>IF('(6).Promotion Exam'!G125="","",'(6).Promotion Exam'!G125)</f>
        <v/>
      </c>
      <c r="U125" s="52" t="str">
        <f>IF('(6).Promotion Exam'!H125="","",'(6).Promotion Exam'!H125)</f>
        <v/>
      </c>
      <c r="V125" s="52" t="str">
        <f>IF('(6).Promotion Exam'!I125="","",'(6).Promotion Exam'!I125)</f>
        <v/>
      </c>
      <c r="W125" s="52" t="str">
        <f>IF('(6).Promotion Exam'!J125="","",'(6).Promotion Exam'!J125)</f>
        <v/>
      </c>
      <c r="X125" s="52" t="str">
        <f>IF('(6).Promotion Exam'!K125="","",'(6).Promotion Exam'!K125)</f>
        <v/>
      </c>
      <c r="Y125" s="52" t="str">
        <f>IF('(6).Promotion Exam'!L125="","",'(6).Promotion Exam'!L125)</f>
        <v/>
      </c>
      <c r="Z125" s="52" t="str">
        <f>IF('(6).Promotion Exam'!M125="","",'(6).Promotion Exam'!M125)</f>
        <v/>
      </c>
      <c r="AA125" s="53" t="str">
        <f>IF(B125="","",IF(P125="Incomplete","Incomplete",IF('(6).Promotion Exam'!N125="Change","Change",IF('(6).Promotion Exam'!N125="Stop","Stop",IF('(6).Promotion Exam'!N125="Incomplete","Incomplete",IF(COUNTBLANK(Q125:Z125)&gt;=1,"Incomplete",P125*20%+SUM(Q125:Z125)*80%))))))</f>
        <v/>
      </c>
      <c r="AB125" s="54" t="str">
        <f t="shared" si="24"/>
        <v/>
      </c>
      <c r="AC125" s="55" t="str">
        <f t="shared" si="25"/>
        <v/>
      </c>
      <c r="AD125" s="55" t="str">
        <f t="shared" si="26"/>
        <v/>
      </c>
      <c r="AE125" s="56" t="str">
        <f t="shared" si="27"/>
        <v/>
      </c>
      <c r="AF125" s="57" t="str">
        <f t="shared" si="28"/>
        <v/>
      </c>
      <c r="AG125" s="97" t="str">
        <f t="shared" si="29"/>
        <v/>
      </c>
      <c r="AH125" s="58" t="str">
        <f t="shared" si="30"/>
        <v/>
      </c>
      <c r="AI125" s="58" t="str">
        <f t="shared" si="31"/>
        <v/>
      </c>
      <c r="AJ125" s="59"/>
    </row>
    <row r="126" spans="1:36" ht="15.95" customHeight="1">
      <c r="A126" s="66">
        <v>12</v>
      </c>
      <c r="B126" s="63" t="str">
        <f>IF('(6).Promotion Exam'!B126="","",'(6).Promotion Exam'!B126)</f>
        <v/>
      </c>
      <c r="C126" s="67" t="str">
        <f>IF('(6).Promotion Exam'!C126="","",'(6).Promotion Exam'!C126)</f>
        <v/>
      </c>
      <c r="D126" s="51" t="str">
        <f>IF('(4).Midterm Results'!D126="","",'(4).Midterm Results'!D126)</f>
        <v/>
      </c>
      <c r="E126" s="52" t="str">
        <f>IF('(4).Midterm Results'!E126="","",'(4).Midterm Results'!E126)</f>
        <v/>
      </c>
      <c r="F126" s="52" t="str">
        <f>IF('(4).Midterm Results'!F126="","",'(4).Midterm Results'!F126)</f>
        <v/>
      </c>
      <c r="G126" s="52" t="str">
        <f>IF('(4).Midterm Results'!G126="","",'(4).Midterm Results'!G126)</f>
        <v/>
      </c>
      <c r="H126" s="52" t="str">
        <f>IF('(4).Midterm Results'!H126="","",'(4).Midterm Results'!H126)</f>
        <v/>
      </c>
      <c r="I126" s="52" t="str">
        <f>IF('(4).Midterm Results'!I126="","",'(4).Midterm Results'!I126)</f>
        <v/>
      </c>
      <c r="J126" s="52" t="str">
        <f>IF('(4).Midterm Results'!J126="","",'(4).Midterm Results'!J126)</f>
        <v/>
      </c>
      <c r="K126" s="52" t="str">
        <f>IF('(4).Midterm Results'!K126="","",'(4).Midterm Results'!K126)</f>
        <v/>
      </c>
      <c r="L126" s="52" t="str">
        <f>IF('(4).Midterm Results'!L126="","",'(4).Midterm Results'!L126)</f>
        <v/>
      </c>
      <c r="M126" s="52" t="str">
        <f>IF('(4).Midterm Results'!M126="","",'(4).Midterm Results'!M126)</f>
        <v/>
      </c>
      <c r="N126" s="52" t="str">
        <f>IF('(4).Midterm Results'!N126="","",'(4).Midterm Results'!N126)</f>
        <v/>
      </c>
      <c r="O126" s="53" t="str">
        <f>IF('(4).Midterm Results'!O126="","",'(4).Midterm Results'!O126)</f>
        <v/>
      </c>
      <c r="P126" s="51" t="str">
        <f>IF('(5).Promotion Daily'!AH126="","",'(5).Promotion Daily'!AH126)</f>
        <v/>
      </c>
      <c r="Q126" s="52" t="str">
        <f>IF('(6).Promotion Exam'!D126="","",'(6).Promotion Exam'!D126)</f>
        <v/>
      </c>
      <c r="R126" s="52" t="str">
        <f>IF('(6).Promotion Exam'!E126="","",'(6).Promotion Exam'!E126)</f>
        <v/>
      </c>
      <c r="S126" s="52" t="str">
        <f>IF('(6).Promotion Exam'!F126="","",'(6).Promotion Exam'!F126)</f>
        <v/>
      </c>
      <c r="T126" s="52" t="str">
        <f>IF('(6).Promotion Exam'!G126="","",'(6).Promotion Exam'!G126)</f>
        <v/>
      </c>
      <c r="U126" s="52" t="str">
        <f>IF('(6).Promotion Exam'!H126="","",'(6).Promotion Exam'!H126)</f>
        <v/>
      </c>
      <c r="V126" s="52" t="str">
        <f>IF('(6).Promotion Exam'!I126="","",'(6).Promotion Exam'!I126)</f>
        <v/>
      </c>
      <c r="W126" s="52" t="str">
        <f>IF('(6).Promotion Exam'!J126="","",'(6).Promotion Exam'!J126)</f>
        <v/>
      </c>
      <c r="X126" s="52" t="str">
        <f>IF('(6).Promotion Exam'!K126="","",'(6).Promotion Exam'!K126)</f>
        <v/>
      </c>
      <c r="Y126" s="52" t="str">
        <f>IF('(6).Promotion Exam'!L126="","",'(6).Promotion Exam'!L126)</f>
        <v/>
      </c>
      <c r="Z126" s="52" t="str">
        <f>IF('(6).Promotion Exam'!M126="","",'(6).Promotion Exam'!M126)</f>
        <v/>
      </c>
      <c r="AA126" s="53" t="str">
        <f>IF(B126="","",IF(P126="Incomplete","Incomplete",IF('(6).Promotion Exam'!N126="Change","Change",IF('(6).Promotion Exam'!N126="Stop","Stop",IF('(6).Promotion Exam'!N126="Incomplete","Incomplete",IF(COUNTBLANK(Q126:Z126)&gt;=1,"Incomplete",P126*20%+SUM(Q126:Z126)*80%))))))</f>
        <v/>
      </c>
      <c r="AB126" s="54" t="str">
        <f t="shared" si="24"/>
        <v/>
      </c>
      <c r="AC126" s="55" t="str">
        <f t="shared" si="25"/>
        <v/>
      </c>
      <c r="AD126" s="55" t="str">
        <f t="shared" si="26"/>
        <v/>
      </c>
      <c r="AE126" s="56" t="str">
        <f t="shared" si="27"/>
        <v/>
      </c>
      <c r="AF126" s="57" t="str">
        <f t="shared" si="28"/>
        <v/>
      </c>
      <c r="AG126" s="97" t="str">
        <f t="shared" si="29"/>
        <v/>
      </c>
      <c r="AH126" s="58" t="str">
        <f t="shared" si="30"/>
        <v/>
      </c>
      <c r="AI126" s="58" t="str">
        <f t="shared" si="31"/>
        <v/>
      </c>
      <c r="AJ126" s="59"/>
    </row>
    <row r="127" spans="1:36" ht="15.95" customHeight="1">
      <c r="A127" s="66">
        <v>13</v>
      </c>
      <c r="B127" s="63" t="str">
        <f>IF('(6).Promotion Exam'!B127="","",'(6).Promotion Exam'!B127)</f>
        <v/>
      </c>
      <c r="C127" s="67" t="str">
        <f>IF('(6).Promotion Exam'!C127="","",'(6).Promotion Exam'!C127)</f>
        <v/>
      </c>
      <c r="D127" s="51" t="str">
        <f>IF('(4).Midterm Results'!D127="","",'(4).Midterm Results'!D127)</f>
        <v/>
      </c>
      <c r="E127" s="52" t="str">
        <f>IF('(4).Midterm Results'!E127="","",'(4).Midterm Results'!E127)</f>
        <v/>
      </c>
      <c r="F127" s="52" t="str">
        <f>IF('(4).Midterm Results'!F127="","",'(4).Midterm Results'!F127)</f>
        <v/>
      </c>
      <c r="G127" s="52" t="str">
        <f>IF('(4).Midterm Results'!G127="","",'(4).Midterm Results'!G127)</f>
        <v/>
      </c>
      <c r="H127" s="52" t="str">
        <f>IF('(4).Midterm Results'!H127="","",'(4).Midterm Results'!H127)</f>
        <v/>
      </c>
      <c r="I127" s="52" t="str">
        <f>IF('(4).Midterm Results'!I127="","",'(4).Midterm Results'!I127)</f>
        <v/>
      </c>
      <c r="J127" s="52" t="str">
        <f>IF('(4).Midterm Results'!J127="","",'(4).Midterm Results'!J127)</f>
        <v/>
      </c>
      <c r="K127" s="52" t="str">
        <f>IF('(4).Midterm Results'!K127="","",'(4).Midterm Results'!K127)</f>
        <v/>
      </c>
      <c r="L127" s="52" t="str">
        <f>IF('(4).Midterm Results'!L127="","",'(4).Midterm Results'!L127)</f>
        <v/>
      </c>
      <c r="M127" s="52" t="str">
        <f>IF('(4).Midterm Results'!M127="","",'(4).Midterm Results'!M127)</f>
        <v/>
      </c>
      <c r="N127" s="52" t="str">
        <f>IF('(4).Midterm Results'!N127="","",'(4).Midterm Results'!N127)</f>
        <v/>
      </c>
      <c r="O127" s="53" t="str">
        <f>IF('(4).Midterm Results'!O127="","",'(4).Midterm Results'!O127)</f>
        <v/>
      </c>
      <c r="P127" s="51" t="str">
        <f>IF('(5).Promotion Daily'!AH127="","",'(5).Promotion Daily'!AH127)</f>
        <v/>
      </c>
      <c r="Q127" s="52" t="str">
        <f>IF('(6).Promotion Exam'!D127="","",'(6).Promotion Exam'!D127)</f>
        <v/>
      </c>
      <c r="R127" s="52" t="str">
        <f>IF('(6).Promotion Exam'!E127="","",'(6).Promotion Exam'!E127)</f>
        <v/>
      </c>
      <c r="S127" s="52" t="str">
        <f>IF('(6).Promotion Exam'!F127="","",'(6).Promotion Exam'!F127)</f>
        <v/>
      </c>
      <c r="T127" s="52" t="str">
        <f>IF('(6).Promotion Exam'!G127="","",'(6).Promotion Exam'!G127)</f>
        <v/>
      </c>
      <c r="U127" s="52" t="str">
        <f>IF('(6).Promotion Exam'!H127="","",'(6).Promotion Exam'!H127)</f>
        <v/>
      </c>
      <c r="V127" s="52" t="str">
        <f>IF('(6).Promotion Exam'!I127="","",'(6).Promotion Exam'!I127)</f>
        <v/>
      </c>
      <c r="W127" s="52" t="str">
        <f>IF('(6).Promotion Exam'!J127="","",'(6).Promotion Exam'!J127)</f>
        <v/>
      </c>
      <c r="X127" s="52" t="str">
        <f>IF('(6).Promotion Exam'!K127="","",'(6).Promotion Exam'!K127)</f>
        <v/>
      </c>
      <c r="Y127" s="52" t="str">
        <f>IF('(6).Promotion Exam'!L127="","",'(6).Promotion Exam'!L127)</f>
        <v/>
      </c>
      <c r="Z127" s="52" t="str">
        <f>IF('(6).Promotion Exam'!M127="","",'(6).Promotion Exam'!M127)</f>
        <v/>
      </c>
      <c r="AA127" s="53" t="str">
        <f>IF(B127="","",IF(P127="Incomplete","Incomplete",IF('(6).Promotion Exam'!N127="Change","Change",IF('(6).Promotion Exam'!N127="Stop","Stop",IF('(6).Promotion Exam'!N127="Incomplete","Incomplete",IF(COUNTBLANK(Q127:Z127)&gt;=1,"Incomplete",P127*20%+SUM(Q127:Z127)*80%))))))</f>
        <v/>
      </c>
      <c r="AB127" s="54" t="str">
        <f t="shared" si="24"/>
        <v/>
      </c>
      <c r="AC127" s="55" t="str">
        <f t="shared" si="25"/>
        <v/>
      </c>
      <c r="AD127" s="55" t="str">
        <f t="shared" si="26"/>
        <v/>
      </c>
      <c r="AE127" s="56" t="str">
        <f t="shared" si="27"/>
        <v/>
      </c>
      <c r="AF127" s="57" t="str">
        <f t="shared" si="28"/>
        <v/>
      </c>
      <c r="AG127" s="97" t="str">
        <f t="shared" si="29"/>
        <v/>
      </c>
      <c r="AH127" s="58" t="str">
        <f t="shared" si="30"/>
        <v/>
      </c>
      <c r="AI127" s="58" t="str">
        <f t="shared" si="31"/>
        <v/>
      </c>
      <c r="AJ127" s="59"/>
    </row>
    <row r="128" spans="1:36" ht="15.95" customHeight="1">
      <c r="A128" s="66">
        <v>14</v>
      </c>
      <c r="B128" s="63" t="str">
        <f>IF('(6).Promotion Exam'!B128="","",'(6).Promotion Exam'!B128)</f>
        <v/>
      </c>
      <c r="C128" s="67" t="str">
        <f>IF('(6).Promotion Exam'!C128="","",'(6).Promotion Exam'!C128)</f>
        <v/>
      </c>
      <c r="D128" s="51" t="str">
        <f>IF('(4).Midterm Results'!D128="","",'(4).Midterm Results'!D128)</f>
        <v/>
      </c>
      <c r="E128" s="52" t="str">
        <f>IF('(4).Midterm Results'!E128="","",'(4).Midterm Results'!E128)</f>
        <v/>
      </c>
      <c r="F128" s="52" t="str">
        <f>IF('(4).Midterm Results'!F128="","",'(4).Midterm Results'!F128)</f>
        <v/>
      </c>
      <c r="G128" s="52" t="str">
        <f>IF('(4).Midterm Results'!G128="","",'(4).Midterm Results'!G128)</f>
        <v/>
      </c>
      <c r="H128" s="52" t="str">
        <f>IF('(4).Midterm Results'!H128="","",'(4).Midterm Results'!H128)</f>
        <v/>
      </c>
      <c r="I128" s="52" t="str">
        <f>IF('(4).Midterm Results'!I128="","",'(4).Midterm Results'!I128)</f>
        <v/>
      </c>
      <c r="J128" s="52" t="str">
        <f>IF('(4).Midterm Results'!J128="","",'(4).Midterm Results'!J128)</f>
        <v/>
      </c>
      <c r="K128" s="52" t="str">
        <f>IF('(4).Midterm Results'!K128="","",'(4).Midterm Results'!K128)</f>
        <v/>
      </c>
      <c r="L128" s="52" t="str">
        <f>IF('(4).Midterm Results'!L128="","",'(4).Midterm Results'!L128)</f>
        <v/>
      </c>
      <c r="M128" s="52" t="str">
        <f>IF('(4).Midterm Results'!M128="","",'(4).Midterm Results'!M128)</f>
        <v/>
      </c>
      <c r="N128" s="52" t="str">
        <f>IF('(4).Midterm Results'!N128="","",'(4).Midterm Results'!N128)</f>
        <v/>
      </c>
      <c r="O128" s="53" t="str">
        <f>IF('(4).Midterm Results'!O128="","",'(4).Midterm Results'!O128)</f>
        <v/>
      </c>
      <c r="P128" s="51" t="str">
        <f>IF('(5).Promotion Daily'!AH128="","",'(5).Promotion Daily'!AH128)</f>
        <v/>
      </c>
      <c r="Q128" s="52" t="str">
        <f>IF('(6).Promotion Exam'!D128="","",'(6).Promotion Exam'!D128)</f>
        <v/>
      </c>
      <c r="R128" s="52" t="str">
        <f>IF('(6).Promotion Exam'!E128="","",'(6).Promotion Exam'!E128)</f>
        <v/>
      </c>
      <c r="S128" s="52" t="str">
        <f>IF('(6).Promotion Exam'!F128="","",'(6).Promotion Exam'!F128)</f>
        <v/>
      </c>
      <c r="T128" s="52" t="str">
        <f>IF('(6).Promotion Exam'!G128="","",'(6).Promotion Exam'!G128)</f>
        <v/>
      </c>
      <c r="U128" s="52" t="str">
        <f>IF('(6).Promotion Exam'!H128="","",'(6).Promotion Exam'!H128)</f>
        <v/>
      </c>
      <c r="V128" s="52" t="str">
        <f>IF('(6).Promotion Exam'!I128="","",'(6).Promotion Exam'!I128)</f>
        <v/>
      </c>
      <c r="W128" s="52" t="str">
        <f>IF('(6).Promotion Exam'!J128="","",'(6).Promotion Exam'!J128)</f>
        <v/>
      </c>
      <c r="X128" s="52" t="str">
        <f>IF('(6).Promotion Exam'!K128="","",'(6).Promotion Exam'!K128)</f>
        <v/>
      </c>
      <c r="Y128" s="52" t="str">
        <f>IF('(6).Promotion Exam'!L128="","",'(6).Promotion Exam'!L128)</f>
        <v/>
      </c>
      <c r="Z128" s="52" t="str">
        <f>IF('(6).Promotion Exam'!M128="","",'(6).Promotion Exam'!M128)</f>
        <v/>
      </c>
      <c r="AA128" s="53" t="str">
        <f>IF(B128="","",IF(P128="Incomplete","Incomplete",IF('(6).Promotion Exam'!N128="Change","Change",IF('(6).Promotion Exam'!N128="Stop","Stop",IF('(6).Promotion Exam'!N128="Incomplete","Incomplete",IF(COUNTBLANK(Q128:Z128)&gt;=1,"Incomplete",P128*20%+SUM(Q128:Z128)*80%))))))</f>
        <v/>
      </c>
      <c r="AB128" s="54" t="str">
        <f t="shared" si="24"/>
        <v/>
      </c>
      <c r="AC128" s="55" t="str">
        <f t="shared" si="25"/>
        <v/>
      </c>
      <c r="AD128" s="55" t="str">
        <f t="shared" si="26"/>
        <v/>
      </c>
      <c r="AE128" s="56" t="str">
        <f t="shared" si="27"/>
        <v/>
      </c>
      <c r="AF128" s="57" t="str">
        <f t="shared" si="28"/>
        <v/>
      </c>
      <c r="AG128" s="97" t="str">
        <f t="shared" si="29"/>
        <v/>
      </c>
      <c r="AH128" s="58" t="str">
        <f t="shared" si="30"/>
        <v/>
      </c>
      <c r="AI128" s="58" t="str">
        <f t="shared" si="31"/>
        <v/>
      </c>
      <c r="AJ128" s="59"/>
    </row>
    <row r="129" spans="1:36" ht="15.95" customHeight="1">
      <c r="A129" s="66">
        <v>15</v>
      </c>
      <c r="B129" s="63" t="str">
        <f>IF('(6).Promotion Exam'!B129="","",'(6).Promotion Exam'!B129)</f>
        <v/>
      </c>
      <c r="C129" s="67" t="str">
        <f>IF('(6).Promotion Exam'!C129="","",'(6).Promotion Exam'!C129)</f>
        <v/>
      </c>
      <c r="D129" s="51" t="str">
        <f>IF('(4).Midterm Results'!D129="","",'(4).Midterm Results'!D129)</f>
        <v/>
      </c>
      <c r="E129" s="52" t="str">
        <f>IF('(4).Midterm Results'!E129="","",'(4).Midterm Results'!E129)</f>
        <v/>
      </c>
      <c r="F129" s="52" t="str">
        <f>IF('(4).Midterm Results'!F129="","",'(4).Midterm Results'!F129)</f>
        <v/>
      </c>
      <c r="G129" s="52" t="str">
        <f>IF('(4).Midterm Results'!G129="","",'(4).Midterm Results'!G129)</f>
        <v/>
      </c>
      <c r="H129" s="52" t="str">
        <f>IF('(4).Midterm Results'!H129="","",'(4).Midterm Results'!H129)</f>
        <v/>
      </c>
      <c r="I129" s="52" t="str">
        <f>IF('(4).Midterm Results'!I129="","",'(4).Midterm Results'!I129)</f>
        <v/>
      </c>
      <c r="J129" s="52" t="str">
        <f>IF('(4).Midterm Results'!J129="","",'(4).Midterm Results'!J129)</f>
        <v/>
      </c>
      <c r="K129" s="52" t="str">
        <f>IF('(4).Midterm Results'!K129="","",'(4).Midterm Results'!K129)</f>
        <v/>
      </c>
      <c r="L129" s="52" t="str">
        <f>IF('(4).Midterm Results'!L129="","",'(4).Midterm Results'!L129)</f>
        <v/>
      </c>
      <c r="M129" s="52" t="str">
        <f>IF('(4).Midterm Results'!M129="","",'(4).Midterm Results'!M129)</f>
        <v/>
      </c>
      <c r="N129" s="52" t="str">
        <f>IF('(4).Midterm Results'!N129="","",'(4).Midterm Results'!N129)</f>
        <v/>
      </c>
      <c r="O129" s="53" t="str">
        <f>IF('(4).Midterm Results'!O129="","",'(4).Midterm Results'!O129)</f>
        <v/>
      </c>
      <c r="P129" s="51" t="str">
        <f>IF('(5).Promotion Daily'!AH129="","",'(5).Promotion Daily'!AH129)</f>
        <v/>
      </c>
      <c r="Q129" s="52" t="str">
        <f>IF('(6).Promotion Exam'!D129="","",'(6).Promotion Exam'!D129)</f>
        <v/>
      </c>
      <c r="R129" s="52" t="str">
        <f>IF('(6).Promotion Exam'!E129="","",'(6).Promotion Exam'!E129)</f>
        <v/>
      </c>
      <c r="S129" s="52" t="str">
        <f>IF('(6).Promotion Exam'!F129="","",'(6).Promotion Exam'!F129)</f>
        <v/>
      </c>
      <c r="T129" s="52" t="str">
        <f>IF('(6).Promotion Exam'!G129="","",'(6).Promotion Exam'!G129)</f>
        <v/>
      </c>
      <c r="U129" s="52" t="str">
        <f>IF('(6).Promotion Exam'!H129="","",'(6).Promotion Exam'!H129)</f>
        <v/>
      </c>
      <c r="V129" s="52" t="str">
        <f>IF('(6).Promotion Exam'!I129="","",'(6).Promotion Exam'!I129)</f>
        <v/>
      </c>
      <c r="W129" s="52" t="str">
        <f>IF('(6).Promotion Exam'!J129="","",'(6).Promotion Exam'!J129)</f>
        <v/>
      </c>
      <c r="X129" s="52" t="str">
        <f>IF('(6).Promotion Exam'!K129="","",'(6).Promotion Exam'!K129)</f>
        <v/>
      </c>
      <c r="Y129" s="52" t="str">
        <f>IF('(6).Promotion Exam'!L129="","",'(6).Promotion Exam'!L129)</f>
        <v/>
      </c>
      <c r="Z129" s="52" t="str">
        <f>IF('(6).Promotion Exam'!M129="","",'(6).Promotion Exam'!M129)</f>
        <v/>
      </c>
      <c r="AA129" s="53" t="str">
        <f>IF(B129="","",IF(P129="Incomplete","Incomplete",IF('(6).Promotion Exam'!N129="Change","Change",IF('(6).Promotion Exam'!N129="Stop","Stop",IF('(6).Promotion Exam'!N129="Incomplete","Incomplete",IF(COUNTBLANK(Q129:Z129)&gt;=1,"Incomplete",P129*20%+SUM(Q129:Z129)*80%))))))</f>
        <v/>
      </c>
      <c r="AB129" s="54" t="str">
        <f t="shared" si="24"/>
        <v/>
      </c>
      <c r="AC129" s="55" t="str">
        <f t="shared" si="25"/>
        <v/>
      </c>
      <c r="AD129" s="55" t="str">
        <f t="shared" si="26"/>
        <v/>
      </c>
      <c r="AE129" s="56" t="str">
        <f t="shared" si="27"/>
        <v/>
      </c>
      <c r="AF129" s="57" t="str">
        <f t="shared" si="28"/>
        <v/>
      </c>
      <c r="AG129" s="97" t="str">
        <f t="shared" si="29"/>
        <v/>
      </c>
      <c r="AH129" s="58" t="str">
        <f t="shared" si="30"/>
        <v/>
      </c>
      <c r="AI129" s="58" t="str">
        <f t="shared" si="31"/>
        <v/>
      </c>
      <c r="AJ129" s="59"/>
    </row>
    <row r="130" spans="1:36" ht="15.95" customHeight="1">
      <c r="A130" s="66">
        <v>16</v>
      </c>
      <c r="B130" s="63" t="str">
        <f>IF('(6).Promotion Exam'!B130="","",'(6).Promotion Exam'!B130)</f>
        <v/>
      </c>
      <c r="C130" s="67" t="str">
        <f>IF('(6).Promotion Exam'!C130="","",'(6).Promotion Exam'!C130)</f>
        <v/>
      </c>
      <c r="D130" s="51" t="str">
        <f>IF('(4).Midterm Results'!D130="","",'(4).Midterm Results'!D130)</f>
        <v/>
      </c>
      <c r="E130" s="52" t="str">
        <f>IF('(4).Midterm Results'!E130="","",'(4).Midterm Results'!E130)</f>
        <v/>
      </c>
      <c r="F130" s="52" t="str">
        <f>IF('(4).Midterm Results'!F130="","",'(4).Midterm Results'!F130)</f>
        <v/>
      </c>
      <c r="G130" s="52" t="str">
        <f>IF('(4).Midterm Results'!G130="","",'(4).Midterm Results'!G130)</f>
        <v/>
      </c>
      <c r="H130" s="52" t="str">
        <f>IF('(4).Midterm Results'!H130="","",'(4).Midterm Results'!H130)</f>
        <v/>
      </c>
      <c r="I130" s="52" t="str">
        <f>IF('(4).Midterm Results'!I130="","",'(4).Midterm Results'!I130)</f>
        <v/>
      </c>
      <c r="J130" s="52" t="str">
        <f>IF('(4).Midterm Results'!J130="","",'(4).Midterm Results'!J130)</f>
        <v/>
      </c>
      <c r="K130" s="52" t="str">
        <f>IF('(4).Midterm Results'!K130="","",'(4).Midterm Results'!K130)</f>
        <v/>
      </c>
      <c r="L130" s="52" t="str">
        <f>IF('(4).Midterm Results'!L130="","",'(4).Midterm Results'!L130)</f>
        <v/>
      </c>
      <c r="M130" s="52" t="str">
        <f>IF('(4).Midterm Results'!M130="","",'(4).Midterm Results'!M130)</f>
        <v/>
      </c>
      <c r="N130" s="52" t="str">
        <f>IF('(4).Midterm Results'!N130="","",'(4).Midterm Results'!N130)</f>
        <v/>
      </c>
      <c r="O130" s="53" t="str">
        <f>IF('(4).Midterm Results'!O130="","",'(4).Midterm Results'!O130)</f>
        <v/>
      </c>
      <c r="P130" s="51" t="str">
        <f>IF('(5).Promotion Daily'!AH130="","",'(5).Promotion Daily'!AH130)</f>
        <v/>
      </c>
      <c r="Q130" s="52" t="str">
        <f>IF('(6).Promotion Exam'!D130="","",'(6).Promotion Exam'!D130)</f>
        <v/>
      </c>
      <c r="R130" s="52" t="str">
        <f>IF('(6).Promotion Exam'!E130="","",'(6).Promotion Exam'!E130)</f>
        <v/>
      </c>
      <c r="S130" s="52" t="str">
        <f>IF('(6).Promotion Exam'!F130="","",'(6).Promotion Exam'!F130)</f>
        <v/>
      </c>
      <c r="T130" s="52" t="str">
        <f>IF('(6).Promotion Exam'!G130="","",'(6).Promotion Exam'!G130)</f>
        <v/>
      </c>
      <c r="U130" s="52" t="str">
        <f>IF('(6).Promotion Exam'!H130="","",'(6).Promotion Exam'!H130)</f>
        <v/>
      </c>
      <c r="V130" s="52" t="str">
        <f>IF('(6).Promotion Exam'!I130="","",'(6).Promotion Exam'!I130)</f>
        <v/>
      </c>
      <c r="W130" s="52" t="str">
        <f>IF('(6).Promotion Exam'!J130="","",'(6).Promotion Exam'!J130)</f>
        <v/>
      </c>
      <c r="X130" s="52" t="str">
        <f>IF('(6).Promotion Exam'!K130="","",'(6).Promotion Exam'!K130)</f>
        <v/>
      </c>
      <c r="Y130" s="52" t="str">
        <f>IF('(6).Promotion Exam'!L130="","",'(6).Promotion Exam'!L130)</f>
        <v/>
      </c>
      <c r="Z130" s="52" t="str">
        <f>IF('(6).Promotion Exam'!M130="","",'(6).Promotion Exam'!M130)</f>
        <v/>
      </c>
      <c r="AA130" s="53" t="str">
        <f>IF(B130="","",IF(P130="Incomplete","Incomplete",IF('(6).Promotion Exam'!N130="Change","Change",IF('(6).Promotion Exam'!N130="Stop","Stop",IF('(6).Promotion Exam'!N130="Incomplete","Incomplete",IF(COUNTBLANK(Q130:Z130)&gt;=1,"Incomplete",P130*20%+SUM(Q130:Z130)*80%))))))</f>
        <v/>
      </c>
      <c r="AB130" s="54" t="str">
        <f t="shared" si="24"/>
        <v/>
      </c>
      <c r="AC130" s="55" t="str">
        <f t="shared" si="25"/>
        <v/>
      </c>
      <c r="AD130" s="55" t="str">
        <f t="shared" si="26"/>
        <v/>
      </c>
      <c r="AE130" s="56" t="str">
        <f t="shared" si="27"/>
        <v/>
      </c>
      <c r="AF130" s="57" t="str">
        <f t="shared" si="28"/>
        <v/>
      </c>
      <c r="AG130" s="97" t="str">
        <f t="shared" si="29"/>
        <v/>
      </c>
      <c r="AH130" s="58" t="str">
        <f t="shared" si="30"/>
        <v/>
      </c>
      <c r="AI130" s="58" t="str">
        <f t="shared" si="31"/>
        <v/>
      </c>
      <c r="AJ130" s="59"/>
    </row>
    <row r="131" spans="1:36" ht="15.95" customHeight="1">
      <c r="A131" s="66">
        <v>17</v>
      </c>
      <c r="B131" s="63" t="str">
        <f>IF('(6).Promotion Exam'!B131="","",'(6).Promotion Exam'!B131)</f>
        <v/>
      </c>
      <c r="C131" s="67" t="str">
        <f>IF('(6).Promotion Exam'!C131="","",'(6).Promotion Exam'!C131)</f>
        <v/>
      </c>
      <c r="D131" s="51" t="str">
        <f>IF('(4).Midterm Results'!D131="","",'(4).Midterm Results'!D131)</f>
        <v/>
      </c>
      <c r="E131" s="52" t="str">
        <f>IF('(4).Midterm Results'!E131="","",'(4).Midterm Results'!E131)</f>
        <v/>
      </c>
      <c r="F131" s="52" t="str">
        <f>IF('(4).Midterm Results'!F131="","",'(4).Midterm Results'!F131)</f>
        <v/>
      </c>
      <c r="G131" s="52" t="str">
        <f>IF('(4).Midterm Results'!G131="","",'(4).Midterm Results'!G131)</f>
        <v/>
      </c>
      <c r="H131" s="52" t="str">
        <f>IF('(4).Midterm Results'!H131="","",'(4).Midterm Results'!H131)</f>
        <v/>
      </c>
      <c r="I131" s="52" t="str">
        <f>IF('(4).Midterm Results'!I131="","",'(4).Midterm Results'!I131)</f>
        <v/>
      </c>
      <c r="J131" s="52" t="str">
        <f>IF('(4).Midterm Results'!J131="","",'(4).Midterm Results'!J131)</f>
        <v/>
      </c>
      <c r="K131" s="52" t="str">
        <f>IF('(4).Midterm Results'!K131="","",'(4).Midterm Results'!K131)</f>
        <v/>
      </c>
      <c r="L131" s="52" t="str">
        <f>IF('(4).Midterm Results'!L131="","",'(4).Midterm Results'!L131)</f>
        <v/>
      </c>
      <c r="M131" s="52" t="str">
        <f>IF('(4).Midterm Results'!M131="","",'(4).Midterm Results'!M131)</f>
        <v/>
      </c>
      <c r="N131" s="52" t="str">
        <f>IF('(4).Midterm Results'!N131="","",'(4).Midterm Results'!N131)</f>
        <v/>
      </c>
      <c r="O131" s="53" t="str">
        <f>IF('(4).Midterm Results'!O131="","",'(4).Midterm Results'!O131)</f>
        <v/>
      </c>
      <c r="P131" s="51" t="str">
        <f>IF('(5).Promotion Daily'!AH131="","",'(5).Promotion Daily'!AH131)</f>
        <v/>
      </c>
      <c r="Q131" s="52" t="str">
        <f>IF('(6).Promotion Exam'!D131="","",'(6).Promotion Exam'!D131)</f>
        <v/>
      </c>
      <c r="R131" s="52" t="str">
        <f>IF('(6).Promotion Exam'!E131="","",'(6).Promotion Exam'!E131)</f>
        <v/>
      </c>
      <c r="S131" s="52" t="str">
        <f>IF('(6).Promotion Exam'!F131="","",'(6).Promotion Exam'!F131)</f>
        <v/>
      </c>
      <c r="T131" s="52" t="str">
        <f>IF('(6).Promotion Exam'!G131="","",'(6).Promotion Exam'!G131)</f>
        <v/>
      </c>
      <c r="U131" s="52" t="str">
        <f>IF('(6).Promotion Exam'!H131="","",'(6).Promotion Exam'!H131)</f>
        <v/>
      </c>
      <c r="V131" s="52" t="str">
        <f>IF('(6).Promotion Exam'!I131="","",'(6).Promotion Exam'!I131)</f>
        <v/>
      </c>
      <c r="W131" s="52" t="str">
        <f>IF('(6).Promotion Exam'!J131="","",'(6).Promotion Exam'!J131)</f>
        <v/>
      </c>
      <c r="X131" s="52" t="str">
        <f>IF('(6).Promotion Exam'!K131="","",'(6).Promotion Exam'!K131)</f>
        <v/>
      </c>
      <c r="Y131" s="52" t="str">
        <f>IF('(6).Promotion Exam'!L131="","",'(6).Promotion Exam'!L131)</f>
        <v/>
      </c>
      <c r="Z131" s="52" t="str">
        <f>IF('(6).Promotion Exam'!M131="","",'(6).Promotion Exam'!M131)</f>
        <v/>
      </c>
      <c r="AA131" s="53" t="str">
        <f>IF(B131="","",IF(P131="Incomplete","Incomplete",IF('(6).Promotion Exam'!N131="Change","Change",IF('(6).Promotion Exam'!N131="Stop","Stop",IF('(6).Promotion Exam'!N131="Incomplete","Incomplete",IF(COUNTBLANK(Q131:Z131)&gt;=1,"Incomplete",P131*20%+SUM(Q131:Z131)*80%))))))</f>
        <v/>
      </c>
      <c r="AB131" s="54" t="str">
        <f t="shared" si="24"/>
        <v/>
      </c>
      <c r="AC131" s="55" t="str">
        <f t="shared" si="25"/>
        <v/>
      </c>
      <c r="AD131" s="55" t="str">
        <f t="shared" si="26"/>
        <v/>
      </c>
      <c r="AE131" s="56" t="str">
        <f t="shared" si="27"/>
        <v/>
      </c>
      <c r="AF131" s="57" t="str">
        <f t="shared" si="28"/>
        <v/>
      </c>
      <c r="AG131" s="97" t="str">
        <f t="shared" si="29"/>
        <v/>
      </c>
      <c r="AH131" s="58" t="str">
        <f t="shared" si="30"/>
        <v/>
      </c>
      <c r="AI131" s="58" t="str">
        <f t="shared" si="31"/>
        <v/>
      </c>
      <c r="AJ131" s="59"/>
    </row>
    <row r="132" spans="1:36" ht="15.95" customHeight="1">
      <c r="A132" s="66">
        <v>18</v>
      </c>
      <c r="B132" s="63" t="str">
        <f>IF('(6).Promotion Exam'!B132="","",'(6).Promotion Exam'!B132)</f>
        <v/>
      </c>
      <c r="C132" s="67" t="str">
        <f>IF('(6).Promotion Exam'!C132="","",'(6).Promotion Exam'!C132)</f>
        <v/>
      </c>
      <c r="D132" s="51" t="str">
        <f>IF('(4).Midterm Results'!D132="","",'(4).Midterm Results'!D132)</f>
        <v/>
      </c>
      <c r="E132" s="52" t="str">
        <f>IF('(4).Midterm Results'!E132="","",'(4).Midterm Results'!E132)</f>
        <v/>
      </c>
      <c r="F132" s="52" t="str">
        <f>IF('(4).Midterm Results'!F132="","",'(4).Midterm Results'!F132)</f>
        <v/>
      </c>
      <c r="G132" s="52" t="str">
        <f>IF('(4).Midterm Results'!G132="","",'(4).Midterm Results'!G132)</f>
        <v/>
      </c>
      <c r="H132" s="52" t="str">
        <f>IF('(4).Midterm Results'!H132="","",'(4).Midterm Results'!H132)</f>
        <v/>
      </c>
      <c r="I132" s="52" t="str">
        <f>IF('(4).Midterm Results'!I132="","",'(4).Midterm Results'!I132)</f>
        <v/>
      </c>
      <c r="J132" s="52" t="str">
        <f>IF('(4).Midterm Results'!J132="","",'(4).Midterm Results'!J132)</f>
        <v/>
      </c>
      <c r="K132" s="52" t="str">
        <f>IF('(4).Midterm Results'!K132="","",'(4).Midterm Results'!K132)</f>
        <v/>
      </c>
      <c r="L132" s="52" t="str">
        <f>IF('(4).Midterm Results'!L132="","",'(4).Midterm Results'!L132)</f>
        <v/>
      </c>
      <c r="M132" s="52" t="str">
        <f>IF('(4).Midterm Results'!M132="","",'(4).Midterm Results'!M132)</f>
        <v/>
      </c>
      <c r="N132" s="52" t="str">
        <f>IF('(4).Midterm Results'!N132="","",'(4).Midterm Results'!N132)</f>
        <v/>
      </c>
      <c r="O132" s="53" t="str">
        <f>IF('(4).Midterm Results'!O132="","",'(4).Midterm Results'!O132)</f>
        <v/>
      </c>
      <c r="P132" s="51" t="str">
        <f>IF('(5).Promotion Daily'!AH132="","",'(5).Promotion Daily'!AH132)</f>
        <v/>
      </c>
      <c r="Q132" s="52" t="str">
        <f>IF('(6).Promotion Exam'!D132="","",'(6).Promotion Exam'!D132)</f>
        <v/>
      </c>
      <c r="R132" s="52" t="str">
        <f>IF('(6).Promotion Exam'!E132="","",'(6).Promotion Exam'!E132)</f>
        <v/>
      </c>
      <c r="S132" s="52" t="str">
        <f>IF('(6).Promotion Exam'!F132="","",'(6).Promotion Exam'!F132)</f>
        <v/>
      </c>
      <c r="T132" s="52" t="str">
        <f>IF('(6).Promotion Exam'!G132="","",'(6).Promotion Exam'!G132)</f>
        <v/>
      </c>
      <c r="U132" s="52" t="str">
        <f>IF('(6).Promotion Exam'!H132="","",'(6).Promotion Exam'!H132)</f>
        <v/>
      </c>
      <c r="V132" s="52" t="str">
        <f>IF('(6).Promotion Exam'!I132="","",'(6).Promotion Exam'!I132)</f>
        <v/>
      </c>
      <c r="W132" s="52" t="str">
        <f>IF('(6).Promotion Exam'!J132="","",'(6).Promotion Exam'!J132)</f>
        <v/>
      </c>
      <c r="X132" s="52" t="str">
        <f>IF('(6).Promotion Exam'!K132="","",'(6).Promotion Exam'!K132)</f>
        <v/>
      </c>
      <c r="Y132" s="52" t="str">
        <f>IF('(6).Promotion Exam'!L132="","",'(6).Promotion Exam'!L132)</f>
        <v/>
      </c>
      <c r="Z132" s="52" t="str">
        <f>IF('(6).Promotion Exam'!M132="","",'(6).Promotion Exam'!M132)</f>
        <v/>
      </c>
      <c r="AA132" s="53" t="str">
        <f>IF(B132="","",IF(P132="Incomplete","Incomplete",IF('(6).Promotion Exam'!N132="Change","Change",IF('(6).Promotion Exam'!N132="Stop","Stop",IF('(6).Promotion Exam'!N132="Incomplete","Incomplete",IF(COUNTBLANK(Q132:Z132)&gt;=1,"Incomplete",P132*20%+SUM(Q132:Z132)*80%))))))</f>
        <v/>
      </c>
      <c r="AB132" s="54" t="str">
        <f t="shared" si="24"/>
        <v/>
      </c>
      <c r="AC132" s="55" t="str">
        <f t="shared" si="25"/>
        <v/>
      </c>
      <c r="AD132" s="55" t="str">
        <f t="shared" si="26"/>
        <v/>
      </c>
      <c r="AE132" s="56" t="str">
        <f t="shared" si="27"/>
        <v/>
      </c>
      <c r="AF132" s="57" t="str">
        <f t="shared" si="28"/>
        <v/>
      </c>
      <c r="AG132" s="97" t="str">
        <f t="shared" si="29"/>
        <v/>
      </c>
      <c r="AH132" s="58" t="str">
        <f t="shared" si="30"/>
        <v/>
      </c>
      <c r="AI132" s="58" t="str">
        <f t="shared" si="31"/>
        <v/>
      </c>
      <c r="AJ132" s="59"/>
    </row>
    <row r="133" spans="1:36" ht="15.95" customHeight="1">
      <c r="A133" s="66">
        <v>19</v>
      </c>
      <c r="B133" s="63" t="str">
        <f>IF('(6).Promotion Exam'!B133="","",'(6).Promotion Exam'!B133)</f>
        <v/>
      </c>
      <c r="C133" s="67" t="str">
        <f>IF('(6).Promotion Exam'!C133="","",'(6).Promotion Exam'!C133)</f>
        <v/>
      </c>
      <c r="D133" s="51" t="str">
        <f>IF('(4).Midterm Results'!D133="","",'(4).Midterm Results'!D133)</f>
        <v/>
      </c>
      <c r="E133" s="52" t="str">
        <f>IF('(4).Midterm Results'!E133="","",'(4).Midterm Results'!E133)</f>
        <v/>
      </c>
      <c r="F133" s="52" t="str">
        <f>IF('(4).Midterm Results'!F133="","",'(4).Midterm Results'!F133)</f>
        <v/>
      </c>
      <c r="G133" s="52" t="str">
        <f>IF('(4).Midterm Results'!G133="","",'(4).Midterm Results'!G133)</f>
        <v/>
      </c>
      <c r="H133" s="52" t="str">
        <f>IF('(4).Midterm Results'!H133="","",'(4).Midterm Results'!H133)</f>
        <v/>
      </c>
      <c r="I133" s="52" t="str">
        <f>IF('(4).Midterm Results'!I133="","",'(4).Midterm Results'!I133)</f>
        <v/>
      </c>
      <c r="J133" s="52" t="str">
        <f>IF('(4).Midterm Results'!J133="","",'(4).Midterm Results'!J133)</f>
        <v/>
      </c>
      <c r="K133" s="52" t="str">
        <f>IF('(4).Midterm Results'!K133="","",'(4).Midterm Results'!K133)</f>
        <v/>
      </c>
      <c r="L133" s="52" t="str">
        <f>IF('(4).Midterm Results'!L133="","",'(4).Midterm Results'!L133)</f>
        <v/>
      </c>
      <c r="M133" s="52" t="str">
        <f>IF('(4).Midterm Results'!M133="","",'(4).Midterm Results'!M133)</f>
        <v/>
      </c>
      <c r="N133" s="52" t="str">
        <f>IF('(4).Midterm Results'!N133="","",'(4).Midterm Results'!N133)</f>
        <v/>
      </c>
      <c r="O133" s="53" t="str">
        <f>IF('(4).Midterm Results'!O133="","",'(4).Midterm Results'!O133)</f>
        <v/>
      </c>
      <c r="P133" s="51" t="str">
        <f>IF('(5).Promotion Daily'!AH133="","",'(5).Promotion Daily'!AH133)</f>
        <v/>
      </c>
      <c r="Q133" s="52" t="str">
        <f>IF('(6).Promotion Exam'!D133="","",'(6).Promotion Exam'!D133)</f>
        <v/>
      </c>
      <c r="R133" s="52" t="str">
        <f>IF('(6).Promotion Exam'!E133="","",'(6).Promotion Exam'!E133)</f>
        <v/>
      </c>
      <c r="S133" s="52" t="str">
        <f>IF('(6).Promotion Exam'!F133="","",'(6).Promotion Exam'!F133)</f>
        <v/>
      </c>
      <c r="T133" s="52" t="str">
        <f>IF('(6).Promotion Exam'!G133="","",'(6).Promotion Exam'!G133)</f>
        <v/>
      </c>
      <c r="U133" s="52" t="str">
        <f>IF('(6).Promotion Exam'!H133="","",'(6).Promotion Exam'!H133)</f>
        <v/>
      </c>
      <c r="V133" s="52" t="str">
        <f>IF('(6).Promotion Exam'!I133="","",'(6).Promotion Exam'!I133)</f>
        <v/>
      </c>
      <c r="W133" s="52" t="str">
        <f>IF('(6).Promotion Exam'!J133="","",'(6).Promotion Exam'!J133)</f>
        <v/>
      </c>
      <c r="X133" s="52" t="str">
        <f>IF('(6).Promotion Exam'!K133="","",'(6).Promotion Exam'!K133)</f>
        <v/>
      </c>
      <c r="Y133" s="52" t="str">
        <f>IF('(6).Promotion Exam'!L133="","",'(6).Promotion Exam'!L133)</f>
        <v/>
      </c>
      <c r="Z133" s="52" t="str">
        <f>IF('(6).Promotion Exam'!M133="","",'(6).Promotion Exam'!M133)</f>
        <v/>
      </c>
      <c r="AA133" s="53" t="str">
        <f>IF(B133="","",IF(P133="Incomplete","Incomplete",IF('(6).Promotion Exam'!N133="Change","Change",IF('(6).Promotion Exam'!N133="Stop","Stop",IF('(6).Promotion Exam'!N133="Incomplete","Incomplete",IF(COUNTBLANK(Q133:Z133)&gt;=1,"Incomplete",P133*20%+SUM(Q133:Z133)*80%))))))</f>
        <v/>
      </c>
      <c r="AB133" s="54" t="str">
        <f t="shared" si="24"/>
        <v/>
      </c>
      <c r="AC133" s="55" t="str">
        <f t="shared" si="25"/>
        <v/>
      </c>
      <c r="AD133" s="55" t="str">
        <f t="shared" si="26"/>
        <v/>
      </c>
      <c r="AE133" s="56" t="str">
        <f t="shared" si="27"/>
        <v/>
      </c>
      <c r="AF133" s="57" t="str">
        <f t="shared" si="28"/>
        <v/>
      </c>
      <c r="AG133" s="97" t="str">
        <f t="shared" si="29"/>
        <v/>
      </c>
      <c r="AH133" s="58" t="str">
        <f t="shared" si="30"/>
        <v/>
      </c>
      <c r="AI133" s="58" t="str">
        <f t="shared" si="31"/>
        <v/>
      </c>
      <c r="AJ133" s="59"/>
    </row>
    <row r="134" spans="1:36" ht="15.95" customHeight="1">
      <c r="A134" s="66">
        <v>20</v>
      </c>
      <c r="B134" s="63" t="str">
        <f>IF('(6).Promotion Exam'!B134="","",'(6).Promotion Exam'!B134)</f>
        <v/>
      </c>
      <c r="C134" s="67" t="str">
        <f>IF('(6).Promotion Exam'!C134="","",'(6).Promotion Exam'!C134)</f>
        <v/>
      </c>
      <c r="D134" s="51" t="str">
        <f>IF('(4).Midterm Results'!D134="","",'(4).Midterm Results'!D134)</f>
        <v/>
      </c>
      <c r="E134" s="52" t="str">
        <f>IF('(4).Midterm Results'!E134="","",'(4).Midterm Results'!E134)</f>
        <v/>
      </c>
      <c r="F134" s="52" t="str">
        <f>IF('(4).Midterm Results'!F134="","",'(4).Midterm Results'!F134)</f>
        <v/>
      </c>
      <c r="G134" s="52" t="str">
        <f>IF('(4).Midterm Results'!G134="","",'(4).Midterm Results'!G134)</f>
        <v/>
      </c>
      <c r="H134" s="52" t="str">
        <f>IF('(4).Midterm Results'!H134="","",'(4).Midterm Results'!H134)</f>
        <v/>
      </c>
      <c r="I134" s="52" t="str">
        <f>IF('(4).Midterm Results'!I134="","",'(4).Midterm Results'!I134)</f>
        <v/>
      </c>
      <c r="J134" s="52" t="str">
        <f>IF('(4).Midterm Results'!J134="","",'(4).Midterm Results'!J134)</f>
        <v/>
      </c>
      <c r="K134" s="52" t="str">
        <f>IF('(4).Midterm Results'!K134="","",'(4).Midterm Results'!K134)</f>
        <v/>
      </c>
      <c r="L134" s="52" t="str">
        <f>IF('(4).Midterm Results'!L134="","",'(4).Midterm Results'!L134)</f>
        <v/>
      </c>
      <c r="M134" s="52" t="str">
        <f>IF('(4).Midterm Results'!M134="","",'(4).Midterm Results'!M134)</f>
        <v/>
      </c>
      <c r="N134" s="52" t="str">
        <f>IF('(4).Midterm Results'!N134="","",'(4).Midterm Results'!N134)</f>
        <v/>
      </c>
      <c r="O134" s="53" t="str">
        <f>IF('(4).Midterm Results'!O134="","",'(4).Midterm Results'!O134)</f>
        <v/>
      </c>
      <c r="P134" s="51" t="str">
        <f>IF('(5).Promotion Daily'!AH134="","",'(5).Promotion Daily'!AH134)</f>
        <v/>
      </c>
      <c r="Q134" s="52" t="str">
        <f>IF('(6).Promotion Exam'!D134="","",'(6).Promotion Exam'!D134)</f>
        <v/>
      </c>
      <c r="R134" s="52" t="str">
        <f>IF('(6).Promotion Exam'!E134="","",'(6).Promotion Exam'!E134)</f>
        <v/>
      </c>
      <c r="S134" s="52" t="str">
        <f>IF('(6).Promotion Exam'!F134="","",'(6).Promotion Exam'!F134)</f>
        <v/>
      </c>
      <c r="T134" s="52" t="str">
        <f>IF('(6).Promotion Exam'!G134="","",'(6).Promotion Exam'!G134)</f>
        <v/>
      </c>
      <c r="U134" s="52" t="str">
        <f>IF('(6).Promotion Exam'!H134="","",'(6).Promotion Exam'!H134)</f>
        <v/>
      </c>
      <c r="V134" s="52" t="str">
        <f>IF('(6).Promotion Exam'!I134="","",'(6).Promotion Exam'!I134)</f>
        <v/>
      </c>
      <c r="W134" s="52" t="str">
        <f>IF('(6).Promotion Exam'!J134="","",'(6).Promotion Exam'!J134)</f>
        <v/>
      </c>
      <c r="X134" s="52" t="str">
        <f>IF('(6).Promotion Exam'!K134="","",'(6).Promotion Exam'!K134)</f>
        <v/>
      </c>
      <c r="Y134" s="52" t="str">
        <f>IF('(6).Promotion Exam'!L134="","",'(6).Promotion Exam'!L134)</f>
        <v/>
      </c>
      <c r="Z134" s="52" t="str">
        <f>IF('(6).Promotion Exam'!M134="","",'(6).Promotion Exam'!M134)</f>
        <v/>
      </c>
      <c r="AA134" s="53" t="str">
        <f>IF(B134="","",IF(P134="Incomplete","Incomplete",IF('(6).Promotion Exam'!N134="Change","Change",IF('(6).Promotion Exam'!N134="Stop","Stop",IF('(6).Promotion Exam'!N134="Incomplete","Incomplete",IF(COUNTBLANK(Q134:Z134)&gt;=1,"Incomplete",P134*20%+SUM(Q134:Z134)*80%))))))</f>
        <v/>
      </c>
      <c r="AB134" s="54" t="str">
        <f t="shared" si="24"/>
        <v/>
      </c>
      <c r="AC134" s="55" t="str">
        <f t="shared" si="25"/>
        <v/>
      </c>
      <c r="AD134" s="55" t="str">
        <f t="shared" si="26"/>
        <v/>
      </c>
      <c r="AE134" s="56" t="str">
        <f t="shared" si="27"/>
        <v/>
      </c>
      <c r="AF134" s="57" t="str">
        <f t="shared" si="28"/>
        <v/>
      </c>
      <c r="AG134" s="97" t="str">
        <f t="shared" si="29"/>
        <v/>
      </c>
      <c r="AH134" s="58" t="str">
        <f t="shared" si="30"/>
        <v/>
      </c>
      <c r="AI134" s="58" t="str">
        <f t="shared" si="31"/>
        <v/>
      </c>
      <c r="AJ134" s="59"/>
    </row>
    <row r="135" spans="1:36" ht="15.95" customHeight="1">
      <c r="A135" s="66">
        <v>21</v>
      </c>
      <c r="B135" s="63" t="str">
        <f>IF('(6).Promotion Exam'!B135="","",'(6).Promotion Exam'!B135)</f>
        <v/>
      </c>
      <c r="C135" s="67" t="str">
        <f>IF('(6).Promotion Exam'!C135="","",'(6).Promotion Exam'!C135)</f>
        <v/>
      </c>
      <c r="D135" s="51" t="str">
        <f>IF('(4).Midterm Results'!D135="","",'(4).Midterm Results'!D135)</f>
        <v/>
      </c>
      <c r="E135" s="52" t="str">
        <f>IF('(4).Midterm Results'!E135="","",'(4).Midterm Results'!E135)</f>
        <v/>
      </c>
      <c r="F135" s="52" t="str">
        <f>IF('(4).Midterm Results'!F135="","",'(4).Midterm Results'!F135)</f>
        <v/>
      </c>
      <c r="G135" s="52" t="str">
        <f>IF('(4).Midterm Results'!G135="","",'(4).Midterm Results'!G135)</f>
        <v/>
      </c>
      <c r="H135" s="52" t="str">
        <f>IF('(4).Midterm Results'!H135="","",'(4).Midterm Results'!H135)</f>
        <v/>
      </c>
      <c r="I135" s="52" t="str">
        <f>IF('(4).Midterm Results'!I135="","",'(4).Midterm Results'!I135)</f>
        <v/>
      </c>
      <c r="J135" s="52" t="str">
        <f>IF('(4).Midterm Results'!J135="","",'(4).Midterm Results'!J135)</f>
        <v/>
      </c>
      <c r="K135" s="52" t="str">
        <f>IF('(4).Midterm Results'!K135="","",'(4).Midterm Results'!K135)</f>
        <v/>
      </c>
      <c r="L135" s="52" t="str">
        <f>IF('(4).Midterm Results'!L135="","",'(4).Midterm Results'!L135)</f>
        <v/>
      </c>
      <c r="M135" s="52" t="str">
        <f>IF('(4).Midterm Results'!M135="","",'(4).Midterm Results'!M135)</f>
        <v/>
      </c>
      <c r="N135" s="52" t="str">
        <f>IF('(4).Midterm Results'!N135="","",'(4).Midterm Results'!N135)</f>
        <v/>
      </c>
      <c r="O135" s="53" t="str">
        <f>IF('(4).Midterm Results'!O135="","",'(4).Midterm Results'!O135)</f>
        <v/>
      </c>
      <c r="P135" s="51" t="str">
        <f>IF('(5).Promotion Daily'!AH135="","",'(5).Promotion Daily'!AH135)</f>
        <v/>
      </c>
      <c r="Q135" s="52" t="str">
        <f>IF('(6).Promotion Exam'!D135="","",'(6).Promotion Exam'!D135)</f>
        <v/>
      </c>
      <c r="R135" s="52" t="str">
        <f>IF('(6).Promotion Exam'!E135="","",'(6).Promotion Exam'!E135)</f>
        <v/>
      </c>
      <c r="S135" s="52" t="str">
        <f>IF('(6).Promotion Exam'!F135="","",'(6).Promotion Exam'!F135)</f>
        <v/>
      </c>
      <c r="T135" s="52" t="str">
        <f>IF('(6).Promotion Exam'!G135="","",'(6).Promotion Exam'!G135)</f>
        <v/>
      </c>
      <c r="U135" s="52" t="str">
        <f>IF('(6).Promotion Exam'!H135="","",'(6).Promotion Exam'!H135)</f>
        <v/>
      </c>
      <c r="V135" s="52" t="str">
        <f>IF('(6).Promotion Exam'!I135="","",'(6).Promotion Exam'!I135)</f>
        <v/>
      </c>
      <c r="W135" s="52" t="str">
        <f>IF('(6).Promotion Exam'!J135="","",'(6).Promotion Exam'!J135)</f>
        <v/>
      </c>
      <c r="X135" s="52" t="str">
        <f>IF('(6).Promotion Exam'!K135="","",'(6).Promotion Exam'!K135)</f>
        <v/>
      </c>
      <c r="Y135" s="52" t="str">
        <f>IF('(6).Promotion Exam'!L135="","",'(6).Promotion Exam'!L135)</f>
        <v/>
      </c>
      <c r="Z135" s="52" t="str">
        <f>IF('(6).Promotion Exam'!M135="","",'(6).Promotion Exam'!M135)</f>
        <v/>
      </c>
      <c r="AA135" s="53" t="str">
        <f>IF(B135="","",IF(P135="Incomplete","Incomplete",IF('(6).Promotion Exam'!N135="Change","Change",IF('(6).Promotion Exam'!N135="Stop","Stop",IF('(6).Promotion Exam'!N135="Incomplete","Incomplete",IF(COUNTBLANK(Q135:Z135)&gt;=1,"Incomplete",P135*20%+SUM(Q135:Z135)*80%))))))</f>
        <v/>
      </c>
      <c r="AB135" s="54" t="str">
        <f t="shared" si="24"/>
        <v/>
      </c>
      <c r="AC135" s="55" t="str">
        <f t="shared" si="25"/>
        <v/>
      </c>
      <c r="AD135" s="55" t="str">
        <f t="shared" si="26"/>
        <v/>
      </c>
      <c r="AE135" s="56" t="str">
        <f t="shared" si="27"/>
        <v/>
      </c>
      <c r="AF135" s="57" t="str">
        <f t="shared" si="28"/>
        <v/>
      </c>
      <c r="AG135" s="97" t="str">
        <f t="shared" si="29"/>
        <v/>
      </c>
      <c r="AH135" s="58" t="str">
        <f t="shared" si="30"/>
        <v/>
      </c>
      <c r="AI135" s="58" t="str">
        <f t="shared" si="31"/>
        <v/>
      </c>
      <c r="AJ135" s="59"/>
    </row>
    <row r="136" spans="1:36" ht="15.95" customHeight="1">
      <c r="A136" s="66">
        <v>22</v>
      </c>
      <c r="B136" s="63" t="str">
        <f>IF('(6).Promotion Exam'!B136="","",'(6).Promotion Exam'!B136)</f>
        <v/>
      </c>
      <c r="C136" s="67" t="str">
        <f>IF('(6).Promotion Exam'!C136="","",'(6).Promotion Exam'!C136)</f>
        <v/>
      </c>
      <c r="D136" s="51" t="str">
        <f>IF('(4).Midterm Results'!D136="","",'(4).Midterm Results'!D136)</f>
        <v/>
      </c>
      <c r="E136" s="52" t="str">
        <f>IF('(4).Midterm Results'!E136="","",'(4).Midterm Results'!E136)</f>
        <v/>
      </c>
      <c r="F136" s="52" t="str">
        <f>IF('(4).Midterm Results'!F136="","",'(4).Midterm Results'!F136)</f>
        <v/>
      </c>
      <c r="G136" s="52" t="str">
        <f>IF('(4).Midterm Results'!G136="","",'(4).Midterm Results'!G136)</f>
        <v/>
      </c>
      <c r="H136" s="52" t="str">
        <f>IF('(4).Midterm Results'!H136="","",'(4).Midterm Results'!H136)</f>
        <v/>
      </c>
      <c r="I136" s="52" t="str">
        <f>IF('(4).Midterm Results'!I136="","",'(4).Midterm Results'!I136)</f>
        <v/>
      </c>
      <c r="J136" s="52" t="str">
        <f>IF('(4).Midterm Results'!J136="","",'(4).Midterm Results'!J136)</f>
        <v/>
      </c>
      <c r="K136" s="52" t="str">
        <f>IF('(4).Midterm Results'!K136="","",'(4).Midterm Results'!K136)</f>
        <v/>
      </c>
      <c r="L136" s="52" t="str">
        <f>IF('(4).Midterm Results'!L136="","",'(4).Midterm Results'!L136)</f>
        <v/>
      </c>
      <c r="M136" s="52" t="str">
        <f>IF('(4).Midterm Results'!M136="","",'(4).Midterm Results'!M136)</f>
        <v/>
      </c>
      <c r="N136" s="52" t="str">
        <f>IF('(4).Midterm Results'!N136="","",'(4).Midterm Results'!N136)</f>
        <v/>
      </c>
      <c r="O136" s="53" t="str">
        <f>IF('(4).Midterm Results'!O136="","",'(4).Midterm Results'!O136)</f>
        <v/>
      </c>
      <c r="P136" s="51" t="str">
        <f>IF('(5).Promotion Daily'!AH136="","",'(5).Promotion Daily'!AH136)</f>
        <v/>
      </c>
      <c r="Q136" s="52" t="str">
        <f>IF('(6).Promotion Exam'!D136="","",'(6).Promotion Exam'!D136)</f>
        <v/>
      </c>
      <c r="R136" s="52" t="str">
        <f>IF('(6).Promotion Exam'!E136="","",'(6).Promotion Exam'!E136)</f>
        <v/>
      </c>
      <c r="S136" s="52" t="str">
        <f>IF('(6).Promotion Exam'!F136="","",'(6).Promotion Exam'!F136)</f>
        <v/>
      </c>
      <c r="T136" s="52" t="str">
        <f>IF('(6).Promotion Exam'!G136="","",'(6).Promotion Exam'!G136)</f>
        <v/>
      </c>
      <c r="U136" s="52" t="str">
        <f>IF('(6).Promotion Exam'!H136="","",'(6).Promotion Exam'!H136)</f>
        <v/>
      </c>
      <c r="V136" s="52" t="str">
        <f>IF('(6).Promotion Exam'!I136="","",'(6).Promotion Exam'!I136)</f>
        <v/>
      </c>
      <c r="W136" s="52" t="str">
        <f>IF('(6).Promotion Exam'!J136="","",'(6).Promotion Exam'!J136)</f>
        <v/>
      </c>
      <c r="X136" s="52" t="str">
        <f>IF('(6).Promotion Exam'!K136="","",'(6).Promotion Exam'!K136)</f>
        <v/>
      </c>
      <c r="Y136" s="52" t="str">
        <f>IF('(6).Promotion Exam'!L136="","",'(6).Promotion Exam'!L136)</f>
        <v/>
      </c>
      <c r="Z136" s="52" t="str">
        <f>IF('(6).Promotion Exam'!M136="","",'(6).Promotion Exam'!M136)</f>
        <v/>
      </c>
      <c r="AA136" s="53" t="str">
        <f>IF(B136="","",IF(P136="Incomplete","Incomplete",IF('(6).Promotion Exam'!N136="Change","Change",IF('(6).Promotion Exam'!N136="Stop","Stop",IF('(6).Promotion Exam'!N136="Incomplete","Incomplete",IF(COUNTBLANK(Q136:Z136)&gt;=1,"Incomplete",P136*20%+SUM(Q136:Z136)*80%))))))</f>
        <v/>
      </c>
      <c r="AB136" s="54" t="str">
        <f t="shared" si="24"/>
        <v/>
      </c>
      <c r="AC136" s="55" t="str">
        <f t="shared" si="25"/>
        <v/>
      </c>
      <c r="AD136" s="55" t="str">
        <f t="shared" si="26"/>
        <v/>
      </c>
      <c r="AE136" s="56" t="str">
        <f t="shared" si="27"/>
        <v/>
      </c>
      <c r="AF136" s="57" t="str">
        <f t="shared" si="28"/>
        <v/>
      </c>
      <c r="AG136" s="97" t="str">
        <f t="shared" si="29"/>
        <v/>
      </c>
      <c r="AH136" s="58" t="str">
        <f t="shared" si="30"/>
        <v/>
      </c>
      <c r="AI136" s="58" t="str">
        <f t="shared" si="31"/>
        <v/>
      </c>
      <c r="AJ136" s="59"/>
    </row>
    <row r="137" spans="1:36" ht="15.95" customHeight="1">
      <c r="A137" s="66">
        <v>23</v>
      </c>
      <c r="B137" s="63" t="str">
        <f>IF('(6).Promotion Exam'!B137="","",'(6).Promotion Exam'!B137)</f>
        <v/>
      </c>
      <c r="C137" s="67" t="str">
        <f>IF('(6).Promotion Exam'!C137="","",'(6).Promotion Exam'!C137)</f>
        <v/>
      </c>
      <c r="D137" s="51" t="str">
        <f>IF('(4).Midterm Results'!D137="","",'(4).Midterm Results'!D137)</f>
        <v/>
      </c>
      <c r="E137" s="52" t="str">
        <f>IF('(4).Midterm Results'!E137="","",'(4).Midterm Results'!E137)</f>
        <v/>
      </c>
      <c r="F137" s="52" t="str">
        <f>IF('(4).Midterm Results'!F137="","",'(4).Midterm Results'!F137)</f>
        <v/>
      </c>
      <c r="G137" s="52" t="str">
        <f>IF('(4).Midterm Results'!G137="","",'(4).Midterm Results'!G137)</f>
        <v/>
      </c>
      <c r="H137" s="52" t="str">
        <f>IF('(4).Midterm Results'!H137="","",'(4).Midterm Results'!H137)</f>
        <v/>
      </c>
      <c r="I137" s="52" t="str">
        <f>IF('(4).Midterm Results'!I137="","",'(4).Midterm Results'!I137)</f>
        <v/>
      </c>
      <c r="J137" s="52" t="str">
        <f>IF('(4).Midterm Results'!J137="","",'(4).Midterm Results'!J137)</f>
        <v/>
      </c>
      <c r="K137" s="52" t="str">
        <f>IF('(4).Midterm Results'!K137="","",'(4).Midterm Results'!K137)</f>
        <v/>
      </c>
      <c r="L137" s="52" t="str">
        <f>IF('(4).Midterm Results'!L137="","",'(4).Midterm Results'!L137)</f>
        <v/>
      </c>
      <c r="M137" s="52" t="str">
        <f>IF('(4).Midterm Results'!M137="","",'(4).Midterm Results'!M137)</f>
        <v/>
      </c>
      <c r="N137" s="52" t="str">
        <f>IF('(4).Midterm Results'!N137="","",'(4).Midterm Results'!N137)</f>
        <v/>
      </c>
      <c r="O137" s="53" t="str">
        <f>IF('(4).Midterm Results'!O137="","",'(4).Midterm Results'!O137)</f>
        <v/>
      </c>
      <c r="P137" s="51" t="str">
        <f>IF('(5).Promotion Daily'!AH137="","",'(5).Promotion Daily'!AH137)</f>
        <v/>
      </c>
      <c r="Q137" s="52" t="str">
        <f>IF('(6).Promotion Exam'!D137="","",'(6).Promotion Exam'!D137)</f>
        <v/>
      </c>
      <c r="R137" s="52" t="str">
        <f>IF('(6).Promotion Exam'!E137="","",'(6).Promotion Exam'!E137)</f>
        <v/>
      </c>
      <c r="S137" s="52" t="str">
        <f>IF('(6).Promotion Exam'!F137="","",'(6).Promotion Exam'!F137)</f>
        <v/>
      </c>
      <c r="T137" s="52" t="str">
        <f>IF('(6).Promotion Exam'!G137="","",'(6).Promotion Exam'!G137)</f>
        <v/>
      </c>
      <c r="U137" s="52" t="str">
        <f>IF('(6).Promotion Exam'!H137="","",'(6).Promotion Exam'!H137)</f>
        <v/>
      </c>
      <c r="V137" s="52" t="str">
        <f>IF('(6).Promotion Exam'!I137="","",'(6).Promotion Exam'!I137)</f>
        <v/>
      </c>
      <c r="W137" s="52" t="str">
        <f>IF('(6).Promotion Exam'!J137="","",'(6).Promotion Exam'!J137)</f>
        <v/>
      </c>
      <c r="X137" s="52" t="str">
        <f>IF('(6).Promotion Exam'!K137="","",'(6).Promotion Exam'!K137)</f>
        <v/>
      </c>
      <c r="Y137" s="52" t="str">
        <f>IF('(6).Promotion Exam'!L137="","",'(6).Promotion Exam'!L137)</f>
        <v/>
      </c>
      <c r="Z137" s="52" t="str">
        <f>IF('(6).Promotion Exam'!M137="","",'(6).Promotion Exam'!M137)</f>
        <v/>
      </c>
      <c r="AA137" s="53" t="str">
        <f>IF(B137="","",IF(P137="Incomplete","Incomplete",IF('(6).Promotion Exam'!N137="Change","Change",IF('(6).Promotion Exam'!N137="Stop","Stop",IF('(6).Promotion Exam'!N137="Incomplete","Incomplete",IF(COUNTBLANK(Q137:Z137)&gt;=1,"Incomplete",P137*20%+SUM(Q137:Z137)*80%))))))</f>
        <v/>
      </c>
      <c r="AB137" s="54" t="str">
        <f t="shared" si="24"/>
        <v/>
      </c>
      <c r="AC137" s="55" t="str">
        <f t="shared" si="25"/>
        <v/>
      </c>
      <c r="AD137" s="55" t="str">
        <f t="shared" si="26"/>
        <v/>
      </c>
      <c r="AE137" s="56" t="str">
        <f t="shared" si="27"/>
        <v/>
      </c>
      <c r="AF137" s="57" t="str">
        <f t="shared" si="28"/>
        <v/>
      </c>
      <c r="AG137" s="97" t="str">
        <f t="shared" si="29"/>
        <v/>
      </c>
      <c r="AH137" s="58" t="str">
        <f t="shared" si="30"/>
        <v/>
      </c>
      <c r="AI137" s="58" t="str">
        <f t="shared" si="31"/>
        <v/>
      </c>
      <c r="AJ137" s="59"/>
    </row>
    <row r="138" spans="1:36" ht="15.95" customHeight="1">
      <c r="A138" s="66">
        <v>24</v>
      </c>
      <c r="B138" s="63" t="str">
        <f>IF('(6).Promotion Exam'!B138="","",'(6).Promotion Exam'!B138)</f>
        <v/>
      </c>
      <c r="C138" s="67" t="str">
        <f>IF('(6).Promotion Exam'!C138="","",'(6).Promotion Exam'!C138)</f>
        <v/>
      </c>
      <c r="D138" s="51" t="str">
        <f>IF('(4).Midterm Results'!D138="","",'(4).Midterm Results'!D138)</f>
        <v/>
      </c>
      <c r="E138" s="52" t="str">
        <f>IF('(4).Midterm Results'!E138="","",'(4).Midterm Results'!E138)</f>
        <v/>
      </c>
      <c r="F138" s="52" t="str">
        <f>IF('(4).Midterm Results'!F138="","",'(4).Midterm Results'!F138)</f>
        <v/>
      </c>
      <c r="G138" s="52" t="str">
        <f>IF('(4).Midterm Results'!G138="","",'(4).Midterm Results'!G138)</f>
        <v/>
      </c>
      <c r="H138" s="52" t="str">
        <f>IF('(4).Midterm Results'!H138="","",'(4).Midterm Results'!H138)</f>
        <v/>
      </c>
      <c r="I138" s="52" t="str">
        <f>IF('(4).Midterm Results'!I138="","",'(4).Midterm Results'!I138)</f>
        <v/>
      </c>
      <c r="J138" s="52" t="str">
        <f>IF('(4).Midterm Results'!J138="","",'(4).Midterm Results'!J138)</f>
        <v/>
      </c>
      <c r="K138" s="52" t="str">
        <f>IF('(4).Midterm Results'!K138="","",'(4).Midterm Results'!K138)</f>
        <v/>
      </c>
      <c r="L138" s="52" t="str">
        <f>IF('(4).Midterm Results'!L138="","",'(4).Midterm Results'!L138)</f>
        <v/>
      </c>
      <c r="M138" s="52" t="str">
        <f>IF('(4).Midterm Results'!M138="","",'(4).Midterm Results'!M138)</f>
        <v/>
      </c>
      <c r="N138" s="52" t="str">
        <f>IF('(4).Midterm Results'!N138="","",'(4).Midterm Results'!N138)</f>
        <v/>
      </c>
      <c r="O138" s="53" t="str">
        <f>IF('(4).Midterm Results'!O138="","",'(4).Midterm Results'!O138)</f>
        <v/>
      </c>
      <c r="P138" s="51" t="str">
        <f>IF('(5).Promotion Daily'!AH138="","",'(5).Promotion Daily'!AH138)</f>
        <v/>
      </c>
      <c r="Q138" s="52" t="str">
        <f>IF('(6).Promotion Exam'!D138="","",'(6).Promotion Exam'!D138)</f>
        <v/>
      </c>
      <c r="R138" s="52" t="str">
        <f>IF('(6).Promotion Exam'!E138="","",'(6).Promotion Exam'!E138)</f>
        <v/>
      </c>
      <c r="S138" s="52" t="str">
        <f>IF('(6).Promotion Exam'!F138="","",'(6).Promotion Exam'!F138)</f>
        <v/>
      </c>
      <c r="T138" s="52" t="str">
        <f>IF('(6).Promotion Exam'!G138="","",'(6).Promotion Exam'!G138)</f>
        <v/>
      </c>
      <c r="U138" s="52" t="str">
        <f>IF('(6).Promotion Exam'!H138="","",'(6).Promotion Exam'!H138)</f>
        <v/>
      </c>
      <c r="V138" s="52" t="str">
        <f>IF('(6).Promotion Exam'!I138="","",'(6).Promotion Exam'!I138)</f>
        <v/>
      </c>
      <c r="W138" s="52" t="str">
        <f>IF('(6).Promotion Exam'!J138="","",'(6).Promotion Exam'!J138)</f>
        <v/>
      </c>
      <c r="X138" s="52" t="str">
        <f>IF('(6).Promotion Exam'!K138="","",'(6).Promotion Exam'!K138)</f>
        <v/>
      </c>
      <c r="Y138" s="52" t="str">
        <f>IF('(6).Promotion Exam'!L138="","",'(6).Promotion Exam'!L138)</f>
        <v/>
      </c>
      <c r="Z138" s="52" t="str">
        <f>IF('(6).Promotion Exam'!M138="","",'(6).Promotion Exam'!M138)</f>
        <v/>
      </c>
      <c r="AA138" s="53" t="str">
        <f>IF(B138="","",IF(P138="Incomplete","Incomplete",IF('(6).Promotion Exam'!N138="Change","Change",IF('(6).Promotion Exam'!N138="Stop","Stop",IF('(6).Promotion Exam'!N138="Incomplete","Incomplete",IF(COUNTBLANK(Q138:Z138)&gt;=1,"Incomplete",P138*20%+SUM(Q138:Z138)*80%))))))</f>
        <v/>
      </c>
      <c r="AB138" s="54" t="str">
        <f t="shared" si="24"/>
        <v/>
      </c>
      <c r="AC138" s="55" t="str">
        <f t="shared" si="25"/>
        <v/>
      </c>
      <c r="AD138" s="55" t="str">
        <f t="shared" si="26"/>
        <v/>
      </c>
      <c r="AE138" s="56" t="str">
        <f t="shared" si="27"/>
        <v/>
      </c>
      <c r="AF138" s="57" t="str">
        <f t="shared" si="28"/>
        <v/>
      </c>
      <c r="AG138" s="97" t="str">
        <f t="shared" si="29"/>
        <v/>
      </c>
      <c r="AH138" s="58" t="str">
        <f t="shared" si="30"/>
        <v/>
      </c>
      <c r="AI138" s="58" t="str">
        <f t="shared" si="31"/>
        <v/>
      </c>
      <c r="AJ138" s="59"/>
    </row>
    <row r="139" spans="1:36" ht="15.95" customHeight="1">
      <c r="A139" s="66">
        <v>25</v>
      </c>
      <c r="B139" s="63" t="str">
        <f>IF('(6).Promotion Exam'!B139="","",'(6).Promotion Exam'!B139)</f>
        <v/>
      </c>
      <c r="C139" s="67" t="str">
        <f>IF('(6).Promotion Exam'!C139="","",'(6).Promotion Exam'!C139)</f>
        <v/>
      </c>
      <c r="D139" s="51" t="str">
        <f>IF('(4).Midterm Results'!D139="","",'(4).Midterm Results'!D139)</f>
        <v/>
      </c>
      <c r="E139" s="52" t="str">
        <f>IF('(4).Midterm Results'!E139="","",'(4).Midterm Results'!E139)</f>
        <v/>
      </c>
      <c r="F139" s="52" t="str">
        <f>IF('(4).Midterm Results'!F139="","",'(4).Midterm Results'!F139)</f>
        <v/>
      </c>
      <c r="G139" s="52" t="str">
        <f>IF('(4).Midterm Results'!G139="","",'(4).Midterm Results'!G139)</f>
        <v/>
      </c>
      <c r="H139" s="52" t="str">
        <f>IF('(4).Midterm Results'!H139="","",'(4).Midterm Results'!H139)</f>
        <v/>
      </c>
      <c r="I139" s="52" t="str">
        <f>IF('(4).Midterm Results'!I139="","",'(4).Midterm Results'!I139)</f>
        <v/>
      </c>
      <c r="J139" s="52" t="str">
        <f>IF('(4).Midterm Results'!J139="","",'(4).Midterm Results'!J139)</f>
        <v/>
      </c>
      <c r="K139" s="52" t="str">
        <f>IF('(4).Midterm Results'!K139="","",'(4).Midterm Results'!K139)</f>
        <v/>
      </c>
      <c r="L139" s="52" t="str">
        <f>IF('(4).Midterm Results'!L139="","",'(4).Midterm Results'!L139)</f>
        <v/>
      </c>
      <c r="M139" s="52" t="str">
        <f>IF('(4).Midterm Results'!M139="","",'(4).Midterm Results'!M139)</f>
        <v/>
      </c>
      <c r="N139" s="52" t="str">
        <f>IF('(4).Midterm Results'!N139="","",'(4).Midterm Results'!N139)</f>
        <v/>
      </c>
      <c r="O139" s="53" t="str">
        <f>IF('(4).Midterm Results'!O139="","",'(4).Midterm Results'!O139)</f>
        <v/>
      </c>
      <c r="P139" s="51" t="str">
        <f>IF('(5).Promotion Daily'!AH139="","",'(5).Promotion Daily'!AH139)</f>
        <v/>
      </c>
      <c r="Q139" s="52" t="str">
        <f>IF('(6).Promotion Exam'!D139="","",'(6).Promotion Exam'!D139)</f>
        <v/>
      </c>
      <c r="R139" s="52" t="str">
        <f>IF('(6).Promotion Exam'!E139="","",'(6).Promotion Exam'!E139)</f>
        <v/>
      </c>
      <c r="S139" s="52" t="str">
        <f>IF('(6).Promotion Exam'!F139="","",'(6).Promotion Exam'!F139)</f>
        <v/>
      </c>
      <c r="T139" s="52" t="str">
        <f>IF('(6).Promotion Exam'!G139="","",'(6).Promotion Exam'!G139)</f>
        <v/>
      </c>
      <c r="U139" s="52" t="str">
        <f>IF('(6).Promotion Exam'!H139="","",'(6).Promotion Exam'!H139)</f>
        <v/>
      </c>
      <c r="V139" s="52" t="str">
        <f>IF('(6).Promotion Exam'!I139="","",'(6).Promotion Exam'!I139)</f>
        <v/>
      </c>
      <c r="W139" s="52" t="str">
        <f>IF('(6).Promotion Exam'!J139="","",'(6).Promotion Exam'!J139)</f>
        <v/>
      </c>
      <c r="X139" s="52" t="str">
        <f>IF('(6).Promotion Exam'!K139="","",'(6).Promotion Exam'!K139)</f>
        <v/>
      </c>
      <c r="Y139" s="52" t="str">
        <f>IF('(6).Promotion Exam'!L139="","",'(6).Promotion Exam'!L139)</f>
        <v/>
      </c>
      <c r="Z139" s="52" t="str">
        <f>IF('(6).Promotion Exam'!M139="","",'(6).Promotion Exam'!M139)</f>
        <v/>
      </c>
      <c r="AA139" s="53" t="str">
        <f>IF(B139="","",IF(P139="Incomplete","Incomplete",IF('(6).Promotion Exam'!N139="Change","Change",IF('(6).Promotion Exam'!N139="Stop","Stop",IF('(6).Promotion Exam'!N139="Incomplete","Incomplete",IF(COUNTBLANK(Q139:Z139)&gt;=1,"Incomplete",P139*20%+SUM(Q139:Z139)*80%))))))</f>
        <v/>
      </c>
      <c r="AB139" s="54" t="str">
        <f t="shared" si="24"/>
        <v/>
      </c>
      <c r="AC139" s="55" t="str">
        <f t="shared" si="25"/>
        <v/>
      </c>
      <c r="AD139" s="55" t="str">
        <f t="shared" si="26"/>
        <v/>
      </c>
      <c r="AE139" s="56" t="str">
        <f t="shared" si="27"/>
        <v/>
      </c>
      <c r="AF139" s="57" t="str">
        <f t="shared" si="28"/>
        <v/>
      </c>
      <c r="AG139" s="97" t="str">
        <f t="shared" si="29"/>
        <v/>
      </c>
      <c r="AH139" s="58" t="str">
        <f t="shared" si="30"/>
        <v/>
      </c>
      <c r="AI139" s="58" t="str">
        <f t="shared" si="31"/>
        <v/>
      </c>
      <c r="AJ139" s="59"/>
    </row>
    <row r="140" spans="1:36" ht="15.95" customHeight="1">
      <c r="A140" s="66">
        <v>26</v>
      </c>
      <c r="B140" s="63" t="str">
        <f>IF('(6).Promotion Exam'!B140="","",'(6).Promotion Exam'!B140)</f>
        <v/>
      </c>
      <c r="C140" s="67" t="str">
        <f>IF('(6).Promotion Exam'!C140="","",'(6).Promotion Exam'!C140)</f>
        <v/>
      </c>
      <c r="D140" s="51" t="str">
        <f>IF('(4).Midterm Results'!D140="","",'(4).Midterm Results'!D140)</f>
        <v/>
      </c>
      <c r="E140" s="52" t="str">
        <f>IF('(4).Midterm Results'!E140="","",'(4).Midterm Results'!E140)</f>
        <v/>
      </c>
      <c r="F140" s="52" t="str">
        <f>IF('(4).Midterm Results'!F140="","",'(4).Midterm Results'!F140)</f>
        <v/>
      </c>
      <c r="G140" s="52" t="str">
        <f>IF('(4).Midterm Results'!G140="","",'(4).Midterm Results'!G140)</f>
        <v/>
      </c>
      <c r="H140" s="52" t="str">
        <f>IF('(4).Midterm Results'!H140="","",'(4).Midterm Results'!H140)</f>
        <v/>
      </c>
      <c r="I140" s="52" t="str">
        <f>IF('(4).Midterm Results'!I140="","",'(4).Midterm Results'!I140)</f>
        <v/>
      </c>
      <c r="J140" s="52" t="str">
        <f>IF('(4).Midterm Results'!J140="","",'(4).Midterm Results'!J140)</f>
        <v/>
      </c>
      <c r="K140" s="52" t="str">
        <f>IF('(4).Midterm Results'!K140="","",'(4).Midterm Results'!K140)</f>
        <v/>
      </c>
      <c r="L140" s="52" t="str">
        <f>IF('(4).Midterm Results'!L140="","",'(4).Midterm Results'!L140)</f>
        <v/>
      </c>
      <c r="M140" s="52" t="str">
        <f>IF('(4).Midterm Results'!M140="","",'(4).Midterm Results'!M140)</f>
        <v/>
      </c>
      <c r="N140" s="52" t="str">
        <f>IF('(4).Midterm Results'!N140="","",'(4).Midterm Results'!N140)</f>
        <v/>
      </c>
      <c r="O140" s="53" t="str">
        <f>IF('(4).Midterm Results'!O140="","",'(4).Midterm Results'!O140)</f>
        <v/>
      </c>
      <c r="P140" s="51" t="str">
        <f>IF('(5).Promotion Daily'!AH140="","",'(5).Promotion Daily'!AH140)</f>
        <v/>
      </c>
      <c r="Q140" s="52" t="str">
        <f>IF('(6).Promotion Exam'!D140="","",'(6).Promotion Exam'!D140)</f>
        <v/>
      </c>
      <c r="R140" s="52" t="str">
        <f>IF('(6).Promotion Exam'!E140="","",'(6).Promotion Exam'!E140)</f>
        <v/>
      </c>
      <c r="S140" s="52" t="str">
        <f>IF('(6).Promotion Exam'!F140="","",'(6).Promotion Exam'!F140)</f>
        <v/>
      </c>
      <c r="T140" s="52" t="str">
        <f>IF('(6).Promotion Exam'!G140="","",'(6).Promotion Exam'!G140)</f>
        <v/>
      </c>
      <c r="U140" s="52" t="str">
        <f>IF('(6).Promotion Exam'!H140="","",'(6).Promotion Exam'!H140)</f>
        <v/>
      </c>
      <c r="V140" s="52" t="str">
        <f>IF('(6).Promotion Exam'!I140="","",'(6).Promotion Exam'!I140)</f>
        <v/>
      </c>
      <c r="W140" s="52" t="str">
        <f>IF('(6).Promotion Exam'!J140="","",'(6).Promotion Exam'!J140)</f>
        <v/>
      </c>
      <c r="X140" s="52" t="str">
        <f>IF('(6).Promotion Exam'!K140="","",'(6).Promotion Exam'!K140)</f>
        <v/>
      </c>
      <c r="Y140" s="52" t="str">
        <f>IF('(6).Promotion Exam'!L140="","",'(6).Promotion Exam'!L140)</f>
        <v/>
      </c>
      <c r="Z140" s="52" t="str">
        <f>IF('(6).Promotion Exam'!M140="","",'(6).Promotion Exam'!M140)</f>
        <v/>
      </c>
      <c r="AA140" s="53" t="str">
        <f>IF(B140="","",IF(P140="Incomplete","Incomplete",IF('(6).Promotion Exam'!N140="Change","Change",IF('(6).Promotion Exam'!N140="Stop","Stop",IF('(6).Promotion Exam'!N140="Incomplete","Incomplete",IF(COUNTBLANK(Q140:Z140)&gt;=1,"Incomplete",P140*20%+SUM(Q140:Z140)*80%))))))</f>
        <v/>
      </c>
      <c r="AB140" s="54" t="str">
        <f t="shared" si="24"/>
        <v/>
      </c>
      <c r="AC140" s="55" t="str">
        <f t="shared" si="25"/>
        <v/>
      </c>
      <c r="AD140" s="55" t="str">
        <f t="shared" si="26"/>
        <v/>
      </c>
      <c r="AE140" s="56" t="str">
        <f t="shared" si="27"/>
        <v/>
      </c>
      <c r="AF140" s="57" t="str">
        <f t="shared" si="28"/>
        <v/>
      </c>
      <c r="AG140" s="97" t="str">
        <f t="shared" si="29"/>
        <v/>
      </c>
      <c r="AH140" s="58" t="str">
        <f t="shared" si="30"/>
        <v/>
      </c>
      <c r="AI140" s="58" t="str">
        <f t="shared" si="31"/>
        <v/>
      </c>
      <c r="AJ140" s="59"/>
    </row>
    <row r="141" spans="1:36" ht="15.95" customHeight="1">
      <c r="A141" s="66">
        <v>27</v>
      </c>
      <c r="B141" s="63" t="str">
        <f>IF('(6).Promotion Exam'!B141="","",'(6).Promotion Exam'!B141)</f>
        <v/>
      </c>
      <c r="C141" s="67" t="str">
        <f>IF('(6).Promotion Exam'!C141="","",'(6).Promotion Exam'!C141)</f>
        <v/>
      </c>
      <c r="D141" s="51" t="str">
        <f>IF('(4).Midterm Results'!D141="","",'(4).Midterm Results'!D141)</f>
        <v/>
      </c>
      <c r="E141" s="52" t="str">
        <f>IF('(4).Midterm Results'!E141="","",'(4).Midterm Results'!E141)</f>
        <v/>
      </c>
      <c r="F141" s="52" t="str">
        <f>IF('(4).Midterm Results'!F141="","",'(4).Midterm Results'!F141)</f>
        <v/>
      </c>
      <c r="G141" s="52" t="str">
        <f>IF('(4).Midterm Results'!G141="","",'(4).Midterm Results'!G141)</f>
        <v/>
      </c>
      <c r="H141" s="52" t="str">
        <f>IF('(4).Midterm Results'!H141="","",'(4).Midterm Results'!H141)</f>
        <v/>
      </c>
      <c r="I141" s="52" t="str">
        <f>IF('(4).Midterm Results'!I141="","",'(4).Midterm Results'!I141)</f>
        <v/>
      </c>
      <c r="J141" s="52" t="str">
        <f>IF('(4).Midterm Results'!J141="","",'(4).Midterm Results'!J141)</f>
        <v/>
      </c>
      <c r="K141" s="52" t="str">
        <f>IF('(4).Midterm Results'!K141="","",'(4).Midterm Results'!K141)</f>
        <v/>
      </c>
      <c r="L141" s="52" t="str">
        <f>IF('(4).Midterm Results'!L141="","",'(4).Midterm Results'!L141)</f>
        <v/>
      </c>
      <c r="M141" s="52" t="str">
        <f>IF('(4).Midterm Results'!M141="","",'(4).Midterm Results'!M141)</f>
        <v/>
      </c>
      <c r="N141" s="52" t="str">
        <f>IF('(4).Midterm Results'!N141="","",'(4).Midterm Results'!N141)</f>
        <v/>
      </c>
      <c r="O141" s="53" t="str">
        <f>IF('(4).Midterm Results'!O141="","",'(4).Midterm Results'!O141)</f>
        <v/>
      </c>
      <c r="P141" s="51" t="str">
        <f>IF('(5).Promotion Daily'!AH141="","",'(5).Promotion Daily'!AH141)</f>
        <v/>
      </c>
      <c r="Q141" s="52" t="str">
        <f>IF('(6).Promotion Exam'!D141="","",'(6).Promotion Exam'!D141)</f>
        <v/>
      </c>
      <c r="R141" s="52" t="str">
        <f>IF('(6).Promotion Exam'!E141="","",'(6).Promotion Exam'!E141)</f>
        <v/>
      </c>
      <c r="S141" s="52" t="str">
        <f>IF('(6).Promotion Exam'!F141="","",'(6).Promotion Exam'!F141)</f>
        <v/>
      </c>
      <c r="T141" s="52" t="str">
        <f>IF('(6).Promotion Exam'!G141="","",'(6).Promotion Exam'!G141)</f>
        <v/>
      </c>
      <c r="U141" s="52" t="str">
        <f>IF('(6).Promotion Exam'!H141="","",'(6).Promotion Exam'!H141)</f>
        <v/>
      </c>
      <c r="V141" s="52" t="str">
        <f>IF('(6).Promotion Exam'!I141="","",'(6).Promotion Exam'!I141)</f>
        <v/>
      </c>
      <c r="W141" s="52" t="str">
        <f>IF('(6).Promotion Exam'!J141="","",'(6).Promotion Exam'!J141)</f>
        <v/>
      </c>
      <c r="X141" s="52" t="str">
        <f>IF('(6).Promotion Exam'!K141="","",'(6).Promotion Exam'!K141)</f>
        <v/>
      </c>
      <c r="Y141" s="52" t="str">
        <f>IF('(6).Promotion Exam'!L141="","",'(6).Promotion Exam'!L141)</f>
        <v/>
      </c>
      <c r="Z141" s="52" t="str">
        <f>IF('(6).Promotion Exam'!M141="","",'(6).Promotion Exam'!M141)</f>
        <v/>
      </c>
      <c r="AA141" s="53" t="str">
        <f>IF(B141="","",IF(P141="Incomplete","Incomplete",IF('(6).Promotion Exam'!N141="Change","Change",IF('(6).Promotion Exam'!N141="Stop","Stop",IF('(6).Promotion Exam'!N141="Incomplete","Incomplete",IF(COUNTBLANK(Q141:Z141)&gt;=1,"Incomplete",P141*20%+SUM(Q141:Z141)*80%))))))</f>
        <v/>
      </c>
      <c r="AB141" s="54" t="str">
        <f t="shared" si="24"/>
        <v/>
      </c>
      <c r="AC141" s="55" t="str">
        <f t="shared" si="25"/>
        <v/>
      </c>
      <c r="AD141" s="55" t="str">
        <f t="shared" si="26"/>
        <v/>
      </c>
      <c r="AE141" s="56" t="str">
        <f t="shared" si="27"/>
        <v/>
      </c>
      <c r="AF141" s="57" t="str">
        <f t="shared" si="28"/>
        <v/>
      </c>
      <c r="AG141" s="97" t="str">
        <f t="shared" si="29"/>
        <v/>
      </c>
      <c r="AH141" s="58" t="str">
        <f t="shared" si="30"/>
        <v/>
      </c>
      <c r="AI141" s="58" t="str">
        <f t="shared" si="31"/>
        <v/>
      </c>
      <c r="AJ141" s="59"/>
    </row>
    <row r="142" spans="1:36" ht="15.95" customHeight="1">
      <c r="A142" s="66">
        <v>28</v>
      </c>
      <c r="B142" s="63" t="str">
        <f>IF('(6).Promotion Exam'!B142="","",'(6).Promotion Exam'!B142)</f>
        <v/>
      </c>
      <c r="C142" s="67" t="str">
        <f>IF('(6).Promotion Exam'!C142="","",'(6).Promotion Exam'!C142)</f>
        <v/>
      </c>
      <c r="D142" s="51" t="str">
        <f>IF('(4).Midterm Results'!D142="","",'(4).Midterm Results'!D142)</f>
        <v/>
      </c>
      <c r="E142" s="52" t="str">
        <f>IF('(4).Midterm Results'!E142="","",'(4).Midterm Results'!E142)</f>
        <v/>
      </c>
      <c r="F142" s="52" t="str">
        <f>IF('(4).Midterm Results'!F142="","",'(4).Midterm Results'!F142)</f>
        <v/>
      </c>
      <c r="G142" s="52" t="str">
        <f>IF('(4).Midterm Results'!G142="","",'(4).Midterm Results'!G142)</f>
        <v/>
      </c>
      <c r="H142" s="52" t="str">
        <f>IF('(4).Midterm Results'!H142="","",'(4).Midterm Results'!H142)</f>
        <v/>
      </c>
      <c r="I142" s="52" t="str">
        <f>IF('(4).Midterm Results'!I142="","",'(4).Midterm Results'!I142)</f>
        <v/>
      </c>
      <c r="J142" s="52" t="str">
        <f>IF('(4).Midterm Results'!J142="","",'(4).Midterm Results'!J142)</f>
        <v/>
      </c>
      <c r="K142" s="52" t="str">
        <f>IF('(4).Midterm Results'!K142="","",'(4).Midterm Results'!K142)</f>
        <v/>
      </c>
      <c r="L142" s="52" t="str">
        <f>IF('(4).Midterm Results'!L142="","",'(4).Midterm Results'!L142)</f>
        <v/>
      </c>
      <c r="M142" s="52" t="str">
        <f>IF('(4).Midterm Results'!M142="","",'(4).Midterm Results'!M142)</f>
        <v/>
      </c>
      <c r="N142" s="52" t="str">
        <f>IF('(4).Midterm Results'!N142="","",'(4).Midterm Results'!N142)</f>
        <v/>
      </c>
      <c r="O142" s="53" t="str">
        <f>IF('(4).Midterm Results'!O142="","",'(4).Midterm Results'!O142)</f>
        <v/>
      </c>
      <c r="P142" s="51" t="str">
        <f>IF('(5).Promotion Daily'!AH142="","",'(5).Promotion Daily'!AH142)</f>
        <v/>
      </c>
      <c r="Q142" s="52" t="str">
        <f>IF('(6).Promotion Exam'!D142="","",'(6).Promotion Exam'!D142)</f>
        <v/>
      </c>
      <c r="R142" s="52" t="str">
        <f>IF('(6).Promotion Exam'!E142="","",'(6).Promotion Exam'!E142)</f>
        <v/>
      </c>
      <c r="S142" s="52" t="str">
        <f>IF('(6).Promotion Exam'!F142="","",'(6).Promotion Exam'!F142)</f>
        <v/>
      </c>
      <c r="T142" s="52" t="str">
        <f>IF('(6).Promotion Exam'!G142="","",'(6).Promotion Exam'!G142)</f>
        <v/>
      </c>
      <c r="U142" s="52" t="str">
        <f>IF('(6).Promotion Exam'!H142="","",'(6).Promotion Exam'!H142)</f>
        <v/>
      </c>
      <c r="V142" s="52" t="str">
        <f>IF('(6).Promotion Exam'!I142="","",'(6).Promotion Exam'!I142)</f>
        <v/>
      </c>
      <c r="W142" s="52" t="str">
        <f>IF('(6).Promotion Exam'!J142="","",'(6).Promotion Exam'!J142)</f>
        <v/>
      </c>
      <c r="X142" s="52" t="str">
        <f>IF('(6).Promotion Exam'!K142="","",'(6).Promotion Exam'!K142)</f>
        <v/>
      </c>
      <c r="Y142" s="52" t="str">
        <f>IF('(6).Promotion Exam'!L142="","",'(6).Promotion Exam'!L142)</f>
        <v/>
      </c>
      <c r="Z142" s="52" t="str">
        <f>IF('(6).Promotion Exam'!M142="","",'(6).Promotion Exam'!M142)</f>
        <v/>
      </c>
      <c r="AA142" s="53" t="str">
        <f>IF(B142="","",IF(P142="Incomplete","Incomplete",IF('(6).Promotion Exam'!N142="Change","Change",IF('(6).Promotion Exam'!N142="Stop","Stop",IF('(6).Promotion Exam'!N142="Incomplete","Incomplete",IF(COUNTBLANK(Q142:Z142)&gt;=1,"Incomplete",P142*20%+SUM(Q142:Z142)*80%))))))</f>
        <v/>
      </c>
      <c r="AB142" s="54" t="str">
        <f t="shared" si="24"/>
        <v/>
      </c>
      <c r="AC142" s="55" t="str">
        <f t="shared" si="25"/>
        <v/>
      </c>
      <c r="AD142" s="55" t="str">
        <f t="shared" si="26"/>
        <v/>
      </c>
      <c r="AE142" s="56" t="str">
        <f t="shared" si="27"/>
        <v/>
      </c>
      <c r="AF142" s="57" t="str">
        <f t="shared" si="28"/>
        <v/>
      </c>
      <c r="AG142" s="97" t="str">
        <f t="shared" si="29"/>
        <v/>
      </c>
      <c r="AH142" s="58" t="str">
        <f t="shared" si="30"/>
        <v/>
      </c>
      <c r="AI142" s="58" t="str">
        <f t="shared" si="31"/>
        <v/>
      </c>
      <c r="AJ142" s="59"/>
    </row>
    <row r="143" spans="1:36" ht="15.95" customHeight="1">
      <c r="A143" s="66">
        <v>29</v>
      </c>
      <c r="B143" s="63" t="str">
        <f>IF('(6).Promotion Exam'!B143="","",'(6).Promotion Exam'!B143)</f>
        <v/>
      </c>
      <c r="C143" s="67" t="str">
        <f>IF('(6).Promotion Exam'!C143="","",'(6).Promotion Exam'!C143)</f>
        <v/>
      </c>
      <c r="D143" s="51" t="str">
        <f>IF('(4).Midterm Results'!D143="","",'(4).Midterm Results'!D143)</f>
        <v/>
      </c>
      <c r="E143" s="52" t="str">
        <f>IF('(4).Midterm Results'!E143="","",'(4).Midterm Results'!E143)</f>
        <v/>
      </c>
      <c r="F143" s="52" t="str">
        <f>IF('(4).Midterm Results'!F143="","",'(4).Midterm Results'!F143)</f>
        <v/>
      </c>
      <c r="G143" s="52" t="str">
        <f>IF('(4).Midterm Results'!G143="","",'(4).Midterm Results'!G143)</f>
        <v/>
      </c>
      <c r="H143" s="52" t="str">
        <f>IF('(4).Midterm Results'!H143="","",'(4).Midterm Results'!H143)</f>
        <v/>
      </c>
      <c r="I143" s="52" t="str">
        <f>IF('(4).Midterm Results'!I143="","",'(4).Midterm Results'!I143)</f>
        <v/>
      </c>
      <c r="J143" s="52" t="str">
        <f>IF('(4).Midterm Results'!J143="","",'(4).Midterm Results'!J143)</f>
        <v/>
      </c>
      <c r="K143" s="52" t="str">
        <f>IF('(4).Midterm Results'!K143="","",'(4).Midterm Results'!K143)</f>
        <v/>
      </c>
      <c r="L143" s="52" t="str">
        <f>IF('(4).Midterm Results'!L143="","",'(4).Midterm Results'!L143)</f>
        <v/>
      </c>
      <c r="M143" s="52" t="str">
        <f>IF('(4).Midterm Results'!M143="","",'(4).Midterm Results'!M143)</f>
        <v/>
      </c>
      <c r="N143" s="52" t="str">
        <f>IF('(4).Midterm Results'!N143="","",'(4).Midterm Results'!N143)</f>
        <v/>
      </c>
      <c r="O143" s="53" t="str">
        <f>IF('(4).Midterm Results'!O143="","",'(4).Midterm Results'!O143)</f>
        <v/>
      </c>
      <c r="P143" s="51" t="str">
        <f>IF('(5).Promotion Daily'!AH143="","",'(5).Promotion Daily'!AH143)</f>
        <v/>
      </c>
      <c r="Q143" s="52" t="str">
        <f>IF('(6).Promotion Exam'!D143="","",'(6).Promotion Exam'!D143)</f>
        <v/>
      </c>
      <c r="R143" s="52" t="str">
        <f>IF('(6).Promotion Exam'!E143="","",'(6).Promotion Exam'!E143)</f>
        <v/>
      </c>
      <c r="S143" s="52" t="str">
        <f>IF('(6).Promotion Exam'!F143="","",'(6).Promotion Exam'!F143)</f>
        <v/>
      </c>
      <c r="T143" s="52" t="str">
        <f>IF('(6).Promotion Exam'!G143="","",'(6).Promotion Exam'!G143)</f>
        <v/>
      </c>
      <c r="U143" s="52" t="str">
        <f>IF('(6).Promotion Exam'!H143="","",'(6).Promotion Exam'!H143)</f>
        <v/>
      </c>
      <c r="V143" s="52" t="str">
        <f>IF('(6).Promotion Exam'!I143="","",'(6).Promotion Exam'!I143)</f>
        <v/>
      </c>
      <c r="W143" s="52" t="str">
        <f>IF('(6).Promotion Exam'!J143="","",'(6).Promotion Exam'!J143)</f>
        <v/>
      </c>
      <c r="X143" s="52" t="str">
        <f>IF('(6).Promotion Exam'!K143="","",'(6).Promotion Exam'!K143)</f>
        <v/>
      </c>
      <c r="Y143" s="52" t="str">
        <f>IF('(6).Promotion Exam'!L143="","",'(6).Promotion Exam'!L143)</f>
        <v/>
      </c>
      <c r="Z143" s="52" t="str">
        <f>IF('(6).Promotion Exam'!M143="","",'(6).Promotion Exam'!M143)</f>
        <v/>
      </c>
      <c r="AA143" s="53" t="str">
        <f>IF(B143="","",IF(P143="Incomplete","Incomplete",IF('(6).Promotion Exam'!N143="Change","Change",IF('(6).Promotion Exam'!N143="Stop","Stop",IF('(6).Promotion Exam'!N143="Incomplete","Incomplete",IF(COUNTBLANK(Q143:Z143)&gt;=1,"Incomplete",P143*20%+SUM(Q143:Z143)*80%))))))</f>
        <v/>
      </c>
      <c r="AB143" s="54" t="str">
        <f t="shared" si="24"/>
        <v/>
      </c>
      <c r="AC143" s="55" t="str">
        <f t="shared" si="25"/>
        <v/>
      </c>
      <c r="AD143" s="55" t="str">
        <f t="shared" si="26"/>
        <v/>
      </c>
      <c r="AE143" s="56" t="str">
        <f t="shared" si="27"/>
        <v/>
      </c>
      <c r="AF143" s="57" t="str">
        <f t="shared" si="28"/>
        <v/>
      </c>
      <c r="AG143" s="97" t="str">
        <f t="shared" si="29"/>
        <v/>
      </c>
      <c r="AH143" s="58" t="str">
        <f t="shared" si="30"/>
        <v/>
      </c>
      <c r="AI143" s="58" t="str">
        <f t="shared" si="31"/>
        <v/>
      </c>
      <c r="AJ143" s="59"/>
    </row>
    <row r="144" spans="1:36" ht="15.95" customHeight="1">
      <c r="A144" s="66">
        <v>30</v>
      </c>
      <c r="B144" s="63" t="str">
        <f>IF('(6).Promotion Exam'!B144="","",'(6).Promotion Exam'!B144)</f>
        <v/>
      </c>
      <c r="C144" s="67" t="str">
        <f>IF('(6).Promotion Exam'!C144="","",'(6).Promotion Exam'!C144)</f>
        <v/>
      </c>
      <c r="D144" s="51" t="str">
        <f>IF('(4).Midterm Results'!D144="","",'(4).Midterm Results'!D144)</f>
        <v/>
      </c>
      <c r="E144" s="52" t="str">
        <f>IF('(4).Midterm Results'!E144="","",'(4).Midterm Results'!E144)</f>
        <v/>
      </c>
      <c r="F144" s="52" t="str">
        <f>IF('(4).Midterm Results'!F144="","",'(4).Midterm Results'!F144)</f>
        <v/>
      </c>
      <c r="G144" s="52" t="str">
        <f>IF('(4).Midterm Results'!G144="","",'(4).Midterm Results'!G144)</f>
        <v/>
      </c>
      <c r="H144" s="52" t="str">
        <f>IF('(4).Midterm Results'!H144="","",'(4).Midterm Results'!H144)</f>
        <v/>
      </c>
      <c r="I144" s="52" t="str">
        <f>IF('(4).Midterm Results'!I144="","",'(4).Midterm Results'!I144)</f>
        <v/>
      </c>
      <c r="J144" s="52" t="str">
        <f>IF('(4).Midterm Results'!J144="","",'(4).Midterm Results'!J144)</f>
        <v/>
      </c>
      <c r="K144" s="52" t="str">
        <f>IF('(4).Midterm Results'!K144="","",'(4).Midterm Results'!K144)</f>
        <v/>
      </c>
      <c r="L144" s="52" t="str">
        <f>IF('(4).Midterm Results'!L144="","",'(4).Midterm Results'!L144)</f>
        <v/>
      </c>
      <c r="M144" s="52" t="str">
        <f>IF('(4).Midterm Results'!M144="","",'(4).Midterm Results'!M144)</f>
        <v/>
      </c>
      <c r="N144" s="52" t="str">
        <f>IF('(4).Midterm Results'!N144="","",'(4).Midterm Results'!N144)</f>
        <v/>
      </c>
      <c r="O144" s="53" t="str">
        <f>IF('(4).Midterm Results'!O144="","",'(4).Midterm Results'!O144)</f>
        <v/>
      </c>
      <c r="P144" s="51" t="str">
        <f>IF('(5).Promotion Daily'!AH144="","",'(5).Promotion Daily'!AH144)</f>
        <v/>
      </c>
      <c r="Q144" s="52" t="str">
        <f>IF('(6).Promotion Exam'!D144="","",'(6).Promotion Exam'!D144)</f>
        <v/>
      </c>
      <c r="R144" s="52" t="str">
        <f>IF('(6).Promotion Exam'!E144="","",'(6).Promotion Exam'!E144)</f>
        <v/>
      </c>
      <c r="S144" s="52" t="str">
        <f>IF('(6).Promotion Exam'!F144="","",'(6).Promotion Exam'!F144)</f>
        <v/>
      </c>
      <c r="T144" s="52" t="str">
        <f>IF('(6).Promotion Exam'!G144="","",'(6).Promotion Exam'!G144)</f>
        <v/>
      </c>
      <c r="U144" s="52" t="str">
        <f>IF('(6).Promotion Exam'!H144="","",'(6).Promotion Exam'!H144)</f>
        <v/>
      </c>
      <c r="V144" s="52" t="str">
        <f>IF('(6).Promotion Exam'!I144="","",'(6).Promotion Exam'!I144)</f>
        <v/>
      </c>
      <c r="W144" s="52" t="str">
        <f>IF('(6).Promotion Exam'!J144="","",'(6).Promotion Exam'!J144)</f>
        <v/>
      </c>
      <c r="X144" s="52" t="str">
        <f>IF('(6).Promotion Exam'!K144="","",'(6).Promotion Exam'!K144)</f>
        <v/>
      </c>
      <c r="Y144" s="52" t="str">
        <f>IF('(6).Promotion Exam'!L144="","",'(6).Promotion Exam'!L144)</f>
        <v/>
      </c>
      <c r="Z144" s="52" t="str">
        <f>IF('(6).Promotion Exam'!M144="","",'(6).Promotion Exam'!M144)</f>
        <v/>
      </c>
      <c r="AA144" s="53" t="str">
        <f>IF(B144="","",IF(P144="Incomplete","Incomplete",IF('(6).Promotion Exam'!N144="Change","Change",IF('(6).Promotion Exam'!N144="Stop","Stop",IF('(6).Promotion Exam'!N144="Incomplete","Incomplete",IF(COUNTBLANK(Q144:Z144)&gt;=1,"Incomplete",P144*20%+SUM(Q144:Z144)*80%))))))</f>
        <v/>
      </c>
      <c r="AB144" s="54" t="str">
        <f t="shared" si="24"/>
        <v/>
      </c>
      <c r="AC144" s="55" t="str">
        <f t="shared" si="25"/>
        <v/>
      </c>
      <c r="AD144" s="55" t="str">
        <f t="shared" si="26"/>
        <v/>
      </c>
      <c r="AE144" s="56" t="str">
        <f t="shared" si="27"/>
        <v/>
      </c>
      <c r="AF144" s="57" t="str">
        <f t="shared" si="28"/>
        <v/>
      </c>
      <c r="AG144" s="97" t="str">
        <f t="shared" si="29"/>
        <v/>
      </c>
      <c r="AH144" s="58" t="str">
        <f t="shared" si="30"/>
        <v/>
      </c>
      <c r="AI144" s="58" t="str">
        <f t="shared" si="31"/>
        <v/>
      </c>
      <c r="AJ144" s="59"/>
    </row>
    <row r="145" spans="1:36" ht="15.95" customHeight="1">
      <c r="A145" s="18" t="s">
        <v>0</v>
      </c>
      <c r="B145" s="19">
        <f>'(6).Promotion Exam'!B145</f>
        <v>0</v>
      </c>
      <c r="C145" s="60"/>
      <c r="D145" s="222" t="s">
        <v>94</v>
      </c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F145" s="5">
        <f>B145</f>
        <v>0</v>
      </c>
      <c r="AG145" s="5" t="str">
        <f>IF(AH145="12:30-3:00","WK",IF(AH145="3:00-5:30","WK","MF"))</f>
        <v>MF</v>
      </c>
      <c r="AH145" s="5">
        <f>B147</f>
        <v>0</v>
      </c>
      <c r="AI145" s="5">
        <f>B149</f>
        <v>0</v>
      </c>
    </row>
    <row r="146" spans="1:36" ht="15.95" customHeight="1">
      <c r="A146" s="18" t="s">
        <v>1</v>
      </c>
      <c r="B146" s="19">
        <f>'(6).Promotion Exam'!B146</f>
        <v>0</v>
      </c>
      <c r="C146" s="60"/>
      <c r="D146" s="222" t="str">
        <f>'(3).Midterm Exam'!D147</f>
        <v>FEBRUARY - JULY 2026</v>
      </c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72"/>
      <c r="AB146" s="5"/>
    </row>
    <row r="147" spans="1:36" ht="15.95" customHeight="1">
      <c r="A147" s="18" t="s">
        <v>2</v>
      </c>
      <c r="B147" s="19">
        <f>'(6).Promotion Exam'!B147</f>
        <v>0</v>
      </c>
      <c r="C147" s="60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3"/>
      <c r="AB147" s="5"/>
    </row>
    <row r="148" spans="1:36" ht="15.95" customHeight="1">
      <c r="A148" s="18" t="s">
        <v>3</v>
      </c>
      <c r="B148" s="19">
        <f>'(6).Promotion Exam'!B148</f>
        <v>0</v>
      </c>
      <c r="C148" s="60"/>
      <c r="D148" s="92" t="s">
        <v>19</v>
      </c>
      <c r="E148" s="268" t="s">
        <v>93</v>
      </c>
      <c r="F148" s="269"/>
      <c r="G148" s="269"/>
      <c r="H148" s="269"/>
      <c r="I148" s="269"/>
      <c r="J148" s="269"/>
      <c r="K148" s="269"/>
      <c r="L148" s="269"/>
      <c r="M148" s="269"/>
      <c r="N148" s="270"/>
      <c r="O148" s="93" t="s">
        <v>95</v>
      </c>
      <c r="P148" s="92" t="s">
        <v>31</v>
      </c>
      <c r="Q148" s="268" t="s">
        <v>96</v>
      </c>
      <c r="R148" s="269"/>
      <c r="S148" s="269"/>
      <c r="T148" s="269"/>
      <c r="U148" s="269"/>
      <c r="V148" s="269"/>
      <c r="W148" s="269"/>
      <c r="X148" s="269"/>
      <c r="Y148" s="269"/>
      <c r="Z148" s="270"/>
      <c r="AA148" s="93" t="s">
        <v>95</v>
      </c>
      <c r="AB148" s="252" t="s">
        <v>27</v>
      </c>
      <c r="AC148" s="253"/>
      <c r="AD148" s="253"/>
      <c r="AE148" s="254"/>
      <c r="AF148" s="255" t="s">
        <v>20</v>
      </c>
      <c r="AG148" s="256"/>
      <c r="AH148" s="256"/>
      <c r="AI148" s="256"/>
      <c r="AJ148" s="257"/>
    </row>
    <row r="149" spans="1:36" ht="15.95" customHeight="1">
      <c r="A149" s="18" t="s">
        <v>4</v>
      </c>
      <c r="B149" s="19">
        <f>'(6).Promotion Exam'!B149</f>
        <v>0</v>
      </c>
      <c r="C149" s="60"/>
      <c r="D149" s="95" t="s">
        <v>18</v>
      </c>
      <c r="E149" s="91" t="str">
        <f>IF(OR($B146="K5",$B146="K6",$B146="K7",$B146="K8",$B146="K9",$B146="K10"),"Lis","ULC")</f>
        <v>ULC</v>
      </c>
      <c r="F149" s="91" t="str">
        <f>IF(OR($B146="K5",$B146="K6",$B146="K7",$B146="K8",$B146="K9",$B146="K10"),"Spk","Alp.N")</f>
        <v>Alp.N</v>
      </c>
      <c r="G149" s="91" t="str">
        <f>IF(OR($B146="K5",$B146="K6",$B146="K7",$B146="K8",$B146="K9",$B146="K10"),"Rea","Alp.S")</f>
        <v>Alp.S</v>
      </c>
      <c r="H149" s="91" t="str">
        <f>IF(OR($B146="K5",$B146="K6",$B146="K7",$B146="K8",$B146="K9",$B146="K10"),"Wri","Voc")</f>
        <v>Voc</v>
      </c>
      <c r="I149" s="91" t="str">
        <f>IF(OR($B146="K5",$B146="K6",$B146="K7",$B146="K8",$B146="K9",$B146="K10"),"Gra","Spr")</f>
        <v>Spr</v>
      </c>
      <c r="J149" s="91" t="str">
        <f>IF(OR($B146="K5",$B146="K6",$B146="K7",$B146="K8",$B146="K9",$B146="K10"),"Voc","Pho")</f>
        <v>Pho</v>
      </c>
      <c r="K149" s="91" t="str">
        <f>IF(OR($B146="K5",$B146="K6",$B146="K7",$B146="K8",$B146="K9",$B146="K10"),"Roots","Math")</f>
        <v>Math</v>
      </c>
      <c r="L149" s="91" t="str">
        <f>IF(OR($B146="K5",$B146="K6",$B146="K7",$B146="K8",$B146="K9",$B146="K10"),"Pho","Shap")</f>
        <v>Shap</v>
      </c>
      <c r="M149" s="91" t="str">
        <f>IF(OR($B146="K5",$B146="K6",$B146="K7",$B146="K8",$B146="K9",$B146="K10"),"Math","Sci")</f>
        <v>Sci</v>
      </c>
      <c r="N149" s="91" t="str">
        <f>IF(OR($B146="K5",$B146="K6",$B146="K7",$B146="K8",$B146="K9",$B146="K10"),"Sci","Trac")</f>
        <v>Trac</v>
      </c>
      <c r="O149" s="94" t="s">
        <v>24</v>
      </c>
      <c r="P149" s="95" t="s">
        <v>18</v>
      </c>
      <c r="Q149" s="91" t="str">
        <f>IF(OR($B146="K5",$B146="K6",$B146="K7",$B146="K8",$B146="K9",$B146="K10"),"Lis","ULC")</f>
        <v>ULC</v>
      </c>
      <c r="R149" s="91" t="str">
        <f>IF(OR($B146="K5",$B146="K6",$B146="K7",$B146="K8",$B146="K9",$B146="K10"),"Spk","Alp.N")</f>
        <v>Alp.N</v>
      </c>
      <c r="S149" s="91" t="str">
        <f>IF(OR($B146="K5",$B146="K6",$B146="K7",$B146="K8",$B146="K9",$B146="K10"),"Rea","Alp.S")</f>
        <v>Alp.S</v>
      </c>
      <c r="T149" s="91" t="str">
        <f>IF(OR($B146="K5",$B146="K6",$B146="K7",$B146="K8",$B146="K9",$B146="K10"),"Wri","Voc")</f>
        <v>Voc</v>
      </c>
      <c r="U149" s="91" t="str">
        <f>IF(OR($B146="K5",$B146="K6",$B146="K7",$B146="K8",$B146="K9",$B146="K10"),"Gra","Spr")</f>
        <v>Spr</v>
      </c>
      <c r="V149" s="91" t="str">
        <f>IF(OR($B146="K5",$B146="K6",$B146="K7",$B146="K8",$B146="K9",$B146="K10"),"Voc","Pho")</f>
        <v>Pho</v>
      </c>
      <c r="W149" s="91" t="str">
        <f>IF(OR($B146="K5",$B146="K6",$B146="K7",$B146="K8",$B146="K9",$B146="K10"),"Roots","Math")</f>
        <v>Math</v>
      </c>
      <c r="X149" s="91" t="str">
        <f>IF(OR($B146="K5",$B146="K6",$B146="K7",$B146="K8",$B146="K9",$B146="K10"),"Pho","Shap")</f>
        <v>Shap</v>
      </c>
      <c r="Y149" s="91" t="str">
        <f>IF(OR($B146="K5",$B146="K6",$B146="K7",$B146="K8",$B146="K9",$B146="K10"),"Math","Sci")</f>
        <v>Sci</v>
      </c>
      <c r="Z149" s="91" t="str">
        <f>IF(OR($B146="K5",$B146="K6",$B146="K7",$B146="K8",$B146="K9",$B146="K10"),"Sci","Trac")</f>
        <v>Trac</v>
      </c>
      <c r="AA149" s="94" t="s">
        <v>24</v>
      </c>
      <c r="AB149" s="44" t="s">
        <v>23</v>
      </c>
      <c r="AC149" s="260" t="s">
        <v>25</v>
      </c>
      <c r="AD149" s="260" t="s">
        <v>26</v>
      </c>
      <c r="AE149" s="262" t="s">
        <v>22</v>
      </c>
      <c r="AF149" s="264" t="s">
        <v>21</v>
      </c>
      <c r="AG149" s="266" t="s">
        <v>119</v>
      </c>
      <c r="AH149" s="258" t="s">
        <v>32</v>
      </c>
      <c r="AI149" s="258" t="s">
        <v>33</v>
      </c>
      <c r="AJ149" s="22" t="s">
        <v>28</v>
      </c>
    </row>
    <row r="150" spans="1:36" ht="15.95" customHeight="1">
      <c r="A150" s="65" t="s">
        <v>5</v>
      </c>
      <c r="B150" s="64" t="s">
        <v>6</v>
      </c>
      <c r="C150" s="85" t="s">
        <v>7</v>
      </c>
      <c r="D150" s="99">
        <v>100</v>
      </c>
      <c r="E150" s="99">
        <v>10</v>
      </c>
      <c r="F150" s="99">
        <v>10</v>
      </c>
      <c r="G150" s="99">
        <v>10</v>
      </c>
      <c r="H150" s="99">
        <v>10</v>
      </c>
      <c r="I150" s="99">
        <v>10</v>
      </c>
      <c r="J150" s="99">
        <v>10</v>
      </c>
      <c r="K150" s="99">
        <v>10</v>
      </c>
      <c r="L150" s="99">
        <v>10</v>
      </c>
      <c r="M150" s="99">
        <v>10</v>
      </c>
      <c r="N150" s="99">
        <v>10</v>
      </c>
      <c r="O150" s="99">
        <v>100</v>
      </c>
      <c r="P150" s="99">
        <v>100</v>
      </c>
      <c r="Q150" s="99">
        <v>10</v>
      </c>
      <c r="R150" s="99">
        <v>10</v>
      </c>
      <c r="S150" s="99">
        <v>10</v>
      </c>
      <c r="T150" s="99">
        <v>10</v>
      </c>
      <c r="U150" s="99">
        <v>10</v>
      </c>
      <c r="V150" s="99">
        <v>10</v>
      </c>
      <c r="W150" s="99">
        <v>10</v>
      </c>
      <c r="X150" s="99">
        <v>10</v>
      </c>
      <c r="Y150" s="99">
        <v>10</v>
      </c>
      <c r="Z150" s="99">
        <v>10</v>
      </c>
      <c r="AA150" s="99">
        <v>100</v>
      </c>
      <c r="AB150" s="45" t="s">
        <v>24</v>
      </c>
      <c r="AC150" s="261"/>
      <c r="AD150" s="261"/>
      <c r="AE150" s="263"/>
      <c r="AF150" s="265"/>
      <c r="AG150" s="267"/>
      <c r="AH150" s="259"/>
      <c r="AI150" s="259"/>
      <c r="AJ150" s="23" t="s">
        <v>29</v>
      </c>
    </row>
    <row r="151" spans="1:36" ht="15.95" customHeight="1">
      <c r="A151" s="66">
        <v>1</v>
      </c>
      <c r="B151" s="68" t="str">
        <f>IF('(6).Promotion Exam'!B151="","",'(6).Promotion Exam'!B151)</f>
        <v/>
      </c>
      <c r="C151" s="79" t="str">
        <f>IF('(6).Promotion Exam'!C151="","",'(6).Promotion Exam'!C151)</f>
        <v/>
      </c>
      <c r="D151" s="86" t="str">
        <f>IF('(4).Midterm Results'!D151="","",'(4).Midterm Results'!D151)</f>
        <v/>
      </c>
      <c r="E151" s="87" t="str">
        <f>IF('(4).Midterm Results'!E151="","",'(4).Midterm Results'!E151)</f>
        <v/>
      </c>
      <c r="F151" s="87" t="str">
        <f>IF('(4).Midterm Results'!F151="","",'(4).Midterm Results'!F151)</f>
        <v/>
      </c>
      <c r="G151" s="87" t="str">
        <f>IF('(4).Midterm Results'!G151="","",'(4).Midterm Results'!G151)</f>
        <v/>
      </c>
      <c r="H151" s="87" t="str">
        <f>IF('(4).Midterm Results'!H151="","",'(4).Midterm Results'!H151)</f>
        <v/>
      </c>
      <c r="I151" s="87" t="str">
        <f>IF('(4).Midterm Results'!I151="","",'(4).Midterm Results'!I151)</f>
        <v/>
      </c>
      <c r="J151" s="87" t="str">
        <f>IF('(4).Midterm Results'!J151="","",'(4).Midterm Results'!J151)</f>
        <v/>
      </c>
      <c r="K151" s="87" t="str">
        <f>IF('(4).Midterm Results'!K151="","",'(4).Midterm Results'!K151)</f>
        <v/>
      </c>
      <c r="L151" s="87" t="str">
        <f>IF('(4).Midterm Results'!L151="","",'(4).Midterm Results'!L151)</f>
        <v/>
      </c>
      <c r="M151" s="87" t="str">
        <f>IF('(4).Midterm Results'!M151="","",'(4).Midterm Results'!M151)</f>
        <v/>
      </c>
      <c r="N151" s="87" t="str">
        <f>IF('(4).Midterm Results'!N151="","",'(4).Midterm Results'!N151)</f>
        <v/>
      </c>
      <c r="O151" s="88" t="str">
        <f>IF('(4).Midterm Results'!O151="","",'(4).Midterm Results'!O151)</f>
        <v/>
      </c>
      <c r="P151" s="86" t="str">
        <f>IF('(5).Promotion Daily'!AH151="","",'(5).Promotion Daily'!AH151)</f>
        <v/>
      </c>
      <c r="Q151" s="87" t="str">
        <f>IF('(6).Promotion Exam'!D151="","",'(6).Promotion Exam'!D151)</f>
        <v/>
      </c>
      <c r="R151" s="87" t="str">
        <f>IF('(6).Promotion Exam'!E151="","",'(6).Promotion Exam'!E151)</f>
        <v/>
      </c>
      <c r="S151" s="87" t="str">
        <f>IF('(6).Promotion Exam'!F151="","",'(6).Promotion Exam'!F151)</f>
        <v/>
      </c>
      <c r="T151" s="87" t="str">
        <f>IF('(6).Promotion Exam'!G151="","",'(6).Promotion Exam'!G151)</f>
        <v/>
      </c>
      <c r="U151" s="87" t="str">
        <f>IF('(6).Promotion Exam'!H151="","",'(6).Promotion Exam'!H151)</f>
        <v/>
      </c>
      <c r="V151" s="87" t="str">
        <f>IF('(6).Promotion Exam'!I151="","",'(6).Promotion Exam'!I151)</f>
        <v/>
      </c>
      <c r="W151" s="87" t="str">
        <f>IF('(6).Promotion Exam'!J151="","",'(6).Promotion Exam'!J151)</f>
        <v/>
      </c>
      <c r="X151" s="87" t="str">
        <f>IF('(6).Promotion Exam'!K151="","",'(6).Promotion Exam'!K151)</f>
        <v/>
      </c>
      <c r="Y151" s="87" t="str">
        <f>IF('(6).Promotion Exam'!L151="","",'(6).Promotion Exam'!L151)</f>
        <v/>
      </c>
      <c r="Z151" s="87" t="str">
        <f>IF('(6).Promotion Exam'!M151="","",'(6).Promotion Exam'!M151)</f>
        <v/>
      </c>
      <c r="AA151" s="88" t="str">
        <f>IF(B151="","",IF(P151="Incomplete","Incomplete",IF('(6).Promotion Exam'!N151="Change","Change",IF('(6).Promotion Exam'!N151="Stop","Stop",IF('(6).Promotion Exam'!N151="Incomplete","Incomplete",IF(COUNTBLANK(Q151:Z151)&gt;=1,"Incomplete",P151*20%+SUM(Q151:Z151)*80%))))))</f>
        <v/>
      </c>
      <c r="AB151" s="98" t="str">
        <f>IF(O151="","",IF(O151="Incomplete","",IF(O151="Change","",IF(O151="Stop","",IF(AA151="","",SUM(O151,AA151)/2)))))</f>
        <v/>
      </c>
      <c r="AC151" s="100" t="str">
        <f>IF(AB151="","",IF(AB151&lt;55,"Repeat",IF(AB151&lt;65,"C-",IF(AB151&lt;70,"C",IF(AB151&lt;75,"C+",IF(AB151&lt;80,"B-",IF(AB151&lt;85,"B",IF(AB151&lt;90,"B+",IF(AB151&gt;=90,"A")))))))))</f>
        <v/>
      </c>
      <c r="AD151" s="55" t="str">
        <f>IF(AC151="","",IF(AC151="Repeat","Repeat",IF(AC151="C-","Below Average",IF(AC151="C","Average",IF(AC151="C+","Above Average",IF(AC151="B-","Fairly Good",IF(AC151="B","Good",IF(AC151="B+","Very Good",IF(AC151="A","Excellent")))))))))</f>
        <v/>
      </c>
      <c r="AE151" s="56" t="str">
        <f>IF(AD151="","",IF(AD151="Repeat","ត្រួតថ្នាក់",IF(AD151="Below Average","ក្រោមមធ្យមភាគ",IF(AD151="Average","មធ្យមភាគ",IF(AD151="Above Average","លើមធ្យមភាគ",IF(AD151="Fairly Good","ល្អបង្គួរ",IF(AD151="Good","ល្អ",IF(AD151="Very Good","ល្អណាស់",IF(AD151="Excellent","ល្អប្រសើរ")))))))))</f>
        <v/>
      </c>
      <c r="AF151" s="57" t="str">
        <f>IF(B151="","",$AF$145)</f>
        <v/>
      </c>
      <c r="AG151" s="97" t="str">
        <f>IF(B151="","",$AG$145)</f>
        <v/>
      </c>
      <c r="AH151" s="58" t="str">
        <f>IF(B151="","",$AH$145)</f>
        <v/>
      </c>
      <c r="AI151" s="58" t="str">
        <f>IF(B151="","",$AI$145)</f>
        <v/>
      </c>
      <c r="AJ151" s="59"/>
    </row>
    <row r="152" spans="1:36" ht="15.95" customHeight="1">
      <c r="A152" s="66">
        <v>2</v>
      </c>
      <c r="B152" s="63" t="str">
        <f>IF('(6).Promotion Exam'!B152="","",'(6).Promotion Exam'!B152)</f>
        <v/>
      </c>
      <c r="C152" s="67" t="str">
        <f>IF('(6).Promotion Exam'!C152="","",'(6).Promotion Exam'!C152)</f>
        <v/>
      </c>
      <c r="D152" s="51" t="str">
        <f>IF('(4).Midterm Results'!D152="","",'(4).Midterm Results'!D152)</f>
        <v/>
      </c>
      <c r="E152" s="52" t="str">
        <f>IF('(4).Midterm Results'!E152="","",'(4).Midterm Results'!E152)</f>
        <v/>
      </c>
      <c r="F152" s="52" t="str">
        <f>IF('(4).Midterm Results'!F152="","",'(4).Midterm Results'!F152)</f>
        <v/>
      </c>
      <c r="G152" s="52" t="str">
        <f>IF('(4).Midterm Results'!G152="","",'(4).Midterm Results'!G152)</f>
        <v/>
      </c>
      <c r="H152" s="52" t="str">
        <f>IF('(4).Midterm Results'!H152="","",'(4).Midterm Results'!H152)</f>
        <v/>
      </c>
      <c r="I152" s="52" t="str">
        <f>IF('(4).Midterm Results'!I152="","",'(4).Midterm Results'!I152)</f>
        <v/>
      </c>
      <c r="J152" s="52" t="str">
        <f>IF('(4).Midterm Results'!J152="","",'(4).Midterm Results'!J152)</f>
        <v/>
      </c>
      <c r="K152" s="52" t="str">
        <f>IF('(4).Midterm Results'!K152="","",'(4).Midterm Results'!K152)</f>
        <v/>
      </c>
      <c r="L152" s="52" t="str">
        <f>IF('(4).Midterm Results'!L152="","",'(4).Midterm Results'!L152)</f>
        <v/>
      </c>
      <c r="M152" s="52" t="str">
        <f>IF('(4).Midterm Results'!M152="","",'(4).Midterm Results'!M152)</f>
        <v/>
      </c>
      <c r="N152" s="52" t="str">
        <f>IF('(4).Midterm Results'!N152="","",'(4).Midterm Results'!N152)</f>
        <v/>
      </c>
      <c r="O152" s="53" t="str">
        <f>IF('(4).Midterm Results'!O152="","",'(4).Midterm Results'!O152)</f>
        <v/>
      </c>
      <c r="P152" s="51" t="str">
        <f>IF('(5).Promotion Daily'!AH152="","",'(5).Promotion Daily'!AH152)</f>
        <v/>
      </c>
      <c r="Q152" s="52" t="str">
        <f>IF('(6).Promotion Exam'!D152="","",'(6).Promotion Exam'!D152)</f>
        <v/>
      </c>
      <c r="R152" s="52" t="str">
        <f>IF('(6).Promotion Exam'!E152="","",'(6).Promotion Exam'!E152)</f>
        <v/>
      </c>
      <c r="S152" s="52" t="str">
        <f>IF('(6).Promotion Exam'!F152="","",'(6).Promotion Exam'!F152)</f>
        <v/>
      </c>
      <c r="T152" s="52" t="str">
        <f>IF('(6).Promotion Exam'!G152="","",'(6).Promotion Exam'!G152)</f>
        <v/>
      </c>
      <c r="U152" s="52" t="str">
        <f>IF('(6).Promotion Exam'!H152="","",'(6).Promotion Exam'!H152)</f>
        <v/>
      </c>
      <c r="V152" s="52" t="str">
        <f>IF('(6).Promotion Exam'!I152="","",'(6).Promotion Exam'!I152)</f>
        <v/>
      </c>
      <c r="W152" s="52" t="str">
        <f>IF('(6).Promotion Exam'!J152="","",'(6).Promotion Exam'!J152)</f>
        <v/>
      </c>
      <c r="X152" s="52" t="str">
        <f>IF('(6).Promotion Exam'!K152="","",'(6).Promotion Exam'!K152)</f>
        <v/>
      </c>
      <c r="Y152" s="52" t="str">
        <f>IF('(6).Promotion Exam'!L152="","",'(6).Promotion Exam'!L152)</f>
        <v/>
      </c>
      <c r="Z152" s="52" t="str">
        <f>IF('(6).Promotion Exam'!M152="","",'(6).Promotion Exam'!M152)</f>
        <v/>
      </c>
      <c r="AA152" s="53" t="str">
        <f>IF(B152="","",IF(P152="Incomplete","Incomplete",IF('(6).Promotion Exam'!N152="Change","Change",IF('(6).Promotion Exam'!N152="Stop","Stop",IF('(6).Promotion Exam'!N152="Incomplete","Incomplete",IF(COUNTBLANK(Q152:Z152)&gt;=1,"Incomplete",P152*20%+SUM(Q152:Z152)*80%))))))</f>
        <v/>
      </c>
      <c r="AB152" s="54" t="str">
        <f t="shared" ref="AB152:AB180" si="32">IF(O152="","",IF(O152="Incomplete","",IF(O152="Change","",IF(O152="Stop","",IF(AA152="","",SUM(O152,AA152)/2)))))</f>
        <v/>
      </c>
      <c r="AC152" s="55" t="str">
        <f t="shared" ref="AC152:AC180" si="33">IF(AB152="","",IF(AB152&lt;55,"Repeat",IF(AB152&lt;65,"C-",IF(AB152&lt;70,"C",IF(AB152&lt;75,"C+",IF(AB152&lt;80,"B-",IF(AB152&lt;85,"B",IF(AB152&lt;90,"B+",IF(AB152&gt;=90,"A")))))))))</f>
        <v/>
      </c>
      <c r="AD152" s="55" t="str">
        <f t="shared" ref="AD152:AD180" si="34">IF(AC152="","",IF(AC152="Repeat","Repeat",IF(AC152="C-","Below Average",IF(AC152="C","Average",IF(AC152="C+","Above Average",IF(AC152="B-","Fairly Good",IF(AC152="B","Good",IF(AC152="B+","Very Good",IF(AC152="A","Excellent")))))))))</f>
        <v/>
      </c>
      <c r="AE152" s="56" t="str">
        <f t="shared" ref="AE152:AE180" si="35">IF(AD152="","",IF(AD152="Repeat","ត្រួតថ្នាក់",IF(AD152="Below Average","ក្រោមមធ្យមភាគ",IF(AD152="Average","មធ្យមភាគ",IF(AD152="Above Average","លើមធ្យមភាគ",IF(AD152="Fairly Good","ល្អបង្គួរ",IF(AD152="Good","ល្អ",IF(AD152="Very Good","ល្អណាស់",IF(AD152="Excellent","ល្អប្រសើរ")))))))))</f>
        <v/>
      </c>
      <c r="AF152" s="57" t="str">
        <f t="shared" ref="AF152:AF180" si="36">IF(B152="","",$AF$145)</f>
        <v/>
      </c>
      <c r="AG152" s="97" t="str">
        <f t="shared" ref="AG152:AG180" si="37">IF(B152="","",$AG$145)</f>
        <v/>
      </c>
      <c r="AH152" s="58" t="str">
        <f t="shared" ref="AH152:AH180" si="38">IF(B152="","",$AH$145)</f>
        <v/>
      </c>
      <c r="AI152" s="58" t="str">
        <f t="shared" ref="AI152:AI180" si="39">IF(B152="","",$AI$145)</f>
        <v/>
      </c>
      <c r="AJ152" s="59"/>
    </row>
    <row r="153" spans="1:36" ht="15.95" customHeight="1">
      <c r="A153" s="66">
        <v>3</v>
      </c>
      <c r="B153" s="63" t="str">
        <f>IF('(6).Promotion Exam'!B153="","",'(6).Promotion Exam'!B153)</f>
        <v/>
      </c>
      <c r="C153" s="67" t="str">
        <f>IF('(6).Promotion Exam'!C153="","",'(6).Promotion Exam'!C153)</f>
        <v/>
      </c>
      <c r="D153" s="51" t="str">
        <f>IF('(4).Midterm Results'!D153="","",'(4).Midterm Results'!D153)</f>
        <v/>
      </c>
      <c r="E153" s="52" t="str">
        <f>IF('(4).Midterm Results'!E153="","",'(4).Midterm Results'!E153)</f>
        <v/>
      </c>
      <c r="F153" s="52" t="str">
        <f>IF('(4).Midterm Results'!F153="","",'(4).Midterm Results'!F153)</f>
        <v/>
      </c>
      <c r="G153" s="52" t="str">
        <f>IF('(4).Midterm Results'!G153="","",'(4).Midterm Results'!G153)</f>
        <v/>
      </c>
      <c r="H153" s="52" t="str">
        <f>IF('(4).Midterm Results'!H153="","",'(4).Midterm Results'!H153)</f>
        <v/>
      </c>
      <c r="I153" s="52" t="str">
        <f>IF('(4).Midterm Results'!I153="","",'(4).Midterm Results'!I153)</f>
        <v/>
      </c>
      <c r="J153" s="52" t="str">
        <f>IF('(4).Midterm Results'!J153="","",'(4).Midterm Results'!J153)</f>
        <v/>
      </c>
      <c r="K153" s="52" t="str">
        <f>IF('(4).Midterm Results'!K153="","",'(4).Midterm Results'!K153)</f>
        <v/>
      </c>
      <c r="L153" s="52" t="str">
        <f>IF('(4).Midterm Results'!L153="","",'(4).Midterm Results'!L153)</f>
        <v/>
      </c>
      <c r="M153" s="52" t="str">
        <f>IF('(4).Midterm Results'!M153="","",'(4).Midterm Results'!M153)</f>
        <v/>
      </c>
      <c r="N153" s="52" t="str">
        <f>IF('(4).Midterm Results'!N153="","",'(4).Midterm Results'!N153)</f>
        <v/>
      </c>
      <c r="O153" s="53" t="str">
        <f>IF('(4).Midterm Results'!O153="","",'(4).Midterm Results'!O153)</f>
        <v/>
      </c>
      <c r="P153" s="51" t="str">
        <f>IF('(5).Promotion Daily'!AH153="","",'(5).Promotion Daily'!AH153)</f>
        <v/>
      </c>
      <c r="Q153" s="52" t="str">
        <f>IF('(6).Promotion Exam'!D153="","",'(6).Promotion Exam'!D153)</f>
        <v/>
      </c>
      <c r="R153" s="52" t="str">
        <f>IF('(6).Promotion Exam'!E153="","",'(6).Promotion Exam'!E153)</f>
        <v/>
      </c>
      <c r="S153" s="52" t="str">
        <f>IF('(6).Promotion Exam'!F153="","",'(6).Promotion Exam'!F153)</f>
        <v/>
      </c>
      <c r="T153" s="52" t="str">
        <f>IF('(6).Promotion Exam'!G153="","",'(6).Promotion Exam'!G153)</f>
        <v/>
      </c>
      <c r="U153" s="52" t="str">
        <f>IF('(6).Promotion Exam'!H153="","",'(6).Promotion Exam'!H153)</f>
        <v/>
      </c>
      <c r="V153" s="52" t="str">
        <f>IF('(6).Promotion Exam'!I153="","",'(6).Promotion Exam'!I153)</f>
        <v/>
      </c>
      <c r="W153" s="52" t="str">
        <f>IF('(6).Promotion Exam'!J153="","",'(6).Promotion Exam'!J153)</f>
        <v/>
      </c>
      <c r="X153" s="52" t="str">
        <f>IF('(6).Promotion Exam'!K153="","",'(6).Promotion Exam'!K153)</f>
        <v/>
      </c>
      <c r="Y153" s="52" t="str">
        <f>IF('(6).Promotion Exam'!L153="","",'(6).Promotion Exam'!L153)</f>
        <v/>
      </c>
      <c r="Z153" s="52" t="str">
        <f>IF('(6).Promotion Exam'!M153="","",'(6).Promotion Exam'!M153)</f>
        <v/>
      </c>
      <c r="AA153" s="53" t="str">
        <f>IF(B153="","",IF(P153="Incomplete","Incomplete",IF('(6).Promotion Exam'!N153="Change","Change",IF('(6).Promotion Exam'!N153="Stop","Stop",IF('(6).Promotion Exam'!N153="Incomplete","Incomplete",IF(COUNTBLANK(Q153:Z153)&gt;=1,"Incomplete",P153*20%+SUM(Q153:Z153)*80%))))))</f>
        <v/>
      </c>
      <c r="AB153" s="54" t="str">
        <f t="shared" si="32"/>
        <v/>
      </c>
      <c r="AC153" s="55" t="str">
        <f t="shared" si="33"/>
        <v/>
      </c>
      <c r="AD153" s="55" t="str">
        <f t="shared" si="34"/>
        <v/>
      </c>
      <c r="AE153" s="56" t="str">
        <f t="shared" si="35"/>
        <v/>
      </c>
      <c r="AF153" s="57" t="str">
        <f t="shared" si="36"/>
        <v/>
      </c>
      <c r="AG153" s="97" t="str">
        <f t="shared" si="37"/>
        <v/>
      </c>
      <c r="AH153" s="58" t="str">
        <f t="shared" si="38"/>
        <v/>
      </c>
      <c r="AI153" s="58" t="str">
        <f t="shared" si="39"/>
        <v/>
      </c>
      <c r="AJ153" s="59"/>
    </row>
    <row r="154" spans="1:36" ht="15.95" customHeight="1">
      <c r="A154" s="66">
        <v>4</v>
      </c>
      <c r="B154" s="63" t="str">
        <f>IF('(6).Promotion Exam'!B154="","",'(6).Promotion Exam'!B154)</f>
        <v/>
      </c>
      <c r="C154" s="67" t="str">
        <f>IF('(6).Promotion Exam'!C154="","",'(6).Promotion Exam'!C154)</f>
        <v/>
      </c>
      <c r="D154" s="51" t="str">
        <f>IF('(4).Midterm Results'!D154="","",'(4).Midterm Results'!D154)</f>
        <v/>
      </c>
      <c r="E154" s="52" t="str">
        <f>IF('(4).Midterm Results'!E154="","",'(4).Midterm Results'!E154)</f>
        <v/>
      </c>
      <c r="F154" s="52" t="str">
        <f>IF('(4).Midterm Results'!F154="","",'(4).Midterm Results'!F154)</f>
        <v/>
      </c>
      <c r="G154" s="52" t="str">
        <f>IF('(4).Midterm Results'!G154="","",'(4).Midterm Results'!G154)</f>
        <v/>
      </c>
      <c r="H154" s="52" t="str">
        <f>IF('(4).Midterm Results'!H154="","",'(4).Midterm Results'!H154)</f>
        <v/>
      </c>
      <c r="I154" s="52" t="str">
        <f>IF('(4).Midterm Results'!I154="","",'(4).Midterm Results'!I154)</f>
        <v/>
      </c>
      <c r="J154" s="52" t="str">
        <f>IF('(4).Midterm Results'!J154="","",'(4).Midterm Results'!J154)</f>
        <v/>
      </c>
      <c r="K154" s="52" t="str">
        <f>IF('(4).Midterm Results'!K154="","",'(4).Midterm Results'!K154)</f>
        <v/>
      </c>
      <c r="L154" s="52" t="str">
        <f>IF('(4).Midterm Results'!L154="","",'(4).Midterm Results'!L154)</f>
        <v/>
      </c>
      <c r="M154" s="52" t="str">
        <f>IF('(4).Midterm Results'!M154="","",'(4).Midterm Results'!M154)</f>
        <v/>
      </c>
      <c r="N154" s="52" t="str">
        <f>IF('(4).Midterm Results'!N154="","",'(4).Midterm Results'!N154)</f>
        <v/>
      </c>
      <c r="O154" s="53" t="str">
        <f>IF('(4).Midterm Results'!O154="","",'(4).Midterm Results'!O154)</f>
        <v/>
      </c>
      <c r="P154" s="51" t="str">
        <f>IF('(5).Promotion Daily'!AH154="","",'(5).Promotion Daily'!AH154)</f>
        <v/>
      </c>
      <c r="Q154" s="52" t="str">
        <f>IF('(6).Promotion Exam'!D154="","",'(6).Promotion Exam'!D154)</f>
        <v/>
      </c>
      <c r="R154" s="52" t="str">
        <f>IF('(6).Promotion Exam'!E154="","",'(6).Promotion Exam'!E154)</f>
        <v/>
      </c>
      <c r="S154" s="52" t="str">
        <f>IF('(6).Promotion Exam'!F154="","",'(6).Promotion Exam'!F154)</f>
        <v/>
      </c>
      <c r="T154" s="52" t="str">
        <f>IF('(6).Promotion Exam'!G154="","",'(6).Promotion Exam'!G154)</f>
        <v/>
      </c>
      <c r="U154" s="52" t="str">
        <f>IF('(6).Promotion Exam'!H154="","",'(6).Promotion Exam'!H154)</f>
        <v/>
      </c>
      <c r="V154" s="52" t="str">
        <f>IF('(6).Promotion Exam'!I154="","",'(6).Promotion Exam'!I154)</f>
        <v/>
      </c>
      <c r="W154" s="52" t="str">
        <f>IF('(6).Promotion Exam'!J154="","",'(6).Promotion Exam'!J154)</f>
        <v/>
      </c>
      <c r="X154" s="52" t="str">
        <f>IF('(6).Promotion Exam'!K154="","",'(6).Promotion Exam'!K154)</f>
        <v/>
      </c>
      <c r="Y154" s="52" t="str">
        <f>IF('(6).Promotion Exam'!L154="","",'(6).Promotion Exam'!L154)</f>
        <v/>
      </c>
      <c r="Z154" s="52" t="str">
        <f>IF('(6).Promotion Exam'!M154="","",'(6).Promotion Exam'!M154)</f>
        <v/>
      </c>
      <c r="AA154" s="53" t="str">
        <f>IF(B154="","",IF(P154="Incomplete","Incomplete",IF('(6).Promotion Exam'!N154="Change","Change",IF('(6).Promotion Exam'!N154="Stop","Stop",IF('(6).Promotion Exam'!N154="Incomplete","Incomplete",IF(COUNTBLANK(Q154:Z154)&gt;=1,"Incomplete",P154*20%+SUM(Q154:Z154)*80%))))))</f>
        <v/>
      </c>
      <c r="AB154" s="54" t="str">
        <f t="shared" si="32"/>
        <v/>
      </c>
      <c r="AC154" s="55" t="str">
        <f t="shared" si="33"/>
        <v/>
      </c>
      <c r="AD154" s="55" t="str">
        <f t="shared" si="34"/>
        <v/>
      </c>
      <c r="AE154" s="56" t="str">
        <f t="shared" si="35"/>
        <v/>
      </c>
      <c r="AF154" s="57" t="str">
        <f t="shared" si="36"/>
        <v/>
      </c>
      <c r="AG154" s="97" t="str">
        <f t="shared" si="37"/>
        <v/>
      </c>
      <c r="AH154" s="58" t="str">
        <f t="shared" si="38"/>
        <v/>
      </c>
      <c r="AI154" s="58" t="str">
        <f t="shared" si="39"/>
        <v/>
      </c>
      <c r="AJ154" s="59"/>
    </row>
    <row r="155" spans="1:36" ht="15.95" customHeight="1">
      <c r="A155" s="66">
        <v>5</v>
      </c>
      <c r="B155" s="63" t="str">
        <f>IF('(6).Promotion Exam'!B155="","",'(6).Promotion Exam'!B155)</f>
        <v/>
      </c>
      <c r="C155" s="67" t="str">
        <f>IF('(6).Promotion Exam'!C155="","",'(6).Promotion Exam'!C155)</f>
        <v/>
      </c>
      <c r="D155" s="51" t="str">
        <f>IF('(4).Midterm Results'!D155="","",'(4).Midterm Results'!D155)</f>
        <v/>
      </c>
      <c r="E155" s="52" t="str">
        <f>IF('(4).Midterm Results'!E155="","",'(4).Midterm Results'!E155)</f>
        <v/>
      </c>
      <c r="F155" s="52" t="str">
        <f>IF('(4).Midterm Results'!F155="","",'(4).Midterm Results'!F155)</f>
        <v/>
      </c>
      <c r="G155" s="52" t="str">
        <f>IF('(4).Midterm Results'!G155="","",'(4).Midterm Results'!G155)</f>
        <v/>
      </c>
      <c r="H155" s="52" t="str">
        <f>IF('(4).Midterm Results'!H155="","",'(4).Midterm Results'!H155)</f>
        <v/>
      </c>
      <c r="I155" s="52" t="str">
        <f>IF('(4).Midterm Results'!I155="","",'(4).Midterm Results'!I155)</f>
        <v/>
      </c>
      <c r="J155" s="52" t="str">
        <f>IF('(4).Midterm Results'!J155="","",'(4).Midterm Results'!J155)</f>
        <v/>
      </c>
      <c r="K155" s="52" t="str">
        <f>IF('(4).Midterm Results'!K155="","",'(4).Midterm Results'!K155)</f>
        <v/>
      </c>
      <c r="L155" s="52" t="str">
        <f>IF('(4).Midterm Results'!L155="","",'(4).Midterm Results'!L155)</f>
        <v/>
      </c>
      <c r="M155" s="52" t="str">
        <f>IF('(4).Midterm Results'!M155="","",'(4).Midterm Results'!M155)</f>
        <v/>
      </c>
      <c r="N155" s="52" t="str">
        <f>IF('(4).Midterm Results'!N155="","",'(4).Midterm Results'!N155)</f>
        <v/>
      </c>
      <c r="O155" s="53" t="str">
        <f>IF('(4).Midterm Results'!O155="","",'(4).Midterm Results'!O155)</f>
        <v/>
      </c>
      <c r="P155" s="51" t="str">
        <f>IF('(5).Promotion Daily'!AH155="","",'(5).Promotion Daily'!AH155)</f>
        <v/>
      </c>
      <c r="Q155" s="52" t="str">
        <f>IF('(6).Promotion Exam'!D155="","",'(6).Promotion Exam'!D155)</f>
        <v/>
      </c>
      <c r="R155" s="52" t="str">
        <f>IF('(6).Promotion Exam'!E155="","",'(6).Promotion Exam'!E155)</f>
        <v/>
      </c>
      <c r="S155" s="52" t="str">
        <f>IF('(6).Promotion Exam'!F155="","",'(6).Promotion Exam'!F155)</f>
        <v/>
      </c>
      <c r="T155" s="52" t="str">
        <f>IF('(6).Promotion Exam'!G155="","",'(6).Promotion Exam'!G155)</f>
        <v/>
      </c>
      <c r="U155" s="52" t="str">
        <f>IF('(6).Promotion Exam'!H155="","",'(6).Promotion Exam'!H155)</f>
        <v/>
      </c>
      <c r="V155" s="52" t="str">
        <f>IF('(6).Promotion Exam'!I155="","",'(6).Promotion Exam'!I155)</f>
        <v/>
      </c>
      <c r="W155" s="52" t="str">
        <f>IF('(6).Promotion Exam'!J155="","",'(6).Promotion Exam'!J155)</f>
        <v/>
      </c>
      <c r="X155" s="52" t="str">
        <f>IF('(6).Promotion Exam'!K155="","",'(6).Promotion Exam'!K155)</f>
        <v/>
      </c>
      <c r="Y155" s="52" t="str">
        <f>IF('(6).Promotion Exam'!L155="","",'(6).Promotion Exam'!L155)</f>
        <v/>
      </c>
      <c r="Z155" s="52" t="str">
        <f>IF('(6).Promotion Exam'!M155="","",'(6).Promotion Exam'!M155)</f>
        <v/>
      </c>
      <c r="AA155" s="53" t="str">
        <f>IF(B155="","",IF(P155="Incomplete","Incomplete",IF('(6).Promotion Exam'!N155="Change","Change",IF('(6).Promotion Exam'!N155="Stop","Stop",IF('(6).Promotion Exam'!N155="Incomplete","Incomplete",IF(COUNTBLANK(Q155:Z155)&gt;=1,"Incomplete",P155*20%+SUM(Q155:Z155)*80%))))))</f>
        <v/>
      </c>
      <c r="AB155" s="54" t="str">
        <f t="shared" si="32"/>
        <v/>
      </c>
      <c r="AC155" s="55" t="str">
        <f t="shared" si="33"/>
        <v/>
      </c>
      <c r="AD155" s="55" t="str">
        <f t="shared" si="34"/>
        <v/>
      </c>
      <c r="AE155" s="56" t="str">
        <f t="shared" si="35"/>
        <v/>
      </c>
      <c r="AF155" s="57" t="str">
        <f t="shared" si="36"/>
        <v/>
      </c>
      <c r="AG155" s="97" t="str">
        <f t="shared" si="37"/>
        <v/>
      </c>
      <c r="AH155" s="58" t="str">
        <f t="shared" si="38"/>
        <v/>
      </c>
      <c r="AI155" s="58" t="str">
        <f t="shared" si="39"/>
        <v/>
      </c>
      <c r="AJ155" s="59"/>
    </row>
    <row r="156" spans="1:36" ht="15.95" customHeight="1">
      <c r="A156" s="66">
        <v>6</v>
      </c>
      <c r="B156" s="63" t="str">
        <f>IF('(6).Promotion Exam'!B156="","",'(6).Promotion Exam'!B156)</f>
        <v/>
      </c>
      <c r="C156" s="67" t="str">
        <f>IF('(6).Promotion Exam'!C156="","",'(6).Promotion Exam'!C156)</f>
        <v/>
      </c>
      <c r="D156" s="51" t="str">
        <f>IF('(4).Midterm Results'!D156="","",'(4).Midterm Results'!D156)</f>
        <v/>
      </c>
      <c r="E156" s="52" t="str">
        <f>IF('(4).Midterm Results'!E156="","",'(4).Midterm Results'!E156)</f>
        <v/>
      </c>
      <c r="F156" s="52" t="str">
        <f>IF('(4).Midterm Results'!F156="","",'(4).Midterm Results'!F156)</f>
        <v/>
      </c>
      <c r="G156" s="52" t="str">
        <f>IF('(4).Midterm Results'!G156="","",'(4).Midterm Results'!G156)</f>
        <v/>
      </c>
      <c r="H156" s="52" t="str">
        <f>IF('(4).Midterm Results'!H156="","",'(4).Midterm Results'!H156)</f>
        <v/>
      </c>
      <c r="I156" s="52" t="str">
        <f>IF('(4).Midterm Results'!I156="","",'(4).Midterm Results'!I156)</f>
        <v/>
      </c>
      <c r="J156" s="52" t="str">
        <f>IF('(4).Midterm Results'!J156="","",'(4).Midterm Results'!J156)</f>
        <v/>
      </c>
      <c r="K156" s="52" t="str">
        <f>IF('(4).Midterm Results'!K156="","",'(4).Midterm Results'!K156)</f>
        <v/>
      </c>
      <c r="L156" s="52" t="str">
        <f>IF('(4).Midterm Results'!L156="","",'(4).Midterm Results'!L156)</f>
        <v/>
      </c>
      <c r="M156" s="52" t="str">
        <f>IF('(4).Midterm Results'!M156="","",'(4).Midterm Results'!M156)</f>
        <v/>
      </c>
      <c r="N156" s="52" t="str">
        <f>IF('(4).Midterm Results'!N156="","",'(4).Midterm Results'!N156)</f>
        <v/>
      </c>
      <c r="O156" s="53" t="str">
        <f>IF('(4).Midterm Results'!O156="","",'(4).Midterm Results'!O156)</f>
        <v/>
      </c>
      <c r="P156" s="51" t="str">
        <f>IF('(5).Promotion Daily'!AH156="","",'(5).Promotion Daily'!AH156)</f>
        <v/>
      </c>
      <c r="Q156" s="52" t="str">
        <f>IF('(6).Promotion Exam'!D156="","",'(6).Promotion Exam'!D156)</f>
        <v/>
      </c>
      <c r="R156" s="52" t="str">
        <f>IF('(6).Promotion Exam'!E156="","",'(6).Promotion Exam'!E156)</f>
        <v/>
      </c>
      <c r="S156" s="52" t="str">
        <f>IF('(6).Promotion Exam'!F156="","",'(6).Promotion Exam'!F156)</f>
        <v/>
      </c>
      <c r="T156" s="52" t="str">
        <f>IF('(6).Promotion Exam'!G156="","",'(6).Promotion Exam'!G156)</f>
        <v/>
      </c>
      <c r="U156" s="52" t="str">
        <f>IF('(6).Promotion Exam'!H156="","",'(6).Promotion Exam'!H156)</f>
        <v/>
      </c>
      <c r="V156" s="52" t="str">
        <f>IF('(6).Promotion Exam'!I156="","",'(6).Promotion Exam'!I156)</f>
        <v/>
      </c>
      <c r="W156" s="52" t="str">
        <f>IF('(6).Promotion Exam'!J156="","",'(6).Promotion Exam'!J156)</f>
        <v/>
      </c>
      <c r="X156" s="52" t="str">
        <f>IF('(6).Promotion Exam'!K156="","",'(6).Promotion Exam'!K156)</f>
        <v/>
      </c>
      <c r="Y156" s="52" t="str">
        <f>IF('(6).Promotion Exam'!L156="","",'(6).Promotion Exam'!L156)</f>
        <v/>
      </c>
      <c r="Z156" s="52" t="str">
        <f>IF('(6).Promotion Exam'!M156="","",'(6).Promotion Exam'!M156)</f>
        <v/>
      </c>
      <c r="AA156" s="53" t="str">
        <f>IF(B156="","",IF(P156="Incomplete","Incomplete",IF('(6).Promotion Exam'!N156="Change","Change",IF('(6).Promotion Exam'!N156="Stop","Stop",IF('(6).Promotion Exam'!N156="Incomplete","Incomplete",IF(COUNTBLANK(Q156:Z156)&gt;=1,"Incomplete",P156*20%+SUM(Q156:Z156)*80%))))))</f>
        <v/>
      </c>
      <c r="AB156" s="54" t="str">
        <f t="shared" si="32"/>
        <v/>
      </c>
      <c r="AC156" s="55" t="str">
        <f t="shared" si="33"/>
        <v/>
      </c>
      <c r="AD156" s="55" t="str">
        <f t="shared" si="34"/>
        <v/>
      </c>
      <c r="AE156" s="56" t="str">
        <f t="shared" si="35"/>
        <v/>
      </c>
      <c r="AF156" s="57" t="str">
        <f t="shared" si="36"/>
        <v/>
      </c>
      <c r="AG156" s="97" t="str">
        <f t="shared" si="37"/>
        <v/>
      </c>
      <c r="AH156" s="58" t="str">
        <f t="shared" si="38"/>
        <v/>
      </c>
      <c r="AI156" s="58" t="str">
        <f t="shared" si="39"/>
        <v/>
      </c>
      <c r="AJ156" s="59"/>
    </row>
    <row r="157" spans="1:36" ht="15.95" customHeight="1">
      <c r="A157" s="66">
        <v>7</v>
      </c>
      <c r="B157" s="63" t="str">
        <f>IF('(6).Promotion Exam'!B157="","",'(6).Promotion Exam'!B157)</f>
        <v/>
      </c>
      <c r="C157" s="67" t="str">
        <f>IF('(6).Promotion Exam'!C157="","",'(6).Promotion Exam'!C157)</f>
        <v/>
      </c>
      <c r="D157" s="51" t="str">
        <f>IF('(4).Midterm Results'!D157="","",'(4).Midterm Results'!D157)</f>
        <v/>
      </c>
      <c r="E157" s="52" t="str">
        <f>IF('(4).Midterm Results'!E157="","",'(4).Midterm Results'!E157)</f>
        <v/>
      </c>
      <c r="F157" s="52" t="str">
        <f>IF('(4).Midterm Results'!F157="","",'(4).Midterm Results'!F157)</f>
        <v/>
      </c>
      <c r="G157" s="52" t="str">
        <f>IF('(4).Midterm Results'!G157="","",'(4).Midterm Results'!G157)</f>
        <v/>
      </c>
      <c r="H157" s="52" t="str">
        <f>IF('(4).Midterm Results'!H157="","",'(4).Midterm Results'!H157)</f>
        <v/>
      </c>
      <c r="I157" s="52" t="str">
        <f>IF('(4).Midterm Results'!I157="","",'(4).Midterm Results'!I157)</f>
        <v/>
      </c>
      <c r="J157" s="52" t="str">
        <f>IF('(4).Midterm Results'!J157="","",'(4).Midterm Results'!J157)</f>
        <v/>
      </c>
      <c r="K157" s="52" t="str">
        <f>IF('(4).Midterm Results'!K157="","",'(4).Midterm Results'!K157)</f>
        <v/>
      </c>
      <c r="L157" s="52" t="str">
        <f>IF('(4).Midterm Results'!L157="","",'(4).Midterm Results'!L157)</f>
        <v/>
      </c>
      <c r="M157" s="52" t="str">
        <f>IF('(4).Midterm Results'!M157="","",'(4).Midterm Results'!M157)</f>
        <v/>
      </c>
      <c r="N157" s="52" t="str">
        <f>IF('(4).Midterm Results'!N157="","",'(4).Midterm Results'!N157)</f>
        <v/>
      </c>
      <c r="O157" s="53" t="str">
        <f>IF('(4).Midterm Results'!O157="","",'(4).Midterm Results'!O157)</f>
        <v/>
      </c>
      <c r="P157" s="51" t="str">
        <f>IF('(5).Promotion Daily'!AH157="","",'(5).Promotion Daily'!AH157)</f>
        <v/>
      </c>
      <c r="Q157" s="52" t="str">
        <f>IF('(6).Promotion Exam'!D157="","",'(6).Promotion Exam'!D157)</f>
        <v/>
      </c>
      <c r="R157" s="52" t="str">
        <f>IF('(6).Promotion Exam'!E157="","",'(6).Promotion Exam'!E157)</f>
        <v/>
      </c>
      <c r="S157" s="52" t="str">
        <f>IF('(6).Promotion Exam'!F157="","",'(6).Promotion Exam'!F157)</f>
        <v/>
      </c>
      <c r="T157" s="52" t="str">
        <f>IF('(6).Promotion Exam'!G157="","",'(6).Promotion Exam'!G157)</f>
        <v/>
      </c>
      <c r="U157" s="52" t="str">
        <f>IF('(6).Promotion Exam'!H157="","",'(6).Promotion Exam'!H157)</f>
        <v/>
      </c>
      <c r="V157" s="52" t="str">
        <f>IF('(6).Promotion Exam'!I157="","",'(6).Promotion Exam'!I157)</f>
        <v/>
      </c>
      <c r="W157" s="52" t="str">
        <f>IF('(6).Promotion Exam'!J157="","",'(6).Promotion Exam'!J157)</f>
        <v/>
      </c>
      <c r="X157" s="52" t="str">
        <f>IF('(6).Promotion Exam'!K157="","",'(6).Promotion Exam'!K157)</f>
        <v/>
      </c>
      <c r="Y157" s="52" t="str">
        <f>IF('(6).Promotion Exam'!L157="","",'(6).Promotion Exam'!L157)</f>
        <v/>
      </c>
      <c r="Z157" s="52" t="str">
        <f>IF('(6).Promotion Exam'!M157="","",'(6).Promotion Exam'!M157)</f>
        <v/>
      </c>
      <c r="AA157" s="53" t="str">
        <f>IF(B157="","",IF(P157="Incomplete","Incomplete",IF('(6).Promotion Exam'!N157="Change","Change",IF('(6).Promotion Exam'!N157="Stop","Stop",IF('(6).Promotion Exam'!N157="Incomplete","Incomplete",IF(COUNTBLANK(Q157:Z157)&gt;=1,"Incomplete",P157*20%+SUM(Q157:Z157)*80%))))))</f>
        <v/>
      </c>
      <c r="AB157" s="54" t="str">
        <f t="shared" si="32"/>
        <v/>
      </c>
      <c r="AC157" s="55" t="str">
        <f t="shared" si="33"/>
        <v/>
      </c>
      <c r="AD157" s="55" t="str">
        <f t="shared" si="34"/>
        <v/>
      </c>
      <c r="AE157" s="56" t="str">
        <f t="shared" si="35"/>
        <v/>
      </c>
      <c r="AF157" s="57" t="str">
        <f t="shared" si="36"/>
        <v/>
      </c>
      <c r="AG157" s="97" t="str">
        <f t="shared" si="37"/>
        <v/>
      </c>
      <c r="AH157" s="58" t="str">
        <f t="shared" si="38"/>
        <v/>
      </c>
      <c r="AI157" s="58" t="str">
        <f t="shared" si="39"/>
        <v/>
      </c>
      <c r="AJ157" s="59"/>
    </row>
    <row r="158" spans="1:36" ht="15.95" customHeight="1">
      <c r="A158" s="66">
        <v>8</v>
      </c>
      <c r="B158" s="63" t="str">
        <f>IF('(6).Promotion Exam'!B158="","",'(6).Promotion Exam'!B158)</f>
        <v/>
      </c>
      <c r="C158" s="67" t="str">
        <f>IF('(6).Promotion Exam'!C158="","",'(6).Promotion Exam'!C158)</f>
        <v/>
      </c>
      <c r="D158" s="51" t="str">
        <f>IF('(4).Midterm Results'!D158="","",'(4).Midterm Results'!D158)</f>
        <v/>
      </c>
      <c r="E158" s="52" t="str">
        <f>IF('(4).Midterm Results'!E158="","",'(4).Midterm Results'!E158)</f>
        <v/>
      </c>
      <c r="F158" s="52" t="str">
        <f>IF('(4).Midterm Results'!F158="","",'(4).Midterm Results'!F158)</f>
        <v/>
      </c>
      <c r="G158" s="52" t="str">
        <f>IF('(4).Midterm Results'!G158="","",'(4).Midterm Results'!G158)</f>
        <v/>
      </c>
      <c r="H158" s="52" t="str">
        <f>IF('(4).Midterm Results'!H158="","",'(4).Midterm Results'!H158)</f>
        <v/>
      </c>
      <c r="I158" s="52" t="str">
        <f>IF('(4).Midterm Results'!I158="","",'(4).Midterm Results'!I158)</f>
        <v/>
      </c>
      <c r="J158" s="52" t="str">
        <f>IF('(4).Midterm Results'!J158="","",'(4).Midterm Results'!J158)</f>
        <v/>
      </c>
      <c r="K158" s="52" t="str">
        <f>IF('(4).Midterm Results'!K158="","",'(4).Midterm Results'!K158)</f>
        <v/>
      </c>
      <c r="L158" s="52" t="str">
        <f>IF('(4).Midterm Results'!L158="","",'(4).Midterm Results'!L158)</f>
        <v/>
      </c>
      <c r="M158" s="52" t="str">
        <f>IF('(4).Midterm Results'!M158="","",'(4).Midterm Results'!M158)</f>
        <v/>
      </c>
      <c r="N158" s="52" t="str">
        <f>IF('(4).Midterm Results'!N158="","",'(4).Midterm Results'!N158)</f>
        <v/>
      </c>
      <c r="O158" s="53" t="str">
        <f>IF('(4).Midterm Results'!O158="","",'(4).Midterm Results'!O158)</f>
        <v/>
      </c>
      <c r="P158" s="51" t="str">
        <f>IF('(5).Promotion Daily'!AH158="","",'(5).Promotion Daily'!AH158)</f>
        <v/>
      </c>
      <c r="Q158" s="52" t="str">
        <f>IF('(6).Promotion Exam'!D158="","",'(6).Promotion Exam'!D158)</f>
        <v/>
      </c>
      <c r="R158" s="52" t="str">
        <f>IF('(6).Promotion Exam'!E158="","",'(6).Promotion Exam'!E158)</f>
        <v/>
      </c>
      <c r="S158" s="52" t="str">
        <f>IF('(6).Promotion Exam'!F158="","",'(6).Promotion Exam'!F158)</f>
        <v/>
      </c>
      <c r="T158" s="52" t="str">
        <f>IF('(6).Promotion Exam'!G158="","",'(6).Promotion Exam'!G158)</f>
        <v/>
      </c>
      <c r="U158" s="52" t="str">
        <f>IF('(6).Promotion Exam'!H158="","",'(6).Promotion Exam'!H158)</f>
        <v/>
      </c>
      <c r="V158" s="52" t="str">
        <f>IF('(6).Promotion Exam'!I158="","",'(6).Promotion Exam'!I158)</f>
        <v/>
      </c>
      <c r="W158" s="52" t="str">
        <f>IF('(6).Promotion Exam'!J158="","",'(6).Promotion Exam'!J158)</f>
        <v/>
      </c>
      <c r="X158" s="52" t="str">
        <f>IF('(6).Promotion Exam'!K158="","",'(6).Promotion Exam'!K158)</f>
        <v/>
      </c>
      <c r="Y158" s="52" t="str">
        <f>IF('(6).Promotion Exam'!L158="","",'(6).Promotion Exam'!L158)</f>
        <v/>
      </c>
      <c r="Z158" s="52" t="str">
        <f>IF('(6).Promotion Exam'!M158="","",'(6).Promotion Exam'!M158)</f>
        <v/>
      </c>
      <c r="AA158" s="53" t="str">
        <f>IF(B158="","",IF(P158="Incomplete","Incomplete",IF('(6).Promotion Exam'!N158="Change","Change",IF('(6).Promotion Exam'!N158="Stop","Stop",IF('(6).Promotion Exam'!N158="Incomplete","Incomplete",IF(COUNTBLANK(Q158:Z158)&gt;=1,"Incomplete",P158*20%+SUM(Q158:Z158)*80%))))))</f>
        <v/>
      </c>
      <c r="AB158" s="54" t="str">
        <f t="shared" si="32"/>
        <v/>
      </c>
      <c r="AC158" s="55" t="str">
        <f t="shared" si="33"/>
        <v/>
      </c>
      <c r="AD158" s="55" t="str">
        <f t="shared" si="34"/>
        <v/>
      </c>
      <c r="AE158" s="56" t="str">
        <f t="shared" si="35"/>
        <v/>
      </c>
      <c r="AF158" s="57" t="str">
        <f t="shared" si="36"/>
        <v/>
      </c>
      <c r="AG158" s="97" t="str">
        <f t="shared" si="37"/>
        <v/>
      </c>
      <c r="AH158" s="58" t="str">
        <f t="shared" si="38"/>
        <v/>
      </c>
      <c r="AI158" s="58" t="str">
        <f t="shared" si="39"/>
        <v/>
      </c>
      <c r="AJ158" s="59"/>
    </row>
    <row r="159" spans="1:36" ht="15.95" customHeight="1">
      <c r="A159" s="66">
        <v>9</v>
      </c>
      <c r="B159" s="63" t="str">
        <f>IF('(6).Promotion Exam'!B159="","",'(6).Promotion Exam'!B159)</f>
        <v/>
      </c>
      <c r="C159" s="67" t="str">
        <f>IF('(6).Promotion Exam'!C159="","",'(6).Promotion Exam'!C159)</f>
        <v/>
      </c>
      <c r="D159" s="51" t="str">
        <f>IF('(4).Midterm Results'!D159="","",'(4).Midterm Results'!D159)</f>
        <v/>
      </c>
      <c r="E159" s="52" t="str">
        <f>IF('(4).Midterm Results'!E159="","",'(4).Midterm Results'!E159)</f>
        <v/>
      </c>
      <c r="F159" s="52" t="str">
        <f>IF('(4).Midterm Results'!F159="","",'(4).Midterm Results'!F159)</f>
        <v/>
      </c>
      <c r="G159" s="52" t="str">
        <f>IF('(4).Midterm Results'!G159="","",'(4).Midterm Results'!G159)</f>
        <v/>
      </c>
      <c r="H159" s="52" t="str">
        <f>IF('(4).Midterm Results'!H159="","",'(4).Midterm Results'!H159)</f>
        <v/>
      </c>
      <c r="I159" s="52" t="str">
        <f>IF('(4).Midterm Results'!I159="","",'(4).Midterm Results'!I159)</f>
        <v/>
      </c>
      <c r="J159" s="52" t="str">
        <f>IF('(4).Midterm Results'!J159="","",'(4).Midterm Results'!J159)</f>
        <v/>
      </c>
      <c r="K159" s="52" t="str">
        <f>IF('(4).Midterm Results'!K159="","",'(4).Midterm Results'!K159)</f>
        <v/>
      </c>
      <c r="L159" s="52" t="str">
        <f>IF('(4).Midterm Results'!L159="","",'(4).Midterm Results'!L159)</f>
        <v/>
      </c>
      <c r="M159" s="52" t="str">
        <f>IF('(4).Midterm Results'!M159="","",'(4).Midterm Results'!M159)</f>
        <v/>
      </c>
      <c r="N159" s="52" t="str">
        <f>IF('(4).Midterm Results'!N159="","",'(4).Midterm Results'!N159)</f>
        <v/>
      </c>
      <c r="O159" s="53" t="str">
        <f>IF('(4).Midterm Results'!O159="","",'(4).Midterm Results'!O159)</f>
        <v/>
      </c>
      <c r="P159" s="51" t="str">
        <f>IF('(5).Promotion Daily'!AH159="","",'(5).Promotion Daily'!AH159)</f>
        <v/>
      </c>
      <c r="Q159" s="52" t="str">
        <f>IF('(6).Promotion Exam'!D159="","",'(6).Promotion Exam'!D159)</f>
        <v/>
      </c>
      <c r="R159" s="52" t="str">
        <f>IF('(6).Promotion Exam'!E159="","",'(6).Promotion Exam'!E159)</f>
        <v/>
      </c>
      <c r="S159" s="52" t="str">
        <f>IF('(6).Promotion Exam'!F159="","",'(6).Promotion Exam'!F159)</f>
        <v/>
      </c>
      <c r="T159" s="52" t="str">
        <f>IF('(6).Promotion Exam'!G159="","",'(6).Promotion Exam'!G159)</f>
        <v/>
      </c>
      <c r="U159" s="52" t="str">
        <f>IF('(6).Promotion Exam'!H159="","",'(6).Promotion Exam'!H159)</f>
        <v/>
      </c>
      <c r="V159" s="52" t="str">
        <f>IF('(6).Promotion Exam'!I159="","",'(6).Promotion Exam'!I159)</f>
        <v/>
      </c>
      <c r="W159" s="52" t="str">
        <f>IF('(6).Promotion Exam'!J159="","",'(6).Promotion Exam'!J159)</f>
        <v/>
      </c>
      <c r="X159" s="52" t="str">
        <f>IF('(6).Promotion Exam'!K159="","",'(6).Promotion Exam'!K159)</f>
        <v/>
      </c>
      <c r="Y159" s="52" t="str">
        <f>IF('(6).Promotion Exam'!L159="","",'(6).Promotion Exam'!L159)</f>
        <v/>
      </c>
      <c r="Z159" s="52" t="str">
        <f>IF('(6).Promotion Exam'!M159="","",'(6).Promotion Exam'!M159)</f>
        <v/>
      </c>
      <c r="AA159" s="53" t="str">
        <f>IF(B159="","",IF(P159="Incomplete","Incomplete",IF('(6).Promotion Exam'!N159="Change","Change",IF('(6).Promotion Exam'!N159="Stop","Stop",IF('(6).Promotion Exam'!N159="Incomplete","Incomplete",IF(COUNTBLANK(Q159:Z159)&gt;=1,"Incomplete",P159*20%+SUM(Q159:Z159)*80%))))))</f>
        <v/>
      </c>
      <c r="AB159" s="54" t="str">
        <f t="shared" si="32"/>
        <v/>
      </c>
      <c r="AC159" s="55" t="str">
        <f t="shared" si="33"/>
        <v/>
      </c>
      <c r="AD159" s="55" t="str">
        <f t="shared" si="34"/>
        <v/>
      </c>
      <c r="AE159" s="56" t="str">
        <f t="shared" si="35"/>
        <v/>
      </c>
      <c r="AF159" s="57" t="str">
        <f t="shared" si="36"/>
        <v/>
      </c>
      <c r="AG159" s="97" t="str">
        <f t="shared" si="37"/>
        <v/>
      </c>
      <c r="AH159" s="58" t="str">
        <f t="shared" si="38"/>
        <v/>
      </c>
      <c r="AI159" s="58" t="str">
        <f t="shared" si="39"/>
        <v/>
      </c>
      <c r="AJ159" s="59"/>
    </row>
    <row r="160" spans="1:36" ht="15.95" customHeight="1">
      <c r="A160" s="66">
        <v>10</v>
      </c>
      <c r="B160" s="63" t="str">
        <f>IF('(6).Promotion Exam'!B160="","",'(6).Promotion Exam'!B160)</f>
        <v/>
      </c>
      <c r="C160" s="67" t="str">
        <f>IF('(6).Promotion Exam'!C160="","",'(6).Promotion Exam'!C160)</f>
        <v/>
      </c>
      <c r="D160" s="51" t="str">
        <f>IF('(4).Midterm Results'!D160="","",'(4).Midterm Results'!D160)</f>
        <v/>
      </c>
      <c r="E160" s="52" t="str">
        <f>IF('(4).Midterm Results'!E160="","",'(4).Midterm Results'!E160)</f>
        <v/>
      </c>
      <c r="F160" s="52" t="str">
        <f>IF('(4).Midterm Results'!F160="","",'(4).Midterm Results'!F160)</f>
        <v/>
      </c>
      <c r="G160" s="52" t="str">
        <f>IF('(4).Midterm Results'!G160="","",'(4).Midterm Results'!G160)</f>
        <v/>
      </c>
      <c r="H160" s="52" t="str">
        <f>IF('(4).Midterm Results'!H160="","",'(4).Midterm Results'!H160)</f>
        <v/>
      </c>
      <c r="I160" s="52" t="str">
        <f>IF('(4).Midterm Results'!I160="","",'(4).Midterm Results'!I160)</f>
        <v/>
      </c>
      <c r="J160" s="52" t="str">
        <f>IF('(4).Midterm Results'!J160="","",'(4).Midterm Results'!J160)</f>
        <v/>
      </c>
      <c r="K160" s="52" t="str">
        <f>IF('(4).Midterm Results'!K160="","",'(4).Midterm Results'!K160)</f>
        <v/>
      </c>
      <c r="L160" s="52" t="str">
        <f>IF('(4).Midterm Results'!L160="","",'(4).Midterm Results'!L160)</f>
        <v/>
      </c>
      <c r="M160" s="52" t="str">
        <f>IF('(4).Midterm Results'!M160="","",'(4).Midterm Results'!M160)</f>
        <v/>
      </c>
      <c r="N160" s="52" t="str">
        <f>IF('(4).Midterm Results'!N160="","",'(4).Midterm Results'!N160)</f>
        <v/>
      </c>
      <c r="O160" s="53" t="str">
        <f>IF('(4).Midterm Results'!O160="","",'(4).Midterm Results'!O160)</f>
        <v/>
      </c>
      <c r="P160" s="51" t="str">
        <f>IF('(5).Promotion Daily'!AH160="","",'(5).Promotion Daily'!AH160)</f>
        <v/>
      </c>
      <c r="Q160" s="52" t="str">
        <f>IF('(6).Promotion Exam'!D160="","",'(6).Promotion Exam'!D160)</f>
        <v/>
      </c>
      <c r="R160" s="52" t="str">
        <f>IF('(6).Promotion Exam'!E160="","",'(6).Promotion Exam'!E160)</f>
        <v/>
      </c>
      <c r="S160" s="52" t="str">
        <f>IF('(6).Promotion Exam'!F160="","",'(6).Promotion Exam'!F160)</f>
        <v/>
      </c>
      <c r="T160" s="52" t="str">
        <f>IF('(6).Promotion Exam'!G160="","",'(6).Promotion Exam'!G160)</f>
        <v/>
      </c>
      <c r="U160" s="52" t="str">
        <f>IF('(6).Promotion Exam'!H160="","",'(6).Promotion Exam'!H160)</f>
        <v/>
      </c>
      <c r="V160" s="52" t="str">
        <f>IF('(6).Promotion Exam'!I160="","",'(6).Promotion Exam'!I160)</f>
        <v/>
      </c>
      <c r="W160" s="52" t="str">
        <f>IF('(6).Promotion Exam'!J160="","",'(6).Promotion Exam'!J160)</f>
        <v/>
      </c>
      <c r="X160" s="52" t="str">
        <f>IF('(6).Promotion Exam'!K160="","",'(6).Promotion Exam'!K160)</f>
        <v/>
      </c>
      <c r="Y160" s="52" t="str">
        <f>IF('(6).Promotion Exam'!L160="","",'(6).Promotion Exam'!L160)</f>
        <v/>
      </c>
      <c r="Z160" s="52" t="str">
        <f>IF('(6).Promotion Exam'!M160="","",'(6).Promotion Exam'!M160)</f>
        <v/>
      </c>
      <c r="AA160" s="53" t="str">
        <f>IF(B160="","",IF(P160="Incomplete","Incomplete",IF('(6).Promotion Exam'!N160="Change","Change",IF('(6).Promotion Exam'!N160="Stop","Stop",IF('(6).Promotion Exam'!N160="Incomplete","Incomplete",IF(COUNTBLANK(Q160:Z160)&gt;=1,"Incomplete",P160*20%+SUM(Q160:Z160)*80%))))))</f>
        <v/>
      </c>
      <c r="AB160" s="54" t="str">
        <f t="shared" si="32"/>
        <v/>
      </c>
      <c r="AC160" s="55" t="str">
        <f t="shared" si="33"/>
        <v/>
      </c>
      <c r="AD160" s="55" t="str">
        <f t="shared" si="34"/>
        <v/>
      </c>
      <c r="AE160" s="56" t="str">
        <f t="shared" si="35"/>
        <v/>
      </c>
      <c r="AF160" s="57" t="str">
        <f t="shared" si="36"/>
        <v/>
      </c>
      <c r="AG160" s="97" t="str">
        <f t="shared" si="37"/>
        <v/>
      </c>
      <c r="AH160" s="58" t="str">
        <f t="shared" si="38"/>
        <v/>
      </c>
      <c r="AI160" s="58" t="str">
        <f t="shared" si="39"/>
        <v/>
      </c>
      <c r="AJ160" s="59"/>
    </row>
    <row r="161" spans="1:36" ht="15.95" customHeight="1">
      <c r="A161" s="66">
        <v>11</v>
      </c>
      <c r="B161" s="63" t="str">
        <f>IF('(6).Promotion Exam'!B161="","",'(6).Promotion Exam'!B161)</f>
        <v/>
      </c>
      <c r="C161" s="67" t="str">
        <f>IF('(6).Promotion Exam'!C161="","",'(6).Promotion Exam'!C161)</f>
        <v/>
      </c>
      <c r="D161" s="51" t="str">
        <f>IF('(4).Midterm Results'!D161="","",'(4).Midterm Results'!D161)</f>
        <v/>
      </c>
      <c r="E161" s="52" t="str">
        <f>IF('(4).Midterm Results'!E161="","",'(4).Midterm Results'!E161)</f>
        <v/>
      </c>
      <c r="F161" s="52" t="str">
        <f>IF('(4).Midterm Results'!F161="","",'(4).Midterm Results'!F161)</f>
        <v/>
      </c>
      <c r="G161" s="52" t="str">
        <f>IF('(4).Midterm Results'!G161="","",'(4).Midterm Results'!G161)</f>
        <v/>
      </c>
      <c r="H161" s="52" t="str">
        <f>IF('(4).Midterm Results'!H161="","",'(4).Midterm Results'!H161)</f>
        <v/>
      </c>
      <c r="I161" s="52" t="str">
        <f>IF('(4).Midterm Results'!I161="","",'(4).Midterm Results'!I161)</f>
        <v/>
      </c>
      <c r="J161" s="52" t="str">
        <f>IF('(4).Midterm Results'!J161="","",'(4).Midterm Results'!J161)</f>
        <v/>
      </c>
      <c r="K161" s="52" t="str">
        <f>IF('(4).Midterm Results'!K161="","",'(4).Midterm Results'!K161)</f>
        <v/>
      </c>
      <c r="L161" s="52" t="str">
        <f>IF('(4).Midterm Results'!L161="","",'(4).Midterm Results'!L161)</f>
        <v/>
      </c>
      <c r="M161" s="52" t="str">
        <f>IF('(4).Midterm Results'!M161="","",'(4).Midterm Results'!M161)</f>
        <v/>
      </c>
      <c r="N161" s="52" t="str">
        <f>IF('(4).Midterm Results'!N161="","",'(4).Midterm Results'!N161)</f>
        <v/>
      </c>
      <c r="O161" s="53" t="str">
        <f>IF('(4).Midterm Results'!O161="","",'(4).Midterm Results'!O161)</f>
        <v/>
      </c>
      <c r="P161" s="51" t="str">
        <f>IF('(5).Promotion Daily'!AH161="","",'(5).Promotion Daily'!AH161)</f>
        <v/>
      </c>
      <c r="Q161" s="52" t="str">
        <f>IF('(6).Promotion Exam'!D161="","",'(6).Promotion Exam'!D161)</f>
        <v/>
      </c>
      <c r="R161" s="52" t="str">
        <f>IF('(6).Promotion Exam'!E161="","",'(6).Promotion Exam'!E161)</f>
        <v/>
      </c>
      <c r="S161" s="52" t="str">
        <f>IF('(6).Promotion Exam'!F161="","",'(6).Promotion Exam'!F161)</f>
        <v/>
      </c>
      <c r="T161" s="52" t="str">
        <f>IF('(6).Promotion Exam'!G161="","",'(6).Promotion Exam'!G161)</f>
        <v/>
      </c>
      <c r="U161" s="52" t="str">
        <f>IF('(6).Promotion Exam'!H161="","",'(6).Promotion Exam'!H161)</f>
        <v/>
      </c>
      <c r="V161" s="52" t="str">
        <f>IF('(6).Promotion Exam'!I161="","",'(6).Promotion Exam'!I161)</f>
        <v/>
      </c>
      <c r="W161" s="52" t="str">
        <f>IF('(6).Promotion Exam'!J161="","",'(6).Promotion Exam'!J161)</f>
        <v/>
      </c>
      <c r="X161" s="52" t="str">
        <f>IF('(6).Promotion Exam'!K161="","",'(6).Promotion Exam'!K161)</f>
        <v/>
      </c>
      <c r="Y161" s="52" t="str">
        <f>IF('(6).Promotion Exam'!L161="","",'(6).Promotion Exam'!L161)</f>
        <v/>
      </c>
      <c r="Z161" s="52" t="str">
        <f>IF('(6).Promotion Exam'!M161="","",'(6).Promotion Exam'!M161)</f>
        <v/>
      </c>
      <c r="AA161" s="53" t="str">
        <f>IF(B161="","",IF(P161="Incomplete","Incomplete",IF('(6).Promotion Exam'!N161="Change","Change",IF('(6).Promotion Exam'!N161="Stop","Stop",IF('(6).Promotion Exam'!N161="Incomplete","Incomplete",IF(COUNTBLANK(Q161:Z161)&gt;=1,"Incomplete",P161*20%+SUM(Q161:Z161)*80%))))))</f>
        <v/>
      </c>
      <c r="AB161" s="54" t="str">
        <f t="shared" si="32"/>
        <v/>
      </c>
      <c r="AC161" s="55" t="str">
        <f t="shared" si="33"/>
        <v/>
      </c>
      <c r="AD161" s="55" t="str">
        <f t="shared" si="34"/>
        <v/>
      </c>
      <c r="AE161" s="56" t="str">
        <f t="shared" si="35"/>
        <v/>
      </c>
      <c r="AF161" s="57" t="str">
        <f t="shared" si="36"/>
        <v/>
      </c>
      <c r="AG161" s="97" t="str">
        <f t="shared" si="37"/>
        <v/>
      </c>
      <c r="AH161" s="58" t="str">
        <f t="shared" si="38"/>
        <v/>
      </c>
      <c r="AI161" s="58" t="str">
        <f t="shared" si="39"/>
        <v/>
      </c>
      <c r="AJ161" s="59"/>
    </row>
    <row r="162" spans="1:36" ht="15.95" customHeight="1">
      <c r="A162" s="66">
        <v>12</v>
      </c>
      <c r="B162" s="63" t="str">
        <f>IF('(6).Promotion Exam'!B162="","",'(6).Promotion Exam'!B162)</f>
        <v/>
      </c>
      <c r="C162" s="67" t="str">
        <f>IF('(6).Promotion Exam'!C162="","",'(6).Promotion Exam'!C162)</f>
        <v/>
      </c>
      <c r="D162" s="51" t="str">
        <f>IF('(4).Midterm Results'!D162="","",'(4).Midterm Results'!D162)</f>
        <v/>
      </c>
      <c r="E162" s="52" t="str">
        <f>IF('(4).Midterm Results'!E162="","",'(4).Midterm Results'!E162)</f>
        <v/>
      </c>
      <c r="F162" s="52" t="str">
        <f>IF('(4).Midterm Results'!F162="","",'(4).Midterm Results'!F162)</f>
        <v/>
      </c>
      <c r="G162" s="52" t="str">
        <f>IF('(4).Midterm Results'!G162="","",'(4).Midterm Results'!G162)</f>
        <v/>
      </c>
      <c r="H162" s="52" t="str">
        <f>IF('(4).Midterm Results'!H162="","",'(4).Midterm Results'!H162)</f>
        <v/>
      </c>
      <c r="I162" s="52" t="str">
        <f>IF('(4).Midterm Results'!I162="","",'(4).Midterm Results'!I162)</f>
        <v/>
      </c>
      <c r="J162" s="52" t="str">
        <f>IF('(4).Midterm Results'!J162="","",'(4).Midterm Results'!J162)</f>
        <v/>
      </c>
      <c r="K162" s="52" t="str">
        <f>IF('(4).Midterm Results'!K162="","",'(4).Midterm Results'!K162)</f>
        <v/>
      </c>
      <c r="L162" s="52" t="str">
        <f>IF('(4).Midterm Results'!L162="","",'(4).Midterm Results'!L162)</f>
        <v/>
      </c>
      <c r="M162" s="52" t="str">
        <f>IF('(4).Midterm Results'!M162="","",'(4).Midterm Results'!M162)</f>
        <v/>
      </c>
      <c r="N162" s="52" t="str">
        <f>IF('(4).Midterm Results'!N162="","",'(4).Midterm Results'!N162)</f>
        <v/>
      </c>
      <c r="O162" s="53" t="str">
        <f>IF('(4).Midterm Results'!O162="","",'(4).Midterm Results'!O162)</f>
        <v/>
      </c>
      <c r="P162" s="51" t="str">
        <f>IF('(5).Promotion Daily'!AH162="","",'(5).Promotion Daily'!AH162)</f>
        <v/>
      </c>
      <c r="Q162" s="52" t="str">
        <f>IF('(6).Promotion Exam'!D162="","",'(6).Promotion Exam'!D162)</f>
        <v/>
      </c>
      <c r="R162" s="52" t="str">
        <f>IF('(6).Promotion Exam'!E162="","",'(6).Promotion Exam'!E162)</f>
        <v/>
      </c>
      <c r="S162" s="52" t="str">
        <f>IF('(6).Promotion Exam'!F162="","",'(6).Promotion Exam'!F162)</f>
        <v/>
      </c>
      <c r="T162" s="52" t="str">
        <f>IF('(6).Promotion Exam'!G162="","",'(6).Promotion Exam'!G162)</f>
        <v/>
      </c>
      <c r="U162" s="52" t="str">
        <f>IF('(6).Promotion Exam'!H162="","",'(6).Promotion Exam'!H162)</f>
        <v/>
      </c>
      <c r="V162" s="52" t="str">
        <f>IF('(6).Promotion Exam'!I162="","",'(6).Promotion Exam'!I162)</f>
        <v/>
      </c>
      <c r="W162" s="52" t="str">
        <f>IF('(6).Promotion Exam'!J162="","",'(6).Promotion Exam'!J162)</f>
        <v/>
      </c>
      <c r="X162" s="52" t="str">
        <f>IF('(6).Promotion Exam'!K162="","",'(6).Promotion Exam'!K162)</f>
        <v/>
      </c>
      <c r="Y162" s="52" t="str">
        <f>IF('(6).Promotion Exam'!L162="","",'(6).Promotion Exam'!L162)</f>
        <v/>
      </c>
      <c r="Z162" s="52" t="str">
        <f>IF('(6).Promotion Exam'!M162="","",'(6).Promotion Exam'!M162)</f>
        <v/>
      </c>
      <c r="AA162" s="53" t="str">
        <f>IF(B162="","",IF(P162="Incomplete","Incomplete",IF('(6).Promotion Exam'!N162="Change","Change",IF('(6).Promotion Exam'!N162="Stop","Stop",IF('(6).Promotion Exam'!N162="Incomplete","Incomplete",IF(COUNTBLANK(Q162:Z162)&gt;=1,"Incomplete",P162*20%+SUM(Q162:Z162)*80%))))))</f>
        <v/>
      </c>
      <c r="AB162" s="54" t="str">
        <f t="shared" si="32"/>
        <v/>
      </c>
      <c r="AC162" s="55" t="str">
        <f t="shared" si="33"/>
        <v/>
      </c>
      <c r="AD162" s="55" t="str">
        <f t="shared" si="34"/>
        <v/>
      </c>
      <c r="AE162" s="56" t="str">
        <f t="shared" si="35"/>
        <v/>
      </c>
      <c r="AF162" s="57" t="str">
        <f t="shared" si="36"/>
        <v/>
      </c>
      <c r="AG162" s="97" t="str">
        <f t="shared" si="37"/>
        <v/>
      </c>
      <c r="AH162" s="58" t="str">
        <f t="shared" si="38"/>
        <v/>
      </c>
      <c r="AI162" s="58" t="str">
        <f t="shared" si="39"/>
        <v/>
      </c>
      <c r="AJ162" s="59"/>
    </row>
    <row r="163" spans="1:36" ht="15.95" customHeight="1">
      <c r="A163" s="66">
        <v>13</v>
      </c>
      <c r="B163" s="63" t="str">
        <f>IF('(6).Promotion Exam'!B163="","",'(6).Promotion Exam'!B163)</f>
        <v/>
      </c>
      <c r="C163" s="67" t="str">
        <f>IF('(6).Promotion Exam'!C163="","",'(6).Promotion Exam'!C163)</f>
        <v/>
      </c>
      <c r="D163" s="51" t="str">
        <f>IF('(4).Midterm Results'!D163="","",'(4).Midterm Results'!D163)</f>
        <v/>
      </c>
      <c r="E163" s="52" t="str">
        <f>IF('(4).Midterm Results'!E163="","",'(4).Midterm Results'!E163)</f>
        <v/>
      </c>
      <c r="F163" s="52" t="str">
        <f>IF('(4).Midterm Results'!F163="","",'(4).Midterm Results'!F163)</f>
        <v/>
      </c>
      <c r="G163" s="52" t="str">
        <f>IF('(4).Midterm Results'!G163="","",'(4).Midterm Results'!G163)</f>
        <v/>
      </c>
      <c r="H163" s="52" t="str">
        <f>IF('(4).Midterm Results'!H163="","",'(4).Midterm Results'!H163)</f>
        <v/>
      </c>
      <c r="I163" s="52" t="str">
        <f>IF('(4).Midterm Results'!I163="","",'(4).Midterm Results'!I163)</f>
        <v/>
      </c>
      <c r="J163" s="52" t="str">
        <f>IF('(4).Midterm Results'!J163="","",'(4).Midterm Results'!J163)</f>
        <v/>
      </c>
      <c r="K163" s="52" t="str">
        <f>IF('(4).Midterm Results'!K163="","",'(4).Midterm Results'!K163)</f>
        <v/>
      </c>
      <c r="L163" s="52" t="str">
        <f>IF('(4).Midterm Results'!L163="","",'(4).Midterm Results'!L163)</f>
        <v/>
      </c>
      <c r="M163" s="52" t="str">
        <f>IF('(4).Midterm Results'!M163="","",'(4).Midterm Results'!M163)</f>
        <v/>
      </c>
      <c r="N163" s="52" t="str">
        <f>IF('(4).Midterm Results'!N163="","",'(4).Midterm Results'!N163)</f>
        <v/>
      </c>
      <c r="O163" s="53" t="str">
        <f>IF('(4).Midterm Results'!O163="","",'(4).Midterm Results'!O163)</f>
        <v/>
      </c>
      <c r="P163" s="51" t="str">
        <f>IF('(5).Promotion Daily'!AH163="","",'(5).Promotion Daily'!AH163)</f>
        <v/>
      </c>
      <c r="Q163" s="52" t="str">
        <f>IF('(6).Promotion Exam'!D163="","",'(6).Promotion Exam'!D163)</f>
        <v/>
      </c>
      <c r="R163" s="52" t="str">
        <f>IF('(6).Promotion Exam'!E163="","",'(6).Promotion Exam'!E163)</f>
        <v/>
      </c>
      <c r="S163" s="52" t="str">
        <f>IF('(6).Promotion Exam'!F163="","",'(6).Promotion Exam'!F163)</f>
        <v/>
      </c>
      <c r="T163" s="52" t="str">
        <f>IF('(6).Promotion Exam'!G163="","",'(6).Promotion Exam'!G163)</f>
        <v/>
      </c>
      <c r="U163" s="52" t="str">
        <f>IF('(6).Promotion Exam'!H163="","",'(6).Promotion Exam'!H163)</f>
        <v/>
      </c>
      <c r="V163" s="52" t="str">
        <f>IF('(6).Promotion Exam'!I163="","",'(6).Promotion Exam'!I163)</f>
        <v/>
      </c>
      <c r="W163" s="52" t="str">
        <f>IF('(6).Promotion Exam'!J163="","",'(6).Promotion Exam'!J163)</f>
        <v/>
      </c>
      <c r="X163" s="52" t="str">
        <f>IF('(6).Promotion Exam'!K163="","",'(6).Promotion Exam'!K163)</f>
        <v/>
      </c>
      <c r="Y163" s="52" t="str">
        <f>IF('(6).Promotion Exam'!L163="","",'(6).Promotion Exam'!L163)</f>
        <v/>
      </c>
      <c r="Z163" s="52" t="str">
        <f>IF('(6).Promotion Exam'!M163="","",'(6).Promotion Exam'!M163)</f>
        <v/>
      </c>
      <c r="AA163" s="53" t="str">
        <f>IF(B163="","",IF(P163="Incomplete","Incomplete",IF('(6).Promotion Exam'!N163="Change","Change",IF('(6).Promotion Exam'!N163="Stop","Stop",IF('(6).Promotion Exam'!N163="Incomplete","Incomplete",IF(COUNTBLANK(Q163:Z163)&gt;=1,"Incomplete",P163*20%+SUM(Q163:Z163)*80%))))))</f>
        <v/>
      </c>
      <c r="AB163" s="54" t="str">
        <f t="shared" si="32"/>
        <v/>
      </c>
      <c r="AC163" s="55" t="str">
        <f t="shared" si="33"/>
        <v/>
      </c>
      <c r="AD163" s="55" t="str">
        <f t="shared" si="34"/>
        <v/>
      </c>
      <c r="AE163" s="56" t="str">
        <f t="shared" si="35"/>
        <v/>
      </c>
      <c r="AF163" s="57" t="str">
        <f t="shared" si="36"/>
        <v/>
      </c>
      <c r="AG163" s="97" t="str">
        <f t="shared" si="37"/>
        <v/>
      </c>
      <c r="AH163" s="58" t="str">
        <f t="shared" si="38"/>
        <v/>
      </c>
      <c r="AI163" s="58" t="str">
        <f t="shared" si="39"/>
        <v/>
      </c>
      <c r="AJ163" s="59"/>
    </row>
    <row r="164" spans="1:36" ht="15.95" customHeight="1">
      <c r="A164" s="66">
        <v>14</v>
      </c>
      <c r="B164" s="63" t="str">
        <f>IF('(6).Promotion Exam'!B164="","",'(6).Promotion Exam'!B164)</f>
        <v/>
      </c>
      <c r="C164" s="67" t="str">
        <f>IF('(6).Promotion Exam'!C164="","",'(6).Promotion Exam'!C164)</f>
        <v/>
      </c>
      <c r="D164" s="51" t="str">
        <f>IF('(4).Midterm Results'!D164="","",'(4).Midterm Results'!D164)</f>
        <v/>
      </c>
      <c r="E164" s="52" t="str">
        <f>IF('(4).Midterm Results'!E164="","",'(4).Midterm Results'!E164)</f>
        <v/>
      </c>
      <c r="F164" s="52" t="str">
        <f>IF('(4).Midterm Results'!F164="","",'(4).Midterm Results'!F164)</f>
        <v/>
      </c>
      <c r="G164" s="52" t="str">
        <f>IF('(4).Midterm Results'!G164="","",'(4).Midterm Results'!G164)</f>
        <v/>
      </c>
      <c r="H164" s="52" t="str">
        <f>IF('(4).Midterm Results'!H164="","",'(4).Midterm Results'!H164)</f>
        <v/>
      </c>
      <c r="I164" s="52" t="str">
        <f>IF('(4).Midterm Results'!I164="","",'(4).Midterm Results'!I164)</f>
        <v/>
      </c>
      <c r="J164" s="52" t="str">
        <f>IF('(4).Midterm Results'!J164="","",'(4).Midterm Results'!J164)</f>
        <v/>
      </c>
      <c r="K164" s="52" t="str">
        <f>IF('(4).Midterm Results'!K164="","",'(4).Midterm Results'!K164)</f>
        <v/>
      </c>
      <c r="L164" s="52" t="str">
        <f>IF('(4).Midterm Results'!L164="","",'(4).Midterm Results'!L164)</f>
        <v/>
      </c>
      <c r="M164" s="52" t="str">
        <f>IF('(4).Midterm Results'!M164="","",'(4).Midterm Results'!M164)</f>
        <v/>
      </c>
      <c r="N164" s="52" t="str">
        <f>IF('(4).Midterm Results'!N164="","",'(4).Midterm Results'!N164)</f>
        <v/>
      </c>
      <c r="O164" s="53" t="str">
        <f>IF('(4).Midterm Results'!O164="","",'(4).Midterm Results'!O164)</f>
        <v/>
      </c>
      <c r="P164" s="51" t="str">
        <f>IF('(5).Promotion Daily'!AH164="","",'(5).Promotion Daily'!AH164)</f>
        <v/>
      </c>
      <c r="Q164" s="52" t="str">
        <f>IF('(6).Promotion Exam'!D164="","",'(6).Promotion Exam'!D164)</f>
        <v/>
      </c>
      <c r="R164" s="52" t="str">
        <f>IF('(6).Promotion Exam'!E164="","",'(6).Promotion Exam'!E164)</f>
        <v/>
      </c>
      <c r="S164" s="52" t="str">
        <f>IF('(6).Promotion Exam'!F164="","",'(6).Promotion Exam'!F164)</f>
        <v/>
      </c>
      <c r="T164" s="52" t="str">
        <f>IF('(6).Promotion Exam'!G164="","",'(6).Promotion Exam'!G164)</f>
        <v/>
      </c>
      <c r="U164" s="52" t="str">
        <f>IF('(6).Promotion Exam'!H164="","",'(6).Promotion Exam'!H164)</f>
        <v/>
      </c>
      <c r="V164" s="52" t="str">
        <f>IF('(6).Promotion Exam'!I164="","",'(6).Promotion Exam'!I164)</f>
        <v/>
      </c>
      <c r="W164" s="52" t="str">
        <f>IF('(6).Promotion Exam'!J164="","",'(6).Promotion Exam'!J164)</f>
        <v/>
      </c>
      <c r="X164" s="52" t="str">
        <f>IF('(6).Promotion Exam'!K164="","",'(6).Promotion Exam'!K164)</f>
        <v/>
      </c>
      <c r="Y164" s="52" t="str">
        <f>IF('(6).Promotion Exam'!L164="","",'(6).Promotion Exam'!L164)</f>
        <v/>
      </c>
      <c r="Z164" s="52" t="str">
        <f>IF('(6).Promotion Exam'!M164="","",'(6).Promotion Exam'!M164)</f>
        <v/>
      </c>
      <c r="AA164" s="53" t="str">
        <f>IF(B164="","",IF(P164="Incomplete","Incomplete",IF('(6).Promotion Exam'!N164="Change","Change",IF('(6).Promotion Exam'!N164="Stop","Stop",IF('(6).Promotion Exam'!N164="Incomplete","Incomplete",IF(COUNTBLANK(Q164:Z164)&gt;=1,"Incomplete",P164*20%+SUM(Q164:Z164)*80%))))))</f>
        <v/>
      </c>
      <c r="AB164" s="54" t="str">
        <f t="shared" si="32"/>
        <v/>
      </c>
      <c r="AC164" s="55" t="str">
        <f t="shared" si="33"/>
        <v/>
      </c>
      <c r="AD164" s="55" t="str">
        <f t="shared" si="34"/>
        <v/>
      </c>
      <c r="AE164" s="56" t="str">
        <f t="shared" si="35"/>
        <v/>
      </c>
      <c r="AF164" s="57" t="str">
        <f t="shared" si="36"/>
        <v/>
      </c>
      <c r="AG164" s="97" t="str">
        <f t="shared" si="37"/>
        <v/>
      </c>
      <c r="AH164" s="58" t="str">
        <f t="shared" si="38"/>
        <v/>
      </c>
      <c r="AI164" s="58" t="str">
        <f t="shared" si="39"/>
        <v/>
      </c>
      <c r="AJ164" s="59"/>
    </row>
    <row r="165" spans="1:36" ht="15.95" customHeight="1">
      <c r="A165" s="66">
        <v>15</v>
      </c>
      <c r="B165" s="63" t="str">
        <f>IF('(6).Promotion Exam'!B165="","",'(6).Promotion Exam'!B165)</f>
        <v/>
      </c>
      <c r="C165" s="67" t="str">
        <f>IF('(6).Promotion Exam'!C165="","",'(6).Promotion Exam'!C165)</f>
        <v/>
      </c>
      <c r="D165" s="51" t="str">
        <f>IF('(4).Midterm Results'!D165="","",'(4).Midterm Results'!D165)</f>
        <v/>
      </c>
      <c r="E165" s="52" t="str">
        <f>IF('(4).Midterm Results'!E165="","",'(4).Midterm Results'!E165)</f>
        <v/>
      </c>
      <c r="F165" s="52" t="str">
        <f>IF('(4).Midterm Results'!F165="","",'(4).Midterm Results'!F165)</f>
        <v/>
      </c>
      <c r="G165" s="52" t="str">
        <f>IF('(4).Midterm Results'!G165="","",'(4).Midterm Results'!G165)</f>
        <v/>
      </c>
      <c r="H165" s="52" t="str">
        <f>IF('(4).Midterm Results'!H165="","",'(4).Midterm Results'!H165)</f>
        <v/>
      </c>
      <c r="I165" s="52" t="str">
        <f>IF('(4).Midterm Results'!I165="","",'(4).Midterm Results'!I165)</f>
        <v/>
      </c>
      <c r="J165" s="52" t="str">
        <f>IF('(4).Midterm Results'!J165="","",'(4).Midterm Results'!J165)</f>
        <v/>
      </c>
      <c r="K165" s="52" t="str">
        <f>IF('(4).Midterm Results'!K165="","",'(4).Midterm Results'!K165)</f>
        <v/>
      </c>
      <c r="L165" s="52" t="str">
        <f>IF('(4).Midterm Results'!L165="","",'(4).Midterm Results'!L165)</f>
        <v/>
      </c>
      <c r="M165" s="52" t="str">
        <f>IF('(4).Midterm Results'!M165="","",'(4).Midterm Results'!M165)</f>
        <v/>
      </c>
      <c r="N165" s="52" t="str">
        <f>IF('(4).Midterm Results'!N165="","",'(4).Midterm Results'!N165)</f>
        <v/>
      </c>
      <c r="O165" s="53" t="str">
        <f>IF('(4).Midterm Results'!O165="","",'(4).Midterm Results'!O165)</f>
        <v/>
      </c>
      <c r="P165" s="51" t="str">
        <f>IF('(5).Promotion Daily'!AH165="","",'(5).Promotion Daily'!AH165)</f>
        <v/>
      </c>
      <c r="Q165" s="52" t="str">
        <f>IF('(6).Promotion Exam'!D165="","",'(6).Promotion Exam'!D165)</f>
        <v/>
      </c>
      <c r="R165" s="52" t="str">
        <f>IF('(6).Promotion Exam'!E165="","",'(6).Promotion Exam'!E165)</f>
        <v/>
      </c>
      <c r="S165" s="52" t="str">
        <f>IF('(6).Promotion Exam'!F165="","",'(6).Promotion Exam'!F165)</f>
        <v/>
      </c>
      <c r="T165" s="52" t="str">
        <f>IF('(6).Promotion Exam'!G165="","",'(6).Promotion Exam'!G165)</f>
        <v/>
      </c>
      <c r="U165" s="52" t="str">
        <f>IF('(6).Promotion Exam'!H165="","",'(6).Promotion Exam'!H165)</f>
        <v/>
      </c>
      <c r="V165" s="52" t="str">
        <f>IF('(6).Promotion Exam'!I165="","",'(6).Promotion Exam'!I165)</f>
        <v/>
      </c>
      <c r="W165" s="52" t="str">
        <f>IF('(6).Promotion Exam'!J165="","",'(6).Promotion Exam'!J165)</f>
        <v/>
      </c>
      <c r="X165" s="52" t="str">
        <f>IF('(6).Promotion Exam'!K165="","",'(6).Promotion Exam'!K165)</f>
        <v/>
      </c>
      <c r="Y165" s="52" t="str">
        <f>IF('(6).Promotion Exam'!L165="","",'(6).Promotion Exam'!L165)</f>
        <v/>
      </c>
      <c r="Z165" s="52" t="str">
        <f>IF('(6).Promotion Exam'!M165="","",'(6).Promotion Exam'!M165)</f>
        <v/>
      </c>
      <c r="AA165" s="53" t="str">
        <f>IF(B165="","",IF(P165="Incomplete","Incomplete",IF('(6).Promotion Exam'!N165="Change","Change",IF('(6).Promotion Exam'!N165="Stop","Stop",IF('(6).Promotion Exam'!N165="Incomplete","Incomplete",IF(COUNTBLANK(Q165:Z165)&gt;=1,"Incomplete",P165*20%+SUM(Q165:Z165)*80%))))))</f>
        <v/>
      </c>
      <c r="AB165" s="54" t="str">
        <f t="shared" si="32"/>
        <v/>
      </c>
      <c r="AC165" s="55" t="str">
        <f t="shared" si="33"/>
        <v/>
      </c>
      <c r="AD165" s="55" t="str">
        <f t="shared" si="34"/>
        <v/>
      </c>
      <c r="AE165" s="56" t="str">
        <f t="shared" si="35"/>
        <v/>
      </c>
      <c r="AF165" s="57" t="str">
        <f t="shared" si="36"/>
        <v/>
      </c>
      <c r="AG165" s="97" t="str">
        <f t="shared" si="37"/>
        <v/>
      </c>
      <c r="AH165" s="58" t="str">
        <f t="shared" si="38"/>
        <v/>
      </c>
      <c r="AI165" s="58" t="str">
        <f t="shared" si="39"/>
        <v/>
      </c>
      <c r="AJ165" s="59"/>
    </row>
    <row r="166" spans="1:36" ht="15.95" customHeight="1">
      <c r="A166" s="66">
        <v>16</v>
      </c>
      <c r="B166" s="63" t="str">
        <f>IF('(6).Promotion Exam'!B166="","",'(6).Promotion Exam'!B166)</f>
        <v/>
      </c>
      <c r="C166" s="67" t="str">
        <f>IF('(6).Promotion Exam'!C166="","",'(6).Promotion Exam'!C166)</f>
        <v/>
      </c>
      <c r="D166" s="51" t="str">
        <f>IF('(4).Midterm Results'!D166="","",'(4).Midterm Results'!D166)</f>
        <v/>
      </c>
      <c r="E166" s="52" t="str">
        <f>IF('(4).Midterm Results'!E166="","",'(4).Midterm Results'!E166)</f>
        <v/>
      </c>
      <c r="F166" s="52" t="str">
        <f>IF('(4).Midterm Results'!F166="","",'(4).Midterm Results'!F166)</f>
        <v/>
      </c>
      <c r="G166" s="52" t="str">
        <f>IF('(4).Midterm Results'!G166="","",'(4).Midterm Results'!G166)</f>
        <v/>
      </c>
      <c r="H166" s="52" t="str">
        <f>IF('(4).Midterm Results'!H166="","",'(4).Midterm Results'!H166)</f>
        <v/>
      </c>
      <c r="I166" s="52" t="str">
        <f>IF('(4).Midterm Results'!I166="","",'(4).Midterm Results'!I166)</f>
        <v/>
      </c>
      <c r="J166" s="52" t="str">
        <f>IF('(4).Midterm Results'!J166="","",'(4).Midterm Results'!J166)</f>
        <v/>
      </c>
      <c r="K166" s="52" t="str">
        <f>IF('(4).Midterm Results'!K166="","",'(4).Midterm Results'!K166)</f>
        <v/>
      </c>
      <c r="L166" s="52" t="str">
        <f>IF('(4).Midterm Results'!L166="","",'(4).Midterm Results'!L166)</f>
        <v/>
      </c>
      <c r="M166" s="52" t="str">
        <f>IF('(4).Midterm Results'!M166="","",'(4).Midterm Results'!M166)</f>
        <v/>
      </c>
      <c r="N166" s="52" t="str">
        <f>IF('(4).Midterm Results'!N166="","",'(4).Midterm Results'!N166)</f>
        <v/>
      </c>
      <c r="O166" s="53" t="str">
        <f>IF('(4).Midterm Results'!O166="","",'(4).Midterm Results'!O166)</f>
        <v/>
      </c>
      <c r="P166" s="51" t="str">
        <f>IF('(5).Promotion Daily'!AH166="","",'(5).Promotion Daily'!AH166)</f>
        <v/>
      </c>
      <c r="Q166" s="52" t="str">
        <f>IF('(6).Promotion Exam'!D166="","",'(6).Promotion Exam'!D166)</f>
        <v/>
      </c>
      <c r="R166" s="52" t="str">
        <f>IF('(6).Promotion Exam'!E166="","",'(6).Promotion Exam'!E166)</f>
        <v/>
      </c>
      <c r="S166" s="52" t="str">
        <f>IF('(6).Promotion Exam'!F166="","",'(6).Promotion Exam'!F166)</f>
        <v/>
      </c>
      <c r="T166" s="52" t="str">
        <f>IF('(6).Promotion Exam'!G166="","",'(6).Promotion Exam'!G166)</f>
        <v/>
      </c>
      <c r="U166" s="52" t="str">
        <f>IF('(6).Promotion Exam'!H166="","",'(6).Promotion Exam'!H166)</f>
        <v/>
      </c>
      <c r="V166" s="52" t="str">
        <f>IF('(6).Promotion Exam'!I166="","",'(6).Promotion Exam'!I166)</f>
        <v/>
      </c>
      <c r="W166" s="52" t="str">
        <f>IF('(6).Promotion Exam'!J166="","",'(6).Promotion Exam'!J166)</f>
        <v/>
      </c>
      <c r="X166" s="52" t="str">
        <f>IF('(6).Promotion Exam'!K166="","",'(6).Promotion Exam'!K166)</f>
        <v/>
      </c>
      <c r="Y166" s="52" t="str">
        <f>IF('(6).Promotion Exam'!L166="","",'(6).Promotion Exam'!L166)</f>
        <v/>
      </c>
      <c r="Z166" s="52" t="str">
        <f>IF('(6).Promotion Exam'!M166="","",'(6).Promotion Exam'!M166)</f>
        <v/>
      </c>
      <c r="AA166" s="53" t="str">
        <f>IF(B166="","",IF(P166="Incomplete","Incomplete",IF('(6).Promotion Exam'!N166="Change","Change",IF('(6).Promotion Exam'!N166="Stop","Stop",IF('(6).Promotion Exam'!N166="Incomplete","Incomplete",IF(COUNTBLANK(Q166:Z166)&gt;=1,"Incomplete",P166*20%+SUM(Q166:Z166)*80%))))))</f>
        <v/>
      </c>
      <c r="AB166" s="54" t="str">
        <f t="shared" si="32"/>
        <v/>
      </c>
      <c r="AC166" s="55" t="str">
        <f t="shared" si="33"/>
        <v/>
      </c>
      <c r="AD166" s="55" t="str">
        <f t="shared" si="34"/>
        <v/>
      </c>
      <c r="AE166" s="56" t="str">
        <f t="shared" si="35"/>
        <v/>
      </c>
      <c r="AF166" s="57" t="str">
        <f t="shared" si="36"/>
        <v/>
      </c>
      <c r="AG166" s="97" t="str">
        <f t="shared" si="37"/>
        <v/>
      </c>
      <c r="AH166" s="58" t="str">
        <f t="shared" si="38"/>
        <v/>
      </c>
      <c r="AI166" s="58" t="str">
        <f t="shared" si="39"/>
        <v/>
      </c>
      <c r="AJ166" s="59"/>
    </row>
    <row r="167" spans="1:36" ht="15.95" customHeight="1">
      <c r="A167" s="66">
        <v>17</v>
      </c>
      <c r="B167" s="63" t="str">
        <f>IF('(6).Promotion Exam'!B167="","",'(6).Promotion Exam'!B167)</f>
        <v/>
      </c>
      <c r="C167" s="67" t="str">
        <f>IF('(6).Promotion Exam'!C167="","",'(6).Promotion Exam'!C167)</f>
        <v/>
      </c>
      <c r="D167" s="51" t="str">
        <f>IF('(4).Midterm Results'!D167="","",'(4).Midterm Results'!D167)</f>
        <v/>
      </c>
      <c r="E167" s="52" t="str">
        <f>IF('(4).Midterm Results'!E167="","",'(4).Midterm Results'!E167)</f>
        <v/>
      </c>
      <c r="F167" s="52" t="str">
        <f>IF('(4).Midterm Results'!F167="","",'(4).Midterm Results'!F167)</f>
        <v/>
      </c>
      <c r="G167" s="52" t="str">
        <f>IF('(4).Midterm Results'!G167="","",'(4).Midterm Results'!G167)</f>
        <v/>
      </c>
      <c r="H167" s="52" t="str">
        <f>IF('(4).Midterm Results'!H167="","",'(4).Midterm Results'!H167)</f>
        <v/>
      </c>
      <c r="I167" s="52" t="str">
        <f>IF('(4).Midterm Results'!I167="","",'(4).Midterm Results'!I167)</f>
        <v/>
      </c>
      <c r="J167" s="52" t="str">
        <f>IF('(4).Midterm Results'!J167="","",'(4).Midterm Results'!J167)</f>
        <v/>
      </c>
      <c r="K167" s="52" t="str">
        <f>IF('(4).Midterm Results'!K167="","",'(4).Midterm Results'!K167)</f>
        <v/>
      </c>
      <c r="L167" s="52" t="str">
        <f>IF('(4).Midterm Results'!L167="","",'(4).Midterm Results'!L167)</f>
        <v/>
      </c>
      <c r="M167" s="52" t="str">
        <f>IF('(4).Midterm Results'!M167="","",'(4).Midterm Results'!M167)</f>
        <v/>
      </c>
      <c r="N167" s="52" t="str">
        <f>IF('(4).Midterm Results'!N167="","",'(4).Midterm Results'!N167)</f>
        <v/>
      </c>
      <c r="O167" s="53" t="str">
        <f>IF('(4).Midterm Results'!O167="","",'(4).Midterm Results'!O167)</f>
        <v/>
      </c>
      <c r="P167" s="51" t="str">
        <f>IF('(5).Promotion Daily'!AH167="","",'(5).Promotion Daily'!AH167)</f>
        <v/>
      </c>
      <c r="Q167" s="52" t="str">
        <f>IF('(6).Promotion Exam'!D167="","",'(6).Promotion Exam'!D167)</f>
        <v/>
      </c>
      <c r="R167" s="52" t="str">
        <f>IF('(6).Promotion Exam'!E167="","",'(6).Promotion Exam'!E167)</f>
        <v/>
      </c>
      <c r="S167" s="52" t="str">
        <f>IF('(6).Promotion Exam'!F167="","",'(6).Promotion Exam'!F167)</f>
        <v/>
      </c>
      <c r="T167" s="52" t="str">
        <f>IF('(6).Promotion Exam'!G167="","",'(6).Promotion Exam'!G167)</f>
        <v/>
      </c>
      <c r="U167" s="52" t="str">
        <f>IF('(6).Promotion Exam'!H167="","",'(6).Promotion Exam'!H167)</f>
        <v/>
      </c>
      <c r="V167" s="52" t="str">
        <f>IF('(6).Promotion Exam'!I167="","",'(6).Promotion Exam'!I167)</f>
        <v/>
      </c>
      <c r="W167" s="52" t="str">
        <f>IF('(6).Promotion Exam'!J167="","",'(6).Promotion Exam'!J167)</f>
        <v/>
      </c>
      <c r="X167" s="52" t="str">
        <f>IF('(6).Promotion Exam'!K167="","",'(6).Promotion Exam'!K167)</f>
        <v/>
      </c>
      <c r="Y167" s="52" t="str">
        <f>IF('(6).Promotion Exam'!L167="","",'(6).Promotion Exam'!L167)</f>
        <v/>
      </c>
      <c r="Z167" s="52" t="str">
        <f>IF('(6).Promotion Exam'!M167="","",'(6).Promotion Exam'!M167)</f>
        <v/>
      </c>
      <c r="AA167" s="53" t="str">
        <f>IF(B167="","",IF(P167="Incomplete","Incomplete",IF('(6).Promotion Exam'!N167="Change","Change",IF('(6).Promotion Exam'!N167="Stop","Stop",IF('(6).Promotion Exam'!N167="Incomplete","Incomplete",IF(COUNTBLANK(Q167:Z167)&gt;=1,"Incomplete",P167*20%+SUM(Q167:Z167)*80%))))))</f>
        <v/>
      </c>
      <c r="AB167" s="54" t="str">
        <f t="shared" si="32"/>
        <v/>
      </c>
      <c r="AC167" s="55" t="str">
        <f t="shared" si="33"/>
        <v/>
      </c>
      <c r="AD167" s="55" t="str">
        <f t="shared" si="34"/>
        <v/>
      </c>
      <c r="AE167" s="56" t="str">
        <f t="shared" si="35"/>
        <v/>
      </c>
      <c r="AF167" s="57" t="str">
        <f t="shared" si="36"/>
        <v/>
      </c>
      <c r="AG167" s="97" t="str">
        <f t="shared" si="37"/>
        <v/>
      </c>
      <c r="AH167" s="58" t="str">
        <f t="shared" si="38"/>
        <v/>
      </c>
      <c r="AI167" s="58" t="str">
        <f t="shared" si="39"/>
        <v/>
      </c>
      <c r="AJ167" s="59"/>
    </row>
    <row r="168" spans="1:36" ht="15.95" customHeight="1">
      <c r="A168" s="66">
        <v>18</v>
      </c>
      <c r="B168" s="63" t="str">
        <f>IF('(6).Promotion Exam'!B168="","",'(6).Promotion Exam'!B168)</f>
        <v/>
      </c>
      <c r="C168" s="67" t="str">
        <f>IF('(6).Promotion Exam'!C168="","",'(6).Promotion Exam'!C168)</f>
        <v/>
      </c>
      <c r="D168" s="51" t="str">
        <f>IF('(4).Midterm Results'!D168="","",'(4).Midterm Results'!D168)</f>
        <v/>
      </c>
      <c r="E168" s="52" t="str">
        <f>IF('(4).Midterm Results'!E168="","",'(4).Midterm Results'!E168)</f>
        <v/>
      </c>
      <c r="F168" s="52" t="str">
        <f>IF('(4).Midterm Results'!F168="","",'(4).Midterm Results'!F168)</f>
        <v/>
      </c>
      <c r="G168" s="52" t="str">
        <f>IF('(4).Midterm Results'!G168="","",'(4).Midterm Results'!G168)</f>
        <v/>
      </c>
      <c r="H168" s="52" t="str">
        <f>IF('(4).Midterm Results'!H168="","",'(4).Midterm Results'!H168)</f>
        <v/>
      </c>
      <c r="I168" s="52" t="str">
        <f>IF('(4).Midterm Results'!I168="","",'(4).Midterm Results'!I168)</f>
        <v/>
      </c>
      <c r="J168" s="52" t="str">
        <f>IF('(4).Midterm Results'!J168="","",'(4).Midterm Results'!J168)</f>
        <v/>
      </c>
      <c r="K168" s="52" t="str">
        <f>IF('(4).Midterm Results'!K168="","",'(4).Midterm Results'!K168)</f>
        <v/>
      </c>
      <c r="L168" s="52" t="str">
        <f>IF('(4).Midterm Results'!L168="","",'(4).Midterm Results'!L168)</f>
        <v/>
      </c>
      <c r="M168" s="52" t="str">
        <f>IF('(4).Midterm Results'!M168="","",'(4).Midterm Results'!M168)</f>
        <v/>
      </c>
      <c r="N168" s="52" t="str">
        <f>IF('(4).Midterm Results'!N168="","",'(4).Midterm Results'!N168)</f>
        <v/>
      </c>
      <c r="O168" s="53" t="str">
        <f>IF('(4).Midterm Results'!O168="","",'(4).Midterm Results'!O168)</f>
        <v/>
      </c>
      <c r="P168" s="51" t="str">
        <f>IF('(5).Promotion Daily'!AH168="","",'(5).Promotion Daily'!AH168)</f>
        <v/>
      </c>
      <c r="Q168" s="52" t="str">
        <f>IF('(6).Promotion Exam'!D168="","",'(6).Promotion Exam'!D168)</f>
        <v/>
      </c>
      <c r="R168" s="52" t="str">
        <f>IF('(6).Promotion Exam'!E168="","",'(6).Promotion Exam'!E168)</f>
        <v/>
      </c>
      <c r="S168" s="52" t="str">
        <f>IF('(6).Promotion Exam'!F168="","",'(6).Promotion Exam'!F168)</f>
        <v/>
      </c>
      <c r="T168" s="52" t="str">
        <f>IF('(6).Promotion Exam'!G168="","",'(6).Promotion Exam'!G168)</f>
        <v/>
      </c>
      <c r="U168" s="52" t="str">
        <f>IF('(6).Promotion Exam'!H168="","",'(6).Promotion Exam'!H168)</f>
        <v/>
      </c>
      <c r="V168" s="52" t="str">
        <f>IF('(6).Promotion Exam'!I168="","",'(6).Promotion Exam'!I168)</f>
        <v/>
      </c>
      <c r="W168" s="52" t="str">
        <f>IF('(6).Promotion Exam'!J168="","",'(6).Promotion Exam'!J168)</f>
        <v/>
      </c>
      <c r="X168" s="52" t="str">
        <f>IF('(6).Promotion Exam'!K168="","",'(6).Promotion Exam'!K168)</f>
        <v/>
      </c>
      <c r="Y168" s="52" t="str">
        <f>IF('(6).Promotion Exam'!L168="","",'(6).Promotion Exam'!L168)</f>
        <v/>
      </c>
      <c r="Z168" s="52" t="str">
        <f>IF('(6).Promotion Exam'!M168="","",'(6).Promotion Exam'!M168)</f>
        <v/>
      </c>
      <c r="AA168" s="53" t="str">
        <f>IF(B168="","",IF(P168="Incomplete","Incomplete",IF('(6).Promotion Exam'!N168="Change","Change",IF('(6).Promotion Exam'!N168="Stop","Stop",IF('(6).Promotion Exam'!N168="Incomplete","Incomplete",IF(COUNTBLANK(Q168:Z168)&gt;=1,"Incomplete",P168*20%+SUM(Q168:Z168)*80%))))))</f>
        <v/>
      </c>
      <c r="AB168" s="54" t="str">
        <f t="shared" si="32"/>
        <v/>
      </c>
      <c r="AC168" s="55" t="str">
        <f t="shared" si="33"/>
        <v/>
      </c>
      <c r="AD168" s="55" t="str">
        <f t="shared" si="34"/>
        <v/>
      </c>
      <c r="AE168" s="56" t="str">
        <f t="shared" si="35"/>
        <v/>
      </c>
      <c r="AF168" s="57" t="str">
        <f t="shared" si="36"/>
        <v/>
      </c>
      <c r="AG168" s="97" t="str">
        <f t="shared" si="37"/>
        <v/>
      </c>
      <c r="AH168" s="58" t="str">
        <f t="shared" si="38"/>
        <v/>
      </c>
      <c r="AI168" s="58" t="str">
        <f t="shared" si="39"/>
        <v/>
      </c>
      <c r="AJ168" s="59"/>
    </row>
    <row r="169" spans="1:36" ht="15.95" customHeight="1">
      <c r="A169" s="66">
        <v>19</v>
      </c>
      <c r="B169" s="63" t="str">
        <f>IF('(6).Promotion Exam'!B169="","",'(6).Promotion Exam'!B169)</f>
        <v/>
      </c>
      <c r="C169" s="67" t="str">
        <f>IF('(6).Promotion Exam'!C169="","",'(6).Promotion Exam'!C169)</f>
        <v/>
      </c>
      <c r="D169" s="51" t="str">
        <f>IF('(4).Midterm Results'!D169="","",'(4).Midterm Results'!D169)</f>
        <v/>
      </c>
      <c r="E169" s="52" t="str">
        <f>IF('(4).Midterm Results'!E169="","",'(4).Midterm Results'!E169)</f>
        <v/>
      </c>
      <c r="F169" s="52" t="str">
        <f>IF('(4).Midterm Results'!F169="","",'(4).Midterm Results'!F169)</f>
        <v/>
      </c>
      <c r="G169" s="52" t="str">
        <f>IF('(4).Midterm Results'!G169="","",'(4).Midterm Results'!G169)</f>
        <v/>
      </c>
      <c r="H169" s="52" t="str">
        <f>IF('(4).Midterm Results'!H169="","",'(4).Midterm Results'!H169)</f>
        <v/>
      </c>
      <c r="I169" s="52" t="str">
        <f>IF('(4).Midterm Results'!I169="","",'(4).Midterm Results'!I169)</f>
        <v/>
      </c>
      <c r="J169" s="52" t="str">
        <f>IF('(4).Midterm Results'!J169="","",'(4).Midterm Results'!J169)</f>
        <v/>
      </c>
      <c r="K169" s="52" t="str">
        <f>IF('(4).Midterm Results'!K169="","",'(4).Midterm Results'!K169)</f>
        <v/>
      </c>
      <c r="L169" s="52" t="str">
        <f>IF('(4).Midterm Results'!L169="","",'(4).Midterm Results'!L169)</f>
        <v/>
      </c>
      <c r="M169" s="52" t="str">
        <f>IF('(4).Midterm Results'!M169="","",'(4).Midterm Results'!M169)</f>
        <v/>
      </c>
      <c r="N169" s="52" t="str">
        <f>IF('(4).Midterm Results'!N169="","",'(4).Midterm Results'!N169)</f>
        <v/>
      </c>
      <c r="O169" s="53" t="str">
        <f>IF('(4).Midterm Results'!O169="","",'(4).Midterm Results'!O169)</f>
        <v/>
      </c>
      <c r="P169" s="51" t="str">
        <f>IF('(5).Promotion Daily'!AH169="","",'(5).Promotion Daily'!AH169)</f>
        <v/>
      </c>
      <c r="Q169" s="52" t="str">
        <f>IF('(6).Promotion Exam'!D169="","",'(6).Promotion Exam'!D169)</f>
        <v/>
      </c>
      <c r="R169" s="52" t="str">
        <f>IF('(6).Promotion Exam'!E169="","",'(6).Promotion Exam'!E169)</f>
        <v/>
      </c>
      <c r="S169" s="52" t="str">
        <f>IF('(6).Promotion Exam'!F169="","",'(6).Promotion Exam'!F169)</f>
        <v/>
      </c>
      <c r="T169" s="52" t="str">
        <f>IF('(6).Promotion Exam'!G169="","",'(6).Promotion Exam'!G169)</f>
        <v/>
      </c>
      <c r="U169" s="52" t="str">
        <f>IF('(6).Promotion Exam'!H169="","",'(6).Promotion Exam'!H169)</f>
        <v/>
      </c>
      <c r="V169" s="52" t="str">
        <f>IF('(6).Promotion Exam'!I169="","",'(6).Promotion Exam'!I169)</f>
        <v/>
      </c>
      <c r="W169" s="52" t="str">
        <f>IF('(6).Promotion Exam'!J169="","",'(6).Promotion Exam'!J169)</f>
        <v/>
      </c>
      <c r="X169" s="52" t="str">
        <f>IF('(6).Promotion Exam'!K169="","",'(6).Promotion Exam'!K169)</f>
        <v/>
      </c>
      <c r="Y169" s="52" t="str">
        <f>IF('(6).Promotion Exam'!L169="","",'(6).Promotion Exam'!L169)</f>
        <v/>
      </c>
      <c r="Z169" s="52" t="str">
        <f>IF('(6).Promotion Exam'!M169="","",'(6).Promotion Exam'!M169)</f>
        <v/>
      </c>
      <c r="AA169" s="53" t="str">
        <f>IF(B169="","",IF(P169="Incomplete","Incomplete",IF('(6).Promotion Exam'!N169="Change","Change",IF('(6).Promotion Exam'!N169="Stop","Stop",IF('(6).Promotion Exam'!N169="Incomplete","Incomplete",IF(COUNTBLANK(Q169:Z169)&gt;=1,"Incomplete",P169*20%+SUM(Q169:Z169)*80%))))))</f>
        <v/>
      </c>
      <c r="AB169" s="54" t="str">
        <f t="shared" si="32"/>
        <v/>
      </c>
      <c r="AC169" s="55" t="str">
        <f t="shared" si="33"/>
        <v/>
      </c>
      <c r="AD169" s="55" t="str">
        <f t="shared" si="34"/>
        <v/>
      </c>
      <c r="AE169" s="56" t="str">
        <f t="shared" si="35"/>
        <v/>
      </c>
      <c r="AF169" s="57" t="str">
        <f t="shared" si="36"/>
        <v/>
      </c>
      <c r="AG169" s="97" t="str">
        <f t="shared" si="37"/>
        <v/>
      </c>
      <c r="AH169" s="58" t="str">
        <f t="shared" si="38"/>
        <v/>
      </c>
      <c r="AI169" s="58" t="str">
        <f t="shared" si="39"/>
        <v/>
      </c>
      <c r="AJ169" s="59"/>
    </row>
    <row r="170" spans="1:36" ht="15.95" customHeight="1">
      <c r="A170" s="66">
        <v>20</v>
      </c>
      <c r="B170" s="63" t="str">
        <f>IF('(6).Promotion Exam'!B170="","",'(6).Promotion Exam'!B170)</f>
        <v/>
      </c>
      <c r="C170" s="67" t="str">
        <f>IF('(6).Promotion Exam'!C170="","",'(6).Promotion Exam'!C170)</f>
        <v/>
      </c>
      <c r="D170" s="51" t="str">
        <f>IF('(4).Midterm Results'!D170="","",'(4).Midterm Results'!D170)</f>
        <v/>
      </c>
      <c r="E170" s="52" t="str">
        <f>IF('(4).Midterm Results'!E170="","",'(4).Midterm Results'!E170)</f>
        <v/>
      </c>
      <c r="F170" s="52" t="str">
        <f>IF('(4).Midterm Results'!F170="","",'(4).Midterm Results'!F170)</f>
        <v/>
      </c>
      <c r="G170" s="52" t="str">
        <f>IF('(4).Midterm Results'!G170="","",'(4).Midterm Results'!G170)</f>
        <v/>
      </c>
      <c r="H170" s="52" t="str">
        <f>IF('(4).Midterm Results'!H170="","",'(4).Midterm Results'!H170)</f>
        <v/>
      </c>
      <c r="I170" s="52" t="str">
        <f>IF('(4).Midterm Results'!I170="","",'(4).Midterm Results'!I170)</f>
        <v/>
      </c>
      <c r="J170" s="52" t="str">
        <f>IF('(4).Midterm Results'!J170="","",'(4).Midterm Results'!J170)</f>
        <v/>
      </c>
      <c r="K170" s="52" t="str">
        <f>IF('(4).Midterm Results'!K170="","",'(4).Midterm Results'!K170)</f>
        <v/>
      </c>
      <c r="L170" s="52" t="str">
        <f>IF('(4).Midterm Results'!L170="","",'(4).Midterm Results'!L170)</f>
        <v/>
      </c>
      <c r="M170" s="52" t="str">
        <f>IF('(4).Midterm Results'!M170="","",'(4).Midterm Results'!M170)</f>
        <v/>
      </c>
      <c r="N170" s="52" t="str">
        <f>IF('(4).Midterm Results'!N170="","",'(4).Midterm Results'!N170)</f>
        <v/>
      </c>
      <c r="O170" s="53" t="str">
        <f>IF('(4).Midterm Results'!O170="","",'(4).Midterm Results'!O170)</f>
        <v/>
      </c>
      <c r="P170" s="51" t="str">
        <f>IF('(5).Promotion Daily'!AH170="","",'(5).Promotion Daily'!AH170)</f>
        <v/>
      </c>
      <c r="Q170" s="52" t="str">
        <f>IF('(6).Promotion Exam'!D170="","",'(6).Promotion Exam'!D170)</f>
        <v/>
      </c>
      <c r="R170" s="52" t="str">
        <f>IF('(6).Promotion Exam'!E170="","",'(6).Promotion Exam'!E170)</f>
        <v/>
      </c>
      <c r="S170" s="52" t="str">
        <f>IF('(6).Promotion Exam'!F170="","",'(6).Promotion Exam'!F170)</f>
        <v/>
      </c>
      <c r="T170" s="52" t="str">
        <f>IF('(6).Promotion Exam'!G170="","",'(6).Promotion Exam'!G170)</f>
        <v/>
      </c>
      <c r="U170" s="52" t="str">
        <f>IF('(6).Promotion Exam'!H170="","",'(6).Promotion Exam'!H170)</f>
        <v/>
      </c>
      <c r="V170" s="52" t="str">
        <f>IF('(6).Promotion Exam'!I170="","",'(6).Promotion Exam'!I170)</f>
        <v/>
      </c>
      <c r="W170" s="52" t="str">
        <f>IF('(6).Promotion Exam'!J170="","",'(6).Promotion Exam'!J170)</f>
        <v/>
      </c>
      <c r="X170" s="52" t="str">
        <f>IF('(6).Promotion Exam'!K170="","",'(6).Promotion Exam'!K170)</f>
        <v/>
      </c>
      <c r="Y170" s="52" t="str">
        <f>IF('(6).Promotion Exam'!L170="","",'(6).Promotion Exam'!L170)</f>
        <v/>
      </c>
      <c r="Z170" s="52" t="str">
        <f>IF('(6).Promotion Exam'!M170="","",'(6).Promotion Exam'!M170)</f>
        <v/>
      </c>
      <c r="AA170" s="53" t="str">
        <f>IF(B170="","",IF(P170="Incomplete","Incomplete",IF('(6).Promotion Exam'!N170="Change","Change",IF('(6).Promotion Exam'!N170="Stop","Stop",IF('(6).Promotion Exam'!N170="Incomplete","Incomplete",IF(COUNTBLANK(Q170:Z170)&gt;=1,"Incomplete",P170*20%+SUM(Q170:Z170)*80%))))))</f>
        <v/>
      </c>
      <c r="AB170" s="54" t="str">
        <f t="shared" si="32"/>
        <v/>
      </c>
      <c r="AC170" s="55" t="str">
        <f t="shared" si="33"/>
        <v/>
      </c>
      <c r="AD170" s="55" t="str">
        <f t="shared" si="34"/>
        <v/>
      </c>
      <c r="AE170" s="56" t="str">
        <f t="shared" si="35"/>
        <v/>
      </c>
      <c r="AF170" s="57" t="str">
        <f t="shared" si="36"/>
        <v/>
      </c>
      <c r="AG170" s="97" t="str">
        <f t="shared" si="37"/>
        <v/>
      </c>
      <c r="AH170" s="58" t="str">
        <f t="shared" si="38"/>
        <v/>
      </c>
      <c r="AI170" s="58" t="str">
        <f t="shared" si="39"/>
        <v/>
      </c>
      <c r="AJ170" s="59"/>
    </row>
    <row r="171" spans="1:36" ht="15.95" customHeight="1">
      <c r="A171" s="66">
        <v>21</v>
      </c>
      <c r="B171" s="63" t="str">
        <f>IF('(6).Promotion Exam'!B171="","",'(6).Promotion Exam'!B171)</f>
        <v/>
      </c>
      <c r="C171" s="67" t="str">
        <f>IF('(6).Promotion Exam'!C171="","",'(6).Promotion Exam'!C171)</f>
        <v/>
      </c>
      <c r="D171" s="51" t="str">
        <f>IF('(4).Midterm Results'!D171="","",'(4).Midterm Results'!D171)</f>
        <v/>
      </c>
      <c r="E171" s="52" t="str">
        <f>IF('(4).Midterm Results'!E171="","",'(4).Midterm Results'!E171)</f>
        <v/>
      </c>
      <c r="F171" s="52" t="str">
        <f>IF('(4).Midterm Results'!F171="","",'(4).Midterm Results'!F171)</f>
        <v/>
      </c>
      <c r="G171" s="52" t="str">
        <f>IF('(4).Midterm Results'!G171="","",'(4).Midterm Results'!G171)</f>
        <v/>
      </c>
      <c r="H171" s="52" t="str">
        <f>IF('(4).Midterm Results'!H171="","",'(4).Midterm Results'!H171)</f>
        <v/>
      </c>
      <c r="I171" s="52" t="str">
        <f>IF('(4).Midterm Results'!I171="","",'(4).Midterm Results'!I171)</f>
        <v/>
      </c>
      <c r="J171" s="52" t="str">
        <f>IF('(4).Midterm Results'!J171="","",'(4).Midterm Results'!J171)</f>
        <v/>
      </c>
      <c r="K171" s="52" t="str">
        <f>IF('(4).Midterm Results'!K171="","",'(4).Midterm Results'!K171)</f>
        <v/>
      </c>
      <c r="L171" s="52" t="str">
        <f>IF('(4).Midterm Results'!L171="","",'(4).Midterm Results'!L171)</f>
        <v/>
      </c>
      <c r="M171" s="52" t="str">
        <f>IF('(4).Midterm Results'!M171="","",'(4).Midterm Results'!M171)</f>
        <v/>
      </c>
      <c r="N171" s="52" t="str">
        <f>IF('(4).Midterm Results'!N171="","",'(4).Midterm Results'!N171)</f>
        <v/>
      </c>
      <c r="O171" s="53" t="str">
        <f>IF('(4).Midterm Results'!O171="","",'(4).Midterm Results'!O171)</f>
        <v/>
      </c>
      <c r="P171" s="51" t="str">
        <f>IF('(5).Promotion Daily'!AH171="","",'(5).Promotion Daily'!AH171)</f>
        <v/>
      </c>
      <c r="Q171" s="52" t="str">
        <f>IF('(6).Promotion Exam'!D171="","",'(6).Promotion Exam'!D171)</f>
        <v/>
      </c>
      <c r="R171" s="52" t="str">
        <f>IF('(6).Promotion Exam'!E171="","",'(6).Promotion Exam'!E171)</f>
        <v/>
      </c>
      <c r="S171" s="52" t="str">
        <f>IF('(6).Promotion Exam'!F171="","",'(6).Promotion Exam'!F171)</f>
        <v/>
      </c>
      <c r="T171" s="52" t="str">
        <f>IF('(6).Promotion Exam'!G171="","",'(6).Promotion Exam'!G171)</f>
        <v/>
      </c>
      <c r="U171" s="52" t="str">
        <f>IF('(6).Promotion Exam'!H171="","",'(6).Promotion Exam'!H171)</f>
        <v/>
      </c>
      <c r="V171" s="52" t="str">
        <f>IF('(6).Promotion Exam'!I171="","",'(6).Promotion Exam'!I171)</f>
        <v/>
      </c>
      <c r="W171" s="52" t="str">
        <f>IF('(6).Promotion Exam'!J171="","",'(6).Promotion Exam'!J171)</f>
        <v/>
      </c>
      <c r="X171" s="52" t="str">
        <f>IF('(6).Promotion Exam'!K171="","",'(6).Promotion Exam'!K171)</f>
        <v/>
      </c>
      <c r="Y171" s="52" t="str">
        <f>IF('(6).Promotion Exam'!L171="","",'(6).Promotion Exam'!L171)</f>
        <v/>
      </c>
      <c r="Z171" s="52" t="str">
        <f>IF('(6).Promotion Exam'!M171="","",'(6).Promotion Exam'!M171)</f>
        <v/>
      </c>
      <c r="AA171" s="53" t="str">
        <f>IF(B171="","",IF(P171="Incomplete","Incomplete",IF('(6).Promotion Exam'!N171="Change","Change",IF('(6).Promotion Exam'!N171="Stop","Stop",IF('(6).Promotion Exam'!N171="Incomplete","Incomplete",IF(COUNTBLANK(Q171:Z171)&gt;=1,"Incomplete",P171*20%+SUM(Q171:Z171)*80%))))))</f>
        <v/>
      </c>
      <c r="AB171" s="54" t="str">
        <f t="shared" si="32"/>
        <v/>
      </c>
      <c r="AC171" s="55" t="str">
        <f t="shared" si="33"/>
        <v/>
      </c>
      <c r="AD171" s="55" t="str">
        <f t="shared" si="34"/>
        <v/>
      </c>
      <c r="AE171" s="56" t="str">
        <f t="shared" si="35"/>
        <v/>
      </c>
      <c r="AF171" s="57" t="str">
        <f t="shared" si="36"/>
        <v/>
      </c>
      <c r="AG171" s="97" t="str">
        <f t="shared" si="37"/>
        <v/>
      </c>
      <c r="AH171" s="58" t="str">
        <f t="shared" si="38"/>
        <v/>
      </c>
      <c r="AI171" s="58" t="str">
        <f t="shared" si="39"/>
        <v/>
      </c>
      <c r="AJ171" s="59"/>
    </row>
    <row r="172" spans="1:36" ht="15.95" customHeight="1">
      <c r="A172" s="66">
        <v>22</v>
      </c>
      <c r="B172" s="63" t="str">
        <f>IF('(6).Promotion Exam'!B172="","",'(6).Promotion Exam'!B172)</f>
        <v/>
      </c>
      <c r="C172" s="67" t="str">
        <f>IF('(6).Promotion Exam'!C172="","",'(6).Promotion Exam'!C172)</f>
        <v/>
      </c>
      <c r="D172" s="51" t="str">
        <f>IF('(4).Midterm Results'!D172="","",'(4).Midterm Results'!D172)</f>
        <v/>
      </c>
      <c r="E172" s="52" t="str">
        <f>IF('(4).Midterm Results'!E172="","",'(4).Midterm Results'!E172)</f>
        <v/>
      </c>
      <c r="F172" s="52" t="str">
        <f>IF('(4).Midterm Results'!F172="","",'(4).Midterm Results'!F172)</f>
        <v/>
      </c>
      <c r="G172" s="52" t="str">
        <f>IF('(4).Midterm Results'!G172="","",'(4).Midterm Results'!G172)</f>
        <v/>
      </c>
      <c r="H172" s="52" t="str">
        <f>IF('(4).Midterm Results'!H172="","",'(4).Midterm Results'!H172)</f>
        <v/>
      </c>
      <c r="I172" s="52" t="str">
        <f>IF('(4).Midterm Results'!I172="","",'(4).Midterm Results'!I172)</f>
        <v/>
      </c>
      <c r="J172" s="52" t="str">
        <f>IF('(4).Midterm Results'!J172="","",'(4).Midterm Results'!J172)</f>
        <v/>
      </c>
      <c r="K172" s="52" t="str">
        <f>IF('(4).Midterm Results'!K172="","",'(4).Midterm Results'!K172)</f>
        <v/>
      </c>
      <c r="L172" s="52" t="str">
        <f>IF('(4).Midterm Results'!L172="","",'(4).Midterm Results'!L172)</f>
        <v/>
      </c>
      <c r="M172" s="52" t="str">
        <f>IF('(4).Midterm Results'!M172="","",'(4).Midterm Results'!M172)</f>
        <v/>
      </c>
      <c r="N172" s="52" t="str">
        <f>IF('(4).Midterm Results'!N172="","",'(4).Midterm Results'!N172)</f>
        <v/>
      </c>
      <c r="O172" s="53" t="str">
        <f>IF('(4).Midterm Results'!O172="","",'(4).Midterm Results'!O172)</f>
        <v/>
      </c>
      <c r="P172" s="51" t="str">
        <f>IF('(5).Promotion Daily'!AH172="","",'(5).Promotion Daily'!AH172)</f>
        <v/>
      </c>
      <c r="Q172" s="52" t="str">
        <f>IF('(6).Promotion Exam'!D172="","",'(6).Promotion Exam'!D172)</f>
        <v/>
      </c>
      <c r="R172" s="52" t="str">
        <f>IF('(6).Promotion Exam'!E172="","",'(6).Promotion Exam'!E172)</f>
        <v/>
      </c>
      <c r="S172" s="52" t="str">
        <f>IF('(6).Promotion Exam'!F172="","",'(6).Promotion Exam'!F172)</f>
        <v/>
      </c>
      <c r="T172" s="52" t="str">
        <f>IF('(6).Promotion Exam'!G172="","",'(6).Promotion Exam'!G172)</f>
        <v/>
      </c>
      <c r="U172" s="52" t="str">
        <f>IF('(6).Promotion Exam'!H172="","",'(6).Promotion Exam'!H172)</f>
        <v/>
      </c>
      <c r="V172" s="52" t="str">
        <f>IF('(6).Promotion Exam'!I172="","",'(6).Promotion Exam'!I172)</f>
        <v/>
      </c>
      <c r="W172" s="52" t="str">
        <f>IF('(6).Promotion Exam'!J172="","",'(6).Promotion Exam'!J172)</f>
        <v/>
      </c>
      <c r="X172" s="52" t="str">
        <f>IF('(6).Promotion Exam'!K172="","",'(6).Promotion Exam'!K172)</f>
        <v/>
      </c>
      <c r="Y172" s="52" t="str">
        <f>IF('(6).Promotion Exam'!L172="","",'(6).Promotion Exam'!L172)</f>
        <v/>
      </c>
      <c r="Z172" s="52" t="str">
        <f>IF('(6).Promotion Exam'!M172="","",'(6).Promotion Exam'!M172)</f>
        <v/>
      </c>
      <c r="AA172" s="53" t="str">
        <f>IF(B172="","",IF(P172="Incomplete","Incomplete",IF('(6).Promotion Exam'!N172="Change","Change",IF('(6).Promotion Exam'!N172="Stop","Stop",IF('(6).Promotion Exam'!N172="Incomplete","Incomplete",IF(COUNTBLANK(Q172:Z172)&gt;=1,"Incomplete",P172*20%+SUM(Q172:Z172)*80%))))))</f>
        <v/>
      </c>
      <c r="AB172" s="54" t="str">
        <f t="shared" si="32"/>
        <v/>
      </c>
      <c r="AC172" s="55" t="str">
        <f t="shared" si="33"/>
        <v/>
      </c>
      <c r="AD172" s="55" t="str">
        <f t="shared" si="34"/>
        <v/>
      </c>
      <c r="AE172" s="56" t="str">
        <f t="shared" si="35"/>
        <v/>
      </c>
      <c r="AF172" s="57" t="str">
        <f t="shared" si="36"/>
        <v/>
      </c>
      <c r="AG172" s="97" t="str">
        <f t="shared" si="37"/>
        <v/>
      </c>
      <c r="AH172" s="58" t="str">
        <f t="shared" si="38"/>
        <v/>
      </c>
      <c r="AI172" s="58" t="str">
        <f t="shared" si="39"/>
        <v/>
      </c>
      <c r="AJ172" s="59"/>
    </row>
    <row r="173" spans="1:36" ht="15.95" customHeight="1">
      <c r="A173" s="66">
        <v>23</v>
      </c>
      <c r="B173" s="63" t="str">
        <f>IF('(6).Promotion Exam'!B173="","",'(6).Promotion Exam'!B173)</f>
        <v/>
      </c>
      <c r="C173" s="67" t="str">
        <f>IF('(6).Promotion Exam'!C173="","",'(6).Promotion Exam'!C173)</f>
        <v/>
      </c>
      <c r="D173" s="51" t="str">
        <f>IF('(4).Midterm Results'!D173="","",'(4).Midterm Results'!D173)</f>
        <v/>
      </c>
      <c r="E173" s="52" t="str">
        <f>IF('(4).Midterm Results'!E173="","",'(4).Midterm Results'!E173)</f>
        <v/>
      </c>
      <c r="F173" s="52" t="str">
        <f>IF('(4).Midterm Results'!F173="","",'(4).Midterm Results'!F173)</f>
        <v/>
      </c>
      <c r="G173" s="52" t="str">
        <f>IF('(4).Midterm Results'!G173="","",'(4).Midterm Results'!G173)</f>
        <v/>
      </c>
      <c r="H173" s="52" t="str">
        <f>IF('(4).Midterm Results'!H173="","",'(4).Midterm Results'!H173)</f>
        <v/>
      </c>
      <c r="I173" s="52" t="str">
        <f>IF('(4).Midterm Results'!I173="","",'(4).Midterm Results'!I173)</f>
        <v/>
      </c>
      <c r="J173" s="52" t="str">
        <f>IF('(4).Midterm Results'!J173="","",'(4).Midterm Results'!J173)</f>
        <v/>
      </c>
      <c r="K173" s="52" t="str">
        <f>IF('(4).Midterm Results'!K173="","",'(4).Midterm Results'!K173)</f>
        <v/>
      </c>
      <c r="L173" s="52" t="str">
        <f>IF('(4).Midterm Results'!L173="","",'(4).Midterm Results'!L173)</f>
        <v/>
      </c>
      <c r="M173" s="52" t="str">
        <f>IF('(4).Midterm Results'!M173="","",'(4).Midterm Results'!M173)</f>
        <v/>
      </c>
      <c r="N173" s="52" t="str">
        <f>IF('(4).Midterm Results'!N173="","",'(4).Midterm Results'!N173)</f>
        <v/>
      </c>
      <c r="O173" s="53" t="str">
        <f>IF('(4).Midterm Results'!O173="","",'(4).Midterm Results'!O173)</f>
        <v/>
      </c>
      <c r="P173" s="51" t="str">
        <f>IF('(5).Promotion Daily'!AH173="","",'(5).Promotion Daily'!AH173)</f>
        <v/>
      </c>
      <c r="Q173" s="52" t="str">
        <f>IF('(6).Promotion Exam'!D173="","",'(6).Promotion Exam'!D173)</f>
        <v/>
      </c>
      <c r="R173" s="52" t="str">
        <f>IF('(6).Promotion Exam'!E173="","",'(6).Promotion Exam'!E173)</f>
        <v/>
      </c>
      <c r="S173" s="52" t="str">
        <f>IF('(6).Promotion Exam'!F173="","",'(6).Promotion Exam'!F173)</f>
        <v/>
      </c>
      <c r="T173" s="52" t="str">
        <f>IF('(6).Promotion Exam'!G173="","",'(6).Promotion Exam'!G173)</f>
        <v/>
      </c>
      <c r="U173" s="52" t="str">
        <f>IF('(6).Promotion Exam'!H173="","",'(6).Promotion Exam'!H173)</f>
        <v/>
      </c>
      <c r="V173" s="52" t="str">
        <f>IF('(6).Promotion Exam'!I173="","",'(6).Promotion Exam'!I173)</f>
        <v/>
      </c>
      <c r="W173" s="52" t="str">
        <f>IF('(6).Promotion Exam'!J173="","",'(6).Promotion Exam'!J173)</f>
        <v/>
      </c>
      <c r="X173" s="52" t="str">
        <f>IF('(6).Promotion Exam'!K173="","",'(6).Promotion Exam'!K173)</f>
        <v/>
      </c>
      <c r="Y173" s="52" t="str">
        <f>IF('(6).Promotion Exam'!L173="","",'(6).Promotion Exam'!L173)</f>
        <v/>
      </c>
      <c r="Z173" s="52" t="str">
        <f>IF('(6).Promotion Exam'!M173="","",'(6).Promotion Exam'!M173)</f>
        <v/>
      </c>
      <c r="AA173" s="53" t="str">
        <f>IF(B173="","",IF(P173="Incomplete","Incomplete",IF('(6).Promotion Exam'!N173="Change","Change",IF('(6).Promotion Exam'!N173="Stop","Stop",IF('(6).Promotion Exam'!N173="Incomplete","Incomplete",IF(COUNTBLANK(Q173:Z173)&gt;=1,"Incomplete",P173*20%+SUM(Q173:Z173)*80%))))))</f>
        <v/>
      </c>
      <c r="AB173" s="54" t="str">
        <f t="shared" si="32"/>
        <v/>
      </c>
      <c r="AC173" s="55" t="str">
        <f t="shared" si="33"/>
        <v/>
      </c>
      <c r="AD173" s="55" t="str">
        <f t="shared" si="34"/>
        <v/>
      </c>
      <c r="AE173" s="56" t="str">
        <f t="shared" si="35"/>
        <v/>
      </c>
      <c r="AF173" s="57" t="str">
        <f t="shared" si="36"/>
        <v/>
      </c>
      <c r="AG173" s="97" t="str">
        <f t="shared" si="37"/>
        <v/>
      </c>
      <c r="AH173" s="58" t="str">
        <f t="shared" si="38"/>
        <v/>
      </c>
      <c r="AI173" s="58" t="str">
        <f t="shared" si="39"/>
        <v/>
      </c>
      <c r="AJ173" s="59"/>
    </row>
    <row r="174" spans="1:36" ht="15.95" customHeight="1">
      <c r="A174" s="66">
        <v>24</v>
      </c>
      <c r="B174" s="63" t="str">
        <f>IF('(6).Promotion Exam'!B174="","",'(6).Promotion Exam'!B174)</f>
        <v/>
      </c>
      <c r="C174" s="67" t="str">
        <f>IF('(6).Promotion Exam'!C174="","",'(6).Promotion Exam'!C174)</f>
        <v/>
      </c>
      <c r="D174" s="51" t="str">
        <f>IF('(4).Midterm Results'!D174="","",'(4).Midterm Results'!D174)</f>
        <v/>
      </c>
      <c r="E174" s="52" t="str">
        <f>IF('(4).Midterm Results'!E174="","",'(4).Midterm Results'!E174)</f>
        <v/>
      </c>
      <c r="F174" s="52" t="str">
        <f>IF('(4).Midterm Results'!F174="","",'(4).Midterm Results'!F174)</f>
        <v/>
      </c>
      <c r="G174" s="52" t="str">
        <f>IF('(4).Midterm Results'!G174="","",'(4).Midterm Results'!G174)</f>
        <v/>
      </c>
      <c r="H174" s="52" t="str">
        <f>IF('(4).Midterm Results'!H174="","",'(4).Midterm Results'!H174)</f>
        <v/>
      </c>
      <c r="I174" s="52" t="str">
        <f>IF('(4).Midterm Results'!I174="","",'(4).Midterm Results'!I174)</f>
        <v/>
      </c>
      <c r="J174" s="52" t="str">
        <f>IF('(4).Midterm Results'!J174="","",'(4).Midterm Results'!J174)</f>
        <v/>
      </c>
      <c r="K174" s="52" t="str">
        <f>IF('(4).Midterm Results'!K174="","",'(4).Midterm Results'!K174)</f>
        <v/>
      </c>
      <c r="L174" s="52" t="str">
        <f>IF('(4).Midterm Results'!L174="","",'(4).Midterm Results'!L174)</f>
        <v/>
      </c>
      <c r="M174" s="52" t="str">
        <f>IF('(4).Midterm Results'!M174="","",'(4).Midterm Results'!M174)</f>
        <v/>
      </c>
      <c r="N174" s="52" t="str">
        <f>IF('(4).Midterm Results'!N174="","",'(4).Midterm Results'!N174)</f>
        <v/>
      </c>
      <c r="O174" s="53" t="str">
        <f>IF('(4).Midterm Results'!O174="","",'(4).Midterm Results'!O174)</f>
        <v/>
      </c>
      <c r="P174" s="51" t="str">
        <f>IF('(5).Promotion Daily'!AH174="","",'(5).Promotion Daily'!AH174)</f>
        <v/>
      </c>
      <c r="Q174" s="52" t="str">
        <f>IF('(6).Promotion Exam'!D174="","",'(6).Promotion Exam'!D174)</f>
        <v/>
      </c>
      <c r="R174" s="52" t="str">
        <f>IF('(6).Promotion Exam'!E174="","",'(6).Promotion Exam'!E174)</f>
        <v/>
      </c>
      <c r="S174" s="52" t="str">
        <f>IF('(6).Promotion Exam'!F174="","",'(6).Promotion Exam'!F174)</f>
        <v/>
      </c>
      <c r="T174" s="52" t="str">
        <f>IF('(6).Promotion Exam'!G174="","",'(6).Promotion Exam'!G174)</f>
        <v/>
      </c>
      <c r="U174" s="52" t="str">
        <f>IF('(6).Promotion Exam'!H174="","",'(6).Promotion Exam'!H174)</f>
        <v/>
      </c>
      <c r="V174" s="52" t="str">
        <f>IF('(6).Promotion Exam'!I174="","",'(6).Promotion Exam'!I174)</f>
        <v/>
      </c>
      <c r="W174" s="52" t="str">
        <f>IF('(6).Promotion Exam'!J174="","",'(6).Promotion Exam'!J174)</f>
        <v/>
      </c>
      <c r="X174" s="52" t="str">
        <f>IF('(6).Promotion Exam'!K174="","",'(6).Promotion Exam'!K174)</f>
        <v/>
      </c>
      <c r="Y174" s="52" t="str">
        <f>IF('(6).Promotion Exam'!L174="","",'(6).Promotion Exam'!L174)</f>
        <v/>
      </c>
      <c r="Z174" s="52" t="str">
        <f>IF('(6).Promotion Exam'!M174="","",'(6).Promotion Exam'!M174)</f>
        <v/>
      </c>
      <c r="AA174" s="53" t="str">
        <f>IF(B174="","",IF(P174="Incomplete","Incomplete",IF('(6).Promotion Exam'!N174="Change","Change",IF('(6).Promotion Exam'!N174="Stop","Stop",IF('(6).Promotion Exam'!N174="Incomplete","Incomplete",IF(COUNTBLANK(Q174:Z174)&gt;=1,"Incomplete",P174*20%+SUM(Q174:Z174)*80%))))))</f>
        <v/>
      </c>
      <c r="AB174" s="54" t="str">
        <f t="shared" si="32"/>
        <v/>
      </c>
      <c r="AC174" s="55" t="str">
        <f t="shared" si="33"/>
        <v/>
      </c>
      <c r="AD174" s="55" t="str">
        <f t="shared" si="34"/>
        <v/>
      </c>
      <c r="AE174" s="56" t="str">
        <f t="shared" si="35"/>
        <v/>
      </c>
      <c r="AF174" s="57" t="str">
        <f t="shared" si="36"/>
        <v/>
      </c>
      <c r="AG174" s="97" t="str">
        <f t="shared" si="37"/>
        <v/>
      </c>
      <c r="AH174" s="58" t="str">
        <f t="shared" si="38"/>
        <v/>
      </c>
      <c r="AI174" s="58" t="str">
        <f t="shared" si="39"/>
        <v/>
      </c>
      <c r="AJ174" s="59"/>
    </row>
    <row r="175" spans="1:36" ht="15.95" customHeight="1">
      <c r="A175" s="66">
        <v>25</v>
      </c>
      <c r="B175" s="63" t="str">
        <f>IF('(6).Promotion Exam'!B175="","",'(6).Promotion Exam'!B175)</f>
        <v/>
      </c>
      <c r="C175" s="67" t="str">
        <f>IF('(6).Promotion Exam'!C175="","",'(6).Promotion Exam'!C175)</f>
        <v/>
      </c>
      <c r="D175" s="51" t="str">
        <f>IF('(4).Midterm Results'!D175="","",'(4).Midterm Results'!D175)</f>
        <v/>
      </c>
      <c r="E175" s="52" t="str">
        <f>IF('(4).Midterm Results'!E175="","",'(4).Midterm Results'!E175)</f>
        <v/>
      </c>
      <c r="F175" s="52" t="str">
        <f>IF('(4).Midterm Results'!F175="","",'(4).Midterm Results'!F175)</f>
        <v/>
      </c>
      <c r="G175" s="52" t="str">
        <f>IF('(4).Midterm Results'!G175="","",'(4).Midterm Results'!G175)</f>
        <v/>
      </c>
      <c r="H175" s="52" t="str">
        <f>IF('(4).Midterm Results'!H175="","",'(4).Midterm Results'!H175)</f>
        <v/>
      </c>
      <c r="I175" s="52" t="str">
        <f>IF('(4).Midterm Results'!I175="","",'(4).Midterm Results'!I175)</f>
        <v/>
      </c>
      <c r="J175" s="52" t="str">
        <f>IF('(4).Midterm Results'!J175="","",'(4).Midterm Results'!J175)</f>
        <v/>
      </c>
      <c r="K175" s="52" t="str">
        <f>IF('(4).Midterm Results'!K175="","",'(4).Midterm Results'!K175)</f>
        <v/>
      </c>
      <c r="L175" s="52" t="str">
        <f>IF('(4).Midterm Results'!L175="","",'(4).Midterm Results'!L175)</f>
        <v/>
      </c>
      <c r="M175" s="52" t="str">
        <f>IF('(4).Midterm Results'!M175="","",'(4).Midterm Results'!M175)</f>
        <v/>
      </c>
      <c r="N175" s="52" t="str">
        <f>IF('(4).Midterm Results'!N175="","",'(4).Midterm Results'!N175)</f>
        <v/>
      </c>
      <c r="O175" s="53" t="str">
        <f>IF('(4).Midterm Results'!O175="","",'(4).Midterm Results'!O175)</f>
        <v/>
      </c>
      <c r="P175" s="51" t="str">
        <f>IF('(5).Promotion Daily'!AH175="","",'(5).Promotion Daily'!AH175)</f>
        <v/>
      </c>
      <c r="Q175" s="52" t="str">
        <f>IF('(6).Promotion Exam'!D175="","",'(6).Promotion Exam'!D175)</f>
        <v/>
      </c>
      <c r="R175" s="52" t="str">
        <f>IF('(6).Promotion Exam'!E175="","",'(6).Promotion Exam'!E175)</f>
        <v/>
      </c>
      <c r="S175" s="52" t="str">
        <f>IF('(6).Promotion Exam'!F175="","",'(6).Promotion Exam'!F175)</f>
        <v/>
      </c>
      <c r="T175" s="52" t="str">
        <f>IF('(6).Promotion Exam'!G175="","",'(6).Promotion Exam'!G175)</f>
        <v/>
      </c>
      <c r="U175" s="52" t="str">
        <f>IF('(6).Promotion Exam'!H175="","",'(6).Promotion Exam'!H175)</f>
        <v/>
      </c>
      <c r="V175" s="52" t="str">
        <f>IF('(6).Promotion Exam'!I175="","",'(6).Promotion Exam'!I175)</f>
        <v/>
      </c>
      <c r="W175" s="52" t="str">
        <f>IF('(6).Promotion Exam'!J175="","",'(6).Promotion Exam'!J175)</f>
        <v/>
      </c>
      <c r="X175" s="52" t="str">
        <f>IF('(6).Promotion Exam'!K175="","",'(6).Promotion Exam'!K175)</f>
        <v/>
      </c>
      <c r="Y175" s="52" t="str">
        <f>IF('(6).Promotion Exam'!L175="","",'(6).Promotion Exam'!L175)</f>
        <v/>
      </c>
      <c r="Z175" s="52" t="str">
        <f>IF('(6).Promotion Exam'!M175="","",'(6).Promotion Exam'!M175)</f>
        <v/>
      </c>
      <c r="AA175" s="53" t="str">
        <f>IF(B175="","",IF(P175="Incomplete","Incomplete",IF('(6).Promotion Exam'!N175="Change","Change",IF('(6).Promotion Exam'!N175="Stop","Stop",IF('(6).Promotion Exam'!N175="Incomplete","Incomplete",IF(COUNTBLANK(Q175:Z175)&gt;=1,"Incomplete",P175*20%+SUM(Q175:Z175)*80%))))))</f>
        <v/>
      </c>
      <c r="AB175" s="54" t="str">
        <f t="shared" si="32"/>
        <v/>
      </c>
      <c r="AC175" s="55" t="str">
        <f t="shared" si="33"/>
        <v/>
      </c>
      <c r="AD175" s="55" t="str">
        <f t="shared" si="34"/>
        <v/>
      </c>
      <c r="AE175" s="56" t="str">
        <f t="shared" si="35"/>
        <v/>
      </c>
      <c r="AF175" s="57" t="str">
        <f t="shared" si="36"/>
        <v/>
      </c>
      <c r="AG175" s="97" t="str">
        <f t="shared" si="37"/>
        <v/>
      </c>
      <c r="AH175" s="58" t="str">
        <f t="shared" si="38"/>
        <v/>
      </c>
      <c r="AI175" s="58" t="str">
        <f t="shared" si="39"/>
        <v/>
      </c>
      <c r="AJ175" s="59"/>
    </row>
    <row r="176" spans="1:36" ht="15.95" customHeight="1">
      <c r="A176" s="66">
        <v>26</v>
      </c>
      <c r="B176" s="63" t="str">
        <f>IF('(6).Promotion Exam'!B176="","",'(6).Promotion Exam'!B176)</f>
        <v/>
      </c>
      <c r="C176" s="67" t="str">
        <f>IF('(6).Promotion Exam'!C176="","",'(6).Promotion Exam'!C176)</f>
        <v/>
      </c>
      <c r="D176" s="51" t="str">
        <f>IF('(4).Midterm Results'!D176="","",'(4).Midterm Results'!D176)</f>
        <v/>
      </c>
      <c r="E176" s="52" t="str">
        <f>IF('(4).Midterm Results'!E176="","",'(4).Midterm Results'!E176)</f>
        <v/>
      </c>
      <c r="F176" s="52" t="str">
        <f>IF('(4).Midterm Results'!F176="","",'(4).Midterm Results'!F176)</f>
        <v/>
      </c>
      <c r="G176" s="52" t="str">
        <f>IF('(4).Midterm Results'!G176="","",'(4).Midterm Results'!G176)</f>
        <v/>
      </c>
      <c r="H176" s="52" t="str">
        <f>IF('(4).Midterm Results'!H176="","",'(4).Midterm Results'!H176)</f>
        <v/>
      </c>
      <c r="I176" s="52" t="str">
        <f>IF('(4).Midterm Results'!I176="","",'(4).Midterm Results'!I176)</f>
        <v/>
      </c>
      <c r="J176" s="52" t="str">
        <f>IF('(4).Midterm Results'!J176="","",'(4).Midterm Results'!J176)</f>
        <v/>
      </c>
      <c r="K176" s="52" t="str">
        <f>IF('(4).Midterm Results'!K176="","",'(4).Midterm Results'!K176)</f>
        <v/>
      </c>
      <c r="L176" s="52" t="str">
        <f>IF('(4).Midterm Results'!L176="","",'(4).Midterm Results'!L176)</f>
        <v/>
      </c>
      <c r="M176" s="52" t="str">
        <f>IF('(4).Midterm Results'!M176="","",'(4).Midterm Results'!M176)</f>
        <v/>
      </c>
      <c r="N176" s="52" t="str">
        <f>IF('(4).Midterm Results'!N176="","",'(4).Midterm Results'!N176)</f>
        <v/>
      </c>
      <c r="O176" s="53" t="str">
        <f>IF('(4).Midterm Results'!O176="","",'(4).Midterm Results'!O176)</f>
        <v/>
      </c>
      <c r="P176" s="51" t="str">
        <f>IF('(5).Promotion Daily'!AH176="","",'(5).Promotion Daily'!AH176)</f>
        <v/>
      </c>
      <c r="Q176" s="52" t="str">
        <f>IF('(6).Promotion Exam'!D176="","",'(6).Promotion Exam'!D176)</f>
        <v/>
      </c>
      <c r="R176" s="52" t="str">
        <f>IF('(6).Promotion Exam'!E176="","",'(6).Promotion Exam'!E176)</f>
        <v/>
      </c>
      <c r="S176" s="52" t="str">
        <f>IF('(6).Promotion Exam'!F176="","",'(6).Promotion Exam'!F176)</f>
        <v/>
      </c>
      <c r="T176" s="52" t="str">
        <f>IF('(6).Promotion Exam'!G176="","",'(6).Promotion Exam'!G176)</f>
        <v/>
      </c>
      <c r="U176" s="52" t="str">
        <f>IF('(6).Promotion Exam'!H176="","",'(6).Promotion Exam'!H176)</f>
        <v/>
      </c>
      <c r="V176" s="52" t="str">
        <f>IF('(6).Promotion Exam'!I176="","",'(6).Promotion Exam'!I176)</f>
        <v/>
      </c>
      <c r="W176" s="52" t="str">
        <f>IF('(6).Promotion Exam'!J176="","",'(6).Promotion Exam'!J176)</f>
        <v/>
      </c>
      <c r="X176" s="52" t="str">
        <f>IF('(6).Promotion Exam'!K176="","",'(6).Promotion Exam'!K176)</f>
        <v/>
      </c>
      <c r="Y176" s="52" t="str">
        <f>IF('(6).Promotion Exam'!L176="","",'(6).Promotion Exam'!L176)</f>
        <v/>
      </c>
      <c r="Z176" s="52" t="str">
        <f>IF('(6).Promotion Exam'!M176="","",'(6).Promotion Exam'!M176)</f>
        <v/>
      </c>
      <c r="AA176" s="53" t="str">
        <f>IF(B176="","",IF(P176="Incomplete","Incomplete",IF('(6).Promotion Exam'!N176="Change","Change",IF('(6).Promotion Exam'!N176="Stop","Stop",IF('(6).Promotion Exam'!N176="Incomplete","Incomplete",IF(COUNTBLANK(Q176:Z176)&gt;=1,"Incomplete",P176*20%+SUM(Q176:Z176)*80%))))))</f>
        <v/>
      </c>
      <c r="AB176" s="54" t="str">
        <f t="shared" si="32"/>
        <v/>
      </c>
      <c r="AC176" s="55" t="str">
        <f t="shared" si="33"/>
        <v/>
      </c>
      <c r="AD176" s="55" t="str">
        <f t="shared" si="34"/>
        <v/>
      </c>
      <c r="AE176" s="56" t="str">
        <f t="shared" si="35"/>
        <v/>
      </c>
      <c r="AF176" s="57" t="str">
        <f t="shared" si="36"/>
        <v/>
      </c>
      <c r="AG176" s="97" t="str">
        <f t="shared" si="37"/>
        <v/>
      </c>
      <c r="AH176" s="58" t="str">
        <f t="shared" si="38"/>
        <v/>
      </c>
      <c r="AI176" s="58" t="str">
        <f t="shared" si="39"/>
        <v/>
      </c>
      <c r="AJ176" s="59"/>
    </row>
    <row r="177" spans="1:36" ht="15.95" customHeight="1">
      <c r="A177" s="66">
        <v>27</v>
      </c>
      <c r="B177" s="63" t="str">
        <f>IF('(6).Promotion Exam'!B177="","",'(6).Promotion Exam'!B177)</f>
        <v/>
      </c>
      <c r="C177" s="67" t="str">
        <f>IF('(6).Promotion Exam'!C177="","",'(6).Promotion Exam'!C177)</f>
        <v/>
      </c>
      <c r="D177" s="51" t="str">
        <f>IF('(4).Midterm Results'!D177="","",'(4).Midterm Results'!D177)</f>
        <v/>
      </c>
      <c r="E177" s="52" t="str">
        <f>IF('(4).Midterm Results'!E177="","",'(4).Midterm Results'!E177)</f>
        <v/>
      </c>
      <c r="F177" s="52" t="str">
        <f>IF('(4).Midterm Results'!F177="","",'(4).Midterm Results'!F177)</f>
        <v/>
      </c>
      <c r="G177" s="52" t="str">
        <f>IF('(4).Midterm Results'!G177="","",'(4).Midterm Results'!G177)</f>
        <v/>
      </c>
      <c r="H177" s="52" t="str">
        <f>IF('(4).Midterm Results'!H177="","",'(4).Midterm Results'!H177)</f>
        <v/>
      </c>
      <c r="I177" s="52" t="str">
        <f>IF('(4).Midterm Results'!I177="","",'(4).Midterm Results'!I177)</f>
        <v/>
      </c>
      <c r="J177" s="52" t="str">
        <f>IF('(4).Midterm Results'!J177="","",'(4).Midterm Results'!J177)</f>
        <v/>
      </c>
      <c r="K177" s="52" t="str">
        <f>IF('(4).Midterm Results'!K177="","",'(4).Midterm Results'!K177)</f>
        <v/>
      </c>
      <c r="L177" s="52" t="str">
        <f>IF('(4).Midterm Results'!L177="","",'(4).Midterm Results'!L177)</f>
        <v/>
      </c>
      <c r="M177" s="52" t="str">
        <f>IF('(4).Midterm Results'!M177="","",'(4).Midterm Results'!M177)</f>
        <v/>
      </c>
      <c r="N177" s="52" t="str">
        <f>IF('(4).Midterm Results'!N177="","",'(4).Midterm Results'!N177)</f>
        <v/>
      </c>
      <c r="O177" s="53" t="str">
        <f>IF('(4).Midterm Results'!O177="","",'(4).Midterm Results'!O177)</f>
        <v/>
      </c>
      <c r="P177" s="51" t="str">
        <f>IF('(5).Promotion Daily'!AH177="","",'(5).Promotion Daily'!AH177)</f>
        <v/>
      </c>
      <c r="Q177" s="52" t="str">
        <f>IF('(6).Promotion Exam'!D177="","",'(6).Promotion Exam'!D177)</f>
        <v/>
      </c>
      <c r="R177" s="52" t="str">
        <f>IF('(6).Promotion Exam'!E177="","",'(6).Promotion Exam'!E177)</f>
        <v/>
      </c>
      <c r="S177" s="52" t="str">
        <f>IF('(6).Promotion Exam'!F177="","",'(6).Promotion Exam'!F177)</f>
        <v/>
      </c>
      <c r="T177" s="52" t="str">
        <f>IF('(6).Promotion Exam'!G177="","",'(6).Promotion Exam'!G177)</f>
        <v/>
      </c>
      <c r="U177" s="52" t="str">
        <f>IF('(6).Promotion Exam'!H177="","",'(6).Promotion Exam'!H177)</f>
        <v/>
      </c>
      <c r="V177" s="52" t="str">
        <f>IF('(6).Promotion Exam'!I177="","",'(6).Promotion Exam'!I177)</f>
        <v/>
      </c>
      <c r="W177" s="52" t="str">
        <f>IF('(6).Promotion Exam'!J177="","",'(6).Promotion Exam'!J177)</f>
        <v/>
      </c>
      <c r="X177" s="52" t="str">
        <f>IF('(6).Promotion Exam'!K177="","",'(6).Promotion Exam'!K177)</f>
        <v/>
      </c>
      <c r="Y177" s="52" t="str">
        <f>IF('(6).Promotion Exam'!L177="","",'(6).Promotion Exam'!L177)</f>
        <v/>
      </c>
      <c r="Z177" s="52" t="str">
        <f>IF('(6).Promotion Exam'!M177="","",'(6).Promotion Exam'!M177)</f>
        <v/>
      </c>
      <c r="AA177" s="53" t="str">
        <f>IF(B177="","",IF(P177="Incomplete","Incomplete",IF('(6).Promotion Exam'!N177="Change","Change",IF('(6).Promotion Exam'!N177="Stop","Stop",IF('(6).Promotion Exam'!N177="Incomplete","Incomplete",IF(COUNTBLANK(Q177:Z177)&gt;=1,"Incomplete",P177*20%+SUM(Q177:Z177)*80%))))))</f>
        <v/>
      </c>
      <c r="AB177" s="54" t="str">
        <f t="shared" si="32"/>
        <v/>
      </c>
      <c r="AC177" s="55" t="str">
        <f t="shared" si="33"/>
        <v/>
      </c>
      <c r="AD177" s="55" t="str">
        <f t="shared" si="34"/>
        <v/>
      </c>
      <c r="AE177" s="56" t="str">
        <f t="shared" si="35"/>
        <v/>
      </c>
      <c r="AF177" s="57" t="str">
        <f t="shared" si="36"/>
        <v/>
      </c>
      <c r="AG177" s="97" t="str">
        <f t="shared" si="37"/>
        <v/>
      </c>
      <c r="AH177" s="58" t="str">
        <f t="shared" si="38"/>
        <v/>
      </c>
      <c r="AI177" s="58" t="str">
        <f t="shared" si="39"/>
        <v/>
      </c>
      <c r="AJ177" s="59"/>
    </row>
    <row r="178" spans="1:36" ht="15.95" customHeight="1">
      <c r="A178" s="66">
        <v>28</v>
      </c>
      <c r="B178" s="63" t="str">
        <f>IF('(6).Promotion Exam'!B178="","",'(6).Promotion Exam'!B178)</f>
        <v/>
      </c>
      <c r="C178" s="67" t="str">
        <f>IF('(6).Promotion Exam'!C178="","",'(6).Promotion Exam'!C178)</f>
        <v/>
      </c>
      <c r="D178" s="51" t="str">
        <f>IF('(4).Midterm Results'!D178="","",'(4).Midterm Results'!D178)</f>
        <v/>
      </c>
      <c r="E178" s="52" t="str">
        <f>IF('(4).Midterm Results'!E178="","",'(4).Midterm Results'!E178)</f>
        <v/>
      </c>
      <c r="F178" s="52" t="str">
        <f>IF('(4).Midterm Results'!F178="","",'(4).Midterm Results'!F178)</f>
        <v/>
      </c>
      <c r="G178" s="52" t="str">
        <f>IF('(4).Midterm Results'!G178="","",'(4).Midterm Results'!G178)</f>
        <v/>
      </c>
      <c r="H178" s="52" t="str">
        <f>IF('(4).Midterm Results'!H178="","",'(4).Midterm Results'!H178)</f>
        <v/>
      </c>
      <c r="I178" s="52" t="str">
        <f>IF('(4).Midterm Results'!I178="","",'(4).Midterm Results'!I178)</f>
        <v/>
      </c>
      <c r="J178" s="52" t="str">
        <f>IF('(4).Midterm Results'!J178="","",'(4).Midterm Results'!J178)</f>
        <v/>
      </c>
      <c r="K178" s="52" t="str">
        <f>IF('(4).Midterm Results'!K178="","",'(4).Midterm Results'!K178)</f>
        <v/>
      </c>
      <c r="L178" s="52" t="str">
        <f>IF('(4).Midterm Results'!L178="","",'(4).Midterm Results'!L178)</f>
        <v/>
      </c>
      <c r="M178" s="52" t="str">
        <f>IF('(4).Midterm Results'!M178="","",'(4).Midterm Results'!M178)</f>
        <v/>
      </c>
      <c r="N178" s="52" t="str">
        <f>IF('(4).Midterm Results'!N178="","",'(4).Midterm Results'!N178)</f>
        <v/>
      </c>
      <c r="O178" s="53" t="str">
        <f>IF('(4).Midterm Results'!O178="","",'(4).Midterm Results'!O178)</f>
        <v/>
      </c>
      <c r="P178" s="51" t="str">
        <f>IF('(5).Promotion Daily'!AH178="","",'(5).Promotion Daily'!AH178)</f>
        <v/>
      </c>
      <c r="Q178" s="52" t="str">
        <f>IF('(6).Promotion Exam'!D178="","",'(6).Promotion Exam'!D178)</f>
        <v/>
      </c>
      <c r="R178" s="52" t="str">
        <f>IF('(6).Promotion Exam'!E178="","",'(6).Promotion Exam'!E178)</f>
        <v/>
      </c>
      <c r="S178" s="52" t="str">
        <f>IF('(6).Promotion Exam'!F178="","",'(6).Promotion Exam'!F178)</f>
        <v/>
      </c>
      <c r="T178" s="52" t="str">
        <f>IF('(6).Promotion Exam'!G178="","",'(6).Promotion Exam'!G178)</f>
        <v/>
      </c>
      <c r="U178" s="52" t="str">
        <f>IF('(6).Promotion Exam'!H178="","",'(6).Promotion Exam'!H178)</f>
        <v/>
      </c>
      <c r="V178" s="52" t="str">
        <f>IF('(6).Promotion Exam'!I178="","",'(6).Promotion Exam'!I178)</f>
        <v/>
      </c>
      <c r="W178" s="52" t="str">
        <f>IF('(6).Promotion Exam'!J178="","",'(6).Promotion Exam'!J178)</f>
        <v/>
      </c>
      <c r="X178" s="52" t="str">
        <f>IF('(6).Promotion Exam'!K178="","",'(6).Promotion Exam'!K178)</f>
        <v/>
      </c>
      <c r="Y178" s="52" t="str">
        <f>IF('(6).Promotion Exam'!L178="","",'(6).Promotion Exam'!L178)</f>
        <v/>
      </c>
      <c r="Z178" s="52" t="str">
        <f>IF('(6).Promotion Exam'!M178="","",'(6).Promotion Exam'!M178)</f>
        <v/>
      </c>
      <c r="AA178" s="53" t="str">
        <f>IF(B178="","",IF(P178="Incomplete","Incomplete",IF('(6).Promotion Exam'!N178="Change","Change",IF('(6).Promotion Exam'!N178="Stop","Stop",IF('(6).Promotion Exam'!N178="Incomplete","Incomplete",IF(COUNTBLANK(Q178:Z178)&gt;=1,"Incomplete",P178*20%+SUM(Q178:Z178)*80%))))))</f>
        <v/>
      </c>
      <c r="AB178" s="54" t="str">
        <f t="shared" si="32"/>
        <v/>
      </c>
      <c r="AC178" s="55" t="str">
        <f t="shared" si="33"/>
        <v/>
      </c>
      <c r="AD178" s="55" t="str">
        <f t="shared" si="34"/>
        <v/>
      </c>
      <c r="AE178" s="56" t="str">
        <f t="shared" si="35"/>
        <v/>
      </c>
      <c r="AF178" s="57" t="str">
        <f t="shared" si="36"/>
        <v/>
      </c>
      <c r="AG178" s="97" t="str">
        <f t="shared" si="37"/>
        <v/>
      </c>
      <c r="AH178" s="58" t="str">
        <f t="shared" si="38"/>
        <v/>
      </c>
      <c r="AI178" s="58" t="str">
        <f t="shared" si="39"/>
        <v/>
      </c>
      <c r="AJ178" s="59"/>
    </row>
    <row r="179" spans="1:36" ht="15.95" customHeight="1">
      <c r="A179" s="66">
        <v>29</v>
      </c>
      <c r="B179" s="63" t="str">
        <f>IF('(6).Promotion Exam'!B179="","",'(6).Promotion Exam'!B179)</f>
        <v/>
      </c>
      <c r="C179" s="67" t="str">
        <f>IF('(6).Promotion Exam'!C179="","",'(6).Promotion Exam'!C179)</f>
        <v/>
      </c>
      <c r="D179" s="51" t="str">
        <f>IF('(4).Midterm Results'!D179="","",'(4).Midterm Results'!D179)</f>
        <v/>
      </c>
      <c r="E179" s="52" t="str">
        <f>IF('(4).Midterm Results'!E179="","",'(4).Midterm Results'!E179)</f>
        <v/>
      </c>
      <c r="F179" s="52" t="str">
        <f>IF('(4).Midterm Results'!F179="","",'(4).Midterm Results'!F179)</f>
        <v/>
      </c>
      <c r="G179" s="52" t="str">
        <f>IF('(4).Midterm Results'!G179="","",'(4).Midterm Results'!G179)</f>
        <v/>
      </c>
      <c r="H179" s="52" t="str">
        <f>IF('(4).Midterm Results'!H179="","",'(4).Midterm Results'!H179)</f>
        <v/>
      </c>
      <c r="I179" s="52" t="str">
        <f>IF('(4).Midterm Results'!I179="","",'(4).Midterm Results'!I179)</f>
        <v/>
      </c>
      <c r="J179" s="52" t="str">
        <f>IF('(4).Midterm Results'!J179="","",'(4).Midterm Results'!J179)</f>
        <v/>
      </c>
      <c r="K179" s="52" t="str">
        <f>IF('(4).Midterm Results'!K179="","",'(4).Midterm Results'!K179)</f>
        <v/>
      </c>
      <c r="L179" s="52" t="str">
        <f>IF('(4).Midterm Results'!L179="","",'(4).Midterm Results'!L179)</f>
        <v/>
      </c>
      <c r="M179" s="52" t="str">
        <f>IF('(4).Midterm Results'!M179="","",'(4).Midterm Results'!M179)</f>
        <v/>
      </c>
      <c r="N179" s="52" t="str">
        <f>IF('(4).Midterm Results'!N179="","",'(4).Midterm Results'!N179)</f>
        <v/>
      </c>
      <c r="O179" s="53" t="str">
        <f>IF('(4).Midterm Results'!O179="","",'(4).Midterm Results'!O179)</f>
        <v/>
      </c>
      <c r="P179" s="51" t="str">
        <f>IF('(5).Promotion Daily'!AH179="","",'(5).Promotion Daily'!AH179)</f>
        <v/>
      </c>
      <c r="Q179" s="52" t="str">
        <f>IF('(6).Promotion Exam'!D179="","",'(6).Promotion Exam'!D179)</f>
        <v/>
      </c>
      <c r="R179" s="52" t="str">
        <f>IF('(6).Promotion Exam'!E179="","",'(6).Promotion Exam'!E179)</f>
        <v/>
      </c>
      <c r="S179" s="52" t="str">
        <f>IF('(6).Promotion Exam'!F179="","",'(6).Promotion Exam'!F179)</f>
        <v/>
      </c>
      <c r="T179" s="52" t="str">
        <f>IF('(6).Promotion Exam'!G179="","",'(6).Promotion Exam'!G179)</f>
        <v/>
      </c>
      <c r="U179" s="52" t="str">
        <f>IF('(6).Promotion Exam'!H179="","",'(6).Promotion Exam'!H179)</f>
        <v/>
      </c>
      <c r="V179" s="52" t="str">
        <f>IF('(6).Promotion Exam'!I179="","",'(6).Promotion Exam'!I179)</f>
        <v/>
      </c>
      <c r="W179" s="52" t="str">
        <f>IF('(6).Promotion Exam'!J179="","",'(6).Promotion Exam'!J179)</f>
        <v/>
      </c>
      <c r="X179" s="52" t="str">
        <f>IF('(6).Promotion Exam'!K179="","",'(6).Promotion Exam'!K179)</f>
        <v/>
      </c>
      <c r="Y179" s="52" t="str">
        <f>IF('(6).Promotion Exam'!L179="","",'(6).Promotion Exam'!L179)</f>
        <v/>
      </c>
      <c r="Z179" s="52" t="str">
        <f>IF('(6).Promotion Exam'!M179="","",'(6).Promotion Exam'!M179)</f>
        <v/>
      </c>
      <c r="AA179" s="53" t="str">
        <f>IF(B179="","",IF(P179="Incomplete","Incomplete",IF('(6).Promotion Exam'!N179="Change","Change",IF('(6).Promotion Exam'!N179="Stop","Stop",IF('(6).Promotion Exam'!N179="Incomplete","Incomplete",IF(COUNTBLANK(Q179:Z179)&gt;=1,"Incomplete",P179*20%+SUM(Q179:Z179)*80%))))))</f>
        <v/>
      </c>
      <c r="AB179" s="54" t="str">
        <f t="shared" si="32"/>
        <v/>
      </c>
      <c r="AC179" s="55" t="str">
        <f t="shared" si="33"/>
        <v/>
      </c>
      <c r="AD179" s="55" t="str">
        <f t="shared" si="34"/>
        <v/>
      </c>
      <c r="AE179" s="56" t="str">
        <f t="shared" si="35"/>
        <v/>
      </c>
      <c r="AF179" s="57" t="str">
        <f t="shared" si="36"/>
        <v/>
      </c>
      <c r="AG179" s="97" t="str">
        <f t="shared" si="37"/>
        <v/>
      </c>
      <c r="AH179" s="58" t="str">
        <f t="shared" si="38"/>
        <v/>
      </c>
      <c r="AI179" s="58" t="str">
        <f t="shared" si="39"/>
        <v/>
      </c>
      <c r="AJ179" s="59"/>
    </row>
    <row r="180" spans="1:36" ht="15.95" customHeight="1">
      <c r="A180" s="66">
        <v>30</v>
      </c>
      <c r="B180" s="63" t="str">
        <f>IF('(6).Promotion Exam'!B180="","",'(6).Promotion Exam'!B180)</f>
        <v/>
      </c>
      <c r="C180" s="67" t="str">
        <f>IF('(6).Promotion Exam'!C180="","",'(6).Promotion Exam'!C180)</f>
        <v/>
      </c>
      <c r="D180" s="51" t="str">
        <f>IF('(4).Midterm Results'!D180="","",'(4).Midterm Results'!D180)</f>
        <v/>
      </c>
      <c r="E180" s="52" t="str">
        <f>IF('(4).Midterm Results'!E180="","",'(4).Midterm Results'!E180)</f>
        <v/>
      </c>
      <c r="F180" s="52" t="str">
        <f>IF('(4).Midterm Results'!F180="","",'(4).Midterm Results'!F180)</f>
        <v/>
      </c>
      <c r="G180" s="52" t="str">
        <f>IF('(4).Midterm Results'!G180="","",'(4).Midterm Results'!G180)</f>
        <v/>
      </c>
      <c r="H180" s="52" t="str">
        <f>IF('(4).Midterm Results'!H180="","",'(4).Midterm Results'!H180)</f>
        <v/>
      </c>
      <c r="I180" s="52" t="str">
        <f>IF('(4).Midterm Results'!I180="","",'(4).Midterm Results'!I180)</f>
        <v/>
      </c>
      <c r="J180" s="52" t="str">
        <f>IF('(4).Midterm Results'!J180="","",'(4).Midterm Results'!J180)</f>
        <v/>
      </c>
      <c r="K180" s="52" t="str">
        <f>IF('(4).Midterm Results'!K180="","",'(4).Midterm Results'!K180)</f>
        <v/>
      </c>
      <c r="L180" s="52" t="str">
        <f>IF('(4).Midterm Results'!L180="","",'(4).Midterm Results'!L180)</f>
        <v/>
      </c>
      <c r="M180" s="52" t="str">
        <f>IF('(4).Midterm Results'!M180="","",'(4).Midterm Results'!M180)</f>
        <v/>
      </c>
      <c r="N180" s="52" t="str">
        <f>IF('(4).Midterm Results'!N180="","",'(4).Midterm Results'!N180)</f>
        <v/>
      </c>
      <c r="O180" s="53" t="str">
        <f>IF('(4).Midterm Results'!O180="","",'(4).Midterm Results'!O180)</f>
        <v/>
      </c>
      <c r="P180" s="51" t="str">
        <f>IF('(5).Promotion Daily'!AH180="","",'(5).Promotion Daily'!AH180)</f>
        <v/>
      </c>
      <c r="Q180" s="52" t="str">
        <f>IF('(6).Promotion Exam'!D180="","",'(6).Promotion Exam'!D180)</f>
        <v/>
      </c>
      <c r="R180" s="52" t="str">
        <f>IF('(6).Promotion Exam'!E180="","",'(6).Promotion Exam'!E180)</f>
        <v/>
      </c>
      <c r="S180" s="52" t="str">
        <f>IF('(6).Promotion Exam'!F180="","",'(6).Promotion Exam'!F180)</f>
        <v/>
      </c>
      <c r="T180" s="52" t="str">
        <f>IF('(6).Promotion Exam'!G180="","",'(6).Promotion Exam'!G180)</f>
        <v/>
      </c>
      <c r="U180" s="52" t="str">
        <f>IF('(6).Promotion Exam'!H180="","",'(6).Promotion Exam'!H180)</f>
        <v/>
      </c>
      <c r="V180" s="52" t="str">
        <f>IF('(6).Promotion Exam'!I180="","",'(6).Promotion Exam'!I180)</f>
        <v/>
      </c>
      <c r="W180" s="52" t="str">
        <f>IF('(6).Promotion Exam'!J180="","",'(6).Promotion Exam'!J180)</f>
        <v/>
      </c>
      <c r="X180" s="52" t="str">
        <f>IF('(6).Promotion Exam'!K180="","",'(6).Promotion Exam'!K180)</f>
        <v/>
      </c>
      <c r="Y180" s="52" t="str">
        <f>IF('(6).Promotion Exam'!L180="","",'(6).Promotion Exam'!L180)</f>
        <v/>
      </c>
      <c r="Z180" s="52" t="str">
        <f>IF('(6).Promotion Exam'!M180="","",'(6).Promotion Exam'!M180)</f>
        <v/>
      </c>
      <c r="AA180" s="53" t="str">
        <f>IF(B180="","",IF(P180="Incomplete","Incomplete",IF('(6).Promotion Exam'!N180="Change","Change",IF('(6).Promotion Exam'!N180="Stop","Stop",IF('(6).Promotion Exam'!N180="Incomplete","Incomplete",IF(COUNTBLANK(Q180:Z180)&gt;=1,"Incomplete",P180*20%+SUM(Q180:Z180)*80%))))))</f>
        <v/>
      </c>
      <c r="AB180" s="54" t="str">
        <f t="shared" si="32"/>
        <v/>
      </c>
      <c r="AC180" s="55" t="str">
        <f t="shared" si="33"/>
        <v/>
      </c>
      <c r="AD180" s="55" t="str">
        <f t="shared" si="34"/>
        <v/>
      </c>
      <c r="AE180" s="56" t="str">
        <f t="shared" si="35"/>
        <v/>
      </c>
      <c r="AF180" s="57" t="str">
        <f t="shared" si="36"/>
        <v/>
      </c>
      <c r="AG180" s="97" t="str">
        <f t="shared" si="37"/>
        <v/>
      </c>
      <c r="AH180" s="58" t="str">
        <f t="shared" si="38"/>
        <v/>
      </c>
      <c r="AI180" s="58" t="str">
        <f t="shared" si="39"/>
        <v/>
      </c>
      <c r="AJ180" s="59"/>
    </row>
    <row r="181" spans="1:36" ht="15.95" customHeight="1">
      <c r="A181" s="18" t="s">
        <v>0</v>
      </c>
      <c r="B181" s="19">
        <f>'(6).Promotion Exam'!B181</f>
        <v>0</v>
      </c>
      <c r="C181" s="60"/>
      <c r="D181" s="222" t="s">
        <v>94</v>
      </c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F181" s="5">
        <f>B181</f>
        <v>0</v>
      </c>
      <c r="AG181" s="5" t="str">
        <f>IF(AH181="12:30-3:00","WK",IF(AH181="3:00-5:30","WK","MF"))</f>
        <v>MF</v>
      </c>
      <c r="AH181" s="5">
        <f>B183</f>
        <v>0</v>
      </c>
      <c r="AI181" s="5">
        <f>B185</f>
        <v>0</v>
      </c>
    </row>
    <row r="182" spans="1:36" ht="15.95" customHeight="1">
      <c r="A182" s="18" t="s">
        <v>1</v>
      </c>
      <c r="B182" s="19">
        <f>'(6).Promotion Exam'!B182</f>
        <v>0</v>
      </c>
      <c r="C182" s="60"/>
      <c r="D182" s="222" t="str">
        <f>'(3).Midterm Exam'!D183</f>
        <v>FEBRUARY - JULY 2026</v>
      </c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72"/>
      <c r="AB182" s="5"/>
    </row>
    <row r="183" spans="1:36" ht="15.95" customHeight="1">
      <c r="A183" s="18" t="s">
        <v>2</v>
      </c>
      <c r="B183" s="19">
        <f>'(6).Promotion Exam'!B183</f>
        <v>0</v>
      </c>
      <c r="C183" s="60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  <c r="AA183" s="273"/>
      <c r="AB183" s="5"/>
    </row>
    <row r="184" spans="1:36" ht="15.95" customHeight="1">
      <c r="A184" s="18" t="s">
        <v>3</v>
      </c>
      <c r="B184" s="19">
        <f>'(6).Promotion Exam'!B184</f>
        <v>0</v>
      </c>
      <c r="C184" s="60"/>
      <c r="D184" s="92" t="s">
        <v>19</v>
      </c>
      <c r="E184" s="268" t="s">
        <v>93</v>
      </c>
      <c r="F184" s="269"/>
      <c r="G184" s="269"/>
      <c r="H184" s="269"/>
      <c r="I184" s="269"/>
      <c r="J184" s="269"/>
      <c r="K184" s="269"/>
      <c r="L184" s="269"/>
      <c r="M184" s="269"/>
      <c r="N184" s="270"/>
      <c r="O184" s="93" t="s">
        <v>95</v>
      </c>
      <c r="P184" s="92" t="s">
        <v>31</v>
      </c>
      <c r="Q184" s="268" t="s">
        <v>96</v>
      </c>
      <c r="R184" s="269"/>
      <c r="S184" s="269"/>
      <c r="T184" s="269"/>
      <c r="U184" s="269"/>
      <c r="V184" s="269"/>
      <c r="W184" s="269"/>
      <c r="X184" s="269"/>
      <c r="Y184" s="269"/>
      <c r="Z184" s="270"/>
      <c r="AA184" s="93" t="s">
        <v>95</v>
      </c>
      <c r="AB184" s="252" t="s">
        <v>27</v>
      </c>
      <c r="AC184" s="253"/>
      <c r="AD184" s="253"/>
      <c r="AE184" s="254"/>
      <c r="AF184" s="255" t="s">
        <v>20</v>
      </c>
      <c r="AG184" s="256"/>
      <c r="AH184" s="256"/>
      <c r="AI184" s="256"/>
      <c r="AJ184" s="257"/>
    </row>
    <row r="185" spans="1:36" ht="15.95" customHeight="1">
      <c r="A185" s="18" t="s">
        <v>4</v>
      </c>
      <c r="B185" s="19">
        <f>'(6).Promotion Exam'!B185</f>
        <v>0</v>
      </c>
      <c r="C185" s="60"/>
      <c r="D185" s="95" t="s">
        <v>18</v>
      </c>
      <c r="E185" s="91" t="str">
        <f>IF(OR($B182="K5",$B182="K6",$B182="K7",$B182="K8",$B182="K9",$B182="K10"),"Lis","ULC")</f>
        <v>ULC</v>
      </c>
      <c r="F185" s="91" t="str">
        <f>IF(OR($B182="K5",$B182="K6",$B182="K7",$B182="K8",$B182="K9",$B182="K10"),"Spk","Alp.N")</f>
        <v>Alp.N</v>
      </c>
      <c r="G185" s="91" t="str">
        <f>IF(OR($B182="K5",$B182="K6",$B182="K7",$B182="K8",$B182="K9",$B182="K10"),"Rea","Alp.S")</f>
        <v>Alp.S</v>
      </c>
      <c r="H185" s="91" t="str">
        <f>IF(OR($B182="K5",$B182="K6",$B182="K7",$B182="K8",$B182="K9",$B182="K10"),"Wri","Voc")</f>
        <v>Voc</v>
      </c>
      <c r="I185" s="91" t="str">
        <f>IF(OR($B182="K5",$B182="K6",$B182="K7",$B182="K8",$B182="K9",$B182="K10"),"Gra","Spr")</f>
        <v>Spr</v>
      </c>
      <c r="J185" s="91" t="str">
        <f>IF(OR($B182="K5",$B182="K6",$B182="K7",$B182="K8",$B182="K9",$B182="K10"),"Voc","Pho")</f>
        <v>Pho</v>
      </c>
      <c r="K185" s="91" t="str">
        <f>IF(OR($B182="K5",$B182="K6",$B182="K7",$B182="K8",$B182="K9",$B182="K10"),"Roots","Math")</f>
        <v>Math</v>
      </c>
      <c r="L185" s="91" t="str">
        <f>IF(OR($B182="K5",$B182="K6",$B182="K7",$B182="K8",$B182="K9",$B182="K10"),"Pho","Shap")</f>
        <v>Shap</v>
      </c>
      <c r="M185" s="91" t="str">
        <f>IF(OR($B182="K5",$B182="K6",$B182="K7",$B182="K8",$B182="K9",$B182="K10"),"Math","Sci")</f>
        <v>Sci</v>
      </c>
      <c r="N185" s="91" t="str">
        <f>IF(OR($B182="K5",$B182="K6",$B182="K7",$B182="K8",$B182="K9",$B182="K10"),"Sci","Trac")</f>
        <v>Trac</v>
      </c>
      <c r="O185" s="94" t="s">
        <v>24</v>
      </c>
      <c r="P185" s="95" t="s">
        <v>18</v>
      </c>
      <c r="Q185" s="91" t="str">
        <f>IF(OR($B182="K5",$B182="K6",$B182="K7",$B182="K8",$B182="K9",$B182="K10"),"Lis","ULC")</f>
        <v>ULC</v>
      </c>
      <c r="R185" s="91" t="str">
        <f>IF(OR($B182="K5",$B182="K6",$B182="K7",$B182="K8",$B182="K9",$B182="K10"),"Spk","Alp.N")</f>
        <v>Alp.N</v>
      </c>
      <c r="S185" s="91" t="str">
        <f>IF(OR($B182="K5",$B182="K6",$B182="K7",$B182="K8",$B182="K9",$B182="K10"),"Rea","Alp.S")</f>
        <v>Alp.S</v>
      </c>
      <c r="T185" s="91" t="str">
        <f>IF(OR($B182="K5",$B182="K6",$B182="K7",$B182="K8",$B182="K9",$B182="K10"),"Wri","Voc")</f>
        <v>Voc</v>
      </c>
      <c r="U185" s="91" t="str">
        <f>IF(OR($B182="K5",$B182="K6",$B182="K7",$B182="K8",$B182="K9",$B182="K10"),"Gra","Spr")</f>
        <v>Spr</v>
      </c>
      <c r="V185" s="91" t="str">
        <f>IF(OR($B182="K5",$B182="K6",$B182="K7",$B182="K8",$B182="K9",$B182="K10"),"Voc","Pho")</f>
        <v>Pho</v>
      </c>
      <c r="W185" s="91" t="str">
        <f>IF(OR($B182="K5",$B182="K6",$B182="K7",$B182="K8",$B182="K9",$B182="K10"),"Roots","Math")</f>
        <v>Math</v>
      </c>
      <c r="X185" s="91" t="str">
        <f>IF(OR($B182="K5",$B182="K6",$B182="K7",$B182="K8",$B182="K9",$B182="K10"),"Pho","Shap")</f>
        <v>Shap</v>
      </c>
      <c r="Y185" s="91" t="str">
        <f>IF(OR($B182="K5",$B182="K6",$B182="K7",$B182="K8",$B182="K9",$B182="K10"),"Math","Sci")</f>
        <v>Sci</v>
      </c>
      <c r="Z185" s="91" t="str">
        <f>IF(OR($B182="K5",$B182="K6",$B182="K7",$B182="K8",$B182="K9",$B182="K10"),"Sci","Trac")</f>
        <v>Trac</v>
      </c>
      <c r="AA185" s="94" t="s">
        <v>24</v>
      </c>
      <c r="AB185" s="44" t="s">
        <v>23</v>
      </c>
      <c r="AC185" s="260" t="s">
        <v>25</v>
      </c>
      <c r="AD185" s="260" t="s">
        <v>26</v>
      </c>
      <c r="AE185" s="262" t="s">
        <v>22</v>
      </c>
      <c r="AF185" s="264" t="s">
        <v>21</v>
      </c>
      <c r="AG185" s="266" t="s">
        <v>119</v>
      </c>
      <c r="AH185" s="258" t="s">
        <v>32</v>
      </c>
      <c r="AI185" s="258" t="s">
        <v>33</v>
      </c>
      <c r="AJ185" s="22" t="s">
        <v>28</v>
      </c>
    </row>
    <row r="186" spans="1:36" ht="15.95" customHeight="1">
      <c r="A186" s="65" t="s">
        <v>5</v>
      </c>
      <c r="B186" s="64" t="s">
        <v>6</v>
      </c>
      <c r="C186" s="85" t="s">
        <v>7</v>
      </c>
      <c r="D186" s="99">
        <v>100</v>
      </c>
      <c r="E186" s="99">
        <v>10</v>
      </c>
      <c r="F186" s="99">
        <v>10</v>
      </c>
      <c r="G186" s="99">
        <v>10</v>
      </c>
      <c r="H186" s="99">
        <v>10</v>
      </c>
      <c r="I186" s="99">
        <v>10</v>
      </c>
      <c r="J186" s="99">
        <v>10</v>
      </c>
      <c r="K186" s="99">
        <v>10</v>
      </c>
      <c r="L186" s="99">
        <v>10</v>
      </c>
      <c r="M186" s="99">
        <v>10</v>
      </c>
      <c r="N186" s="99">
        <v>10</v>
      </c>
      <c r="O186" s="99">
        <v>100</v>
      </c>
      <c r="P186" s="99">
        <v>100</v>
      </c>
      <c r="Q186" s="99">
        <v>10</v>
      </c>
      <c r="R186" s="99">
        <v>10</v>
      </c>
      <c r="S186" s="99">
        <v>10</v>
      </c>
      <c r="T186" s="99">
        <v>10</v>
      </c>
      <c r="U186" s="99">
        <v>10</v>
      </c>
      <c r="V186" s="99">
        <v>10</v>
      </c>
      <c r="W186" s="99">
        <v>10</v>
      </c>
      <c r="X186" s="99">
        <v>10</v>
      </c>
      <c r="Y186" s="99">
        <v>10</v>
      </c>
      <c r="Z186" s="99">
        <v>10</v>
      </c>
      <c r="AA186" s="99">
        <v>100</v>
      </c>
      <c r="AB186" s="45" t="s">
        <v>24</v>
      </c>
      <c r="AC186" s="261"/>
      <c r="AD186" s="261"/>
      <c r="AE186" s="263"/>
      <c r="AF186" s="265"/>
      <c r="AG186" s="267"/>
      <c r="AH186" s="259"/>
      <c r="AI186" s="259"/>
      <c r="AJ186" s="23" t="s">
        <v>29</v>
      </c>
    </row>
    <row r="187" spans="1:36" ht="15.95" customHeight="1">
      <c r="A187" s="66">
        <v>1</v>
      </c>
      <c r="B187" s="68" t="str">
        <f>IF('(6).Promotion Exam'!B187="","",'(6).Promotion Exam'!B187)</f>
        <v/>
      </c>
      <c r="C187" s="79" t="str">
        <f>IF('(6).Promotion Exam'!C187="","",'(6).Promotion Exam'!C187)</f>
        <v/>
      </c>
      <c r="D187" s="86" t="str">
        <f>IF('(4).Midterm Results'!D187="","",'(4).Midterm Results'!D187)</f>
        <v/>
      </c>
      <c r="E187" s="87" t="str">
        <f>IF('(4).Midterm Results'!E187="","",'(4).Midterm Results'!E187)</f>
        <v/>
      </c>
      <c r="F187" s="87" t="str">
        <f>IF('(4).Midterm Results'!F187="","",'(4).Midterm Results'!F187)</f>
        <v/>
      </c>
      <c r="G187" s="87" t="str">
        <f>IF('(4).Midterm Results'!G187="","",'(4).Midterm Results'!G187)</f>
        <v/>
      </c>
      <c r="H187" s="87" t="str">
        <f>IF('(4).Midterm Results'!H187="","",'(4).Midterm Results'!H187)</f>
        <v/>
      </c>
      <c r="I187" s="87" t="str">
        <f>IF('(4).Midterm Results'!I187="","",'(4).Midterm Results'!I187)</f>
        <v/>
      </c>
      <c r="J187" s="87" t="str">
        <f>IF('(4).Midterm Results'!J187="","",'(4).Midterm Results'!J187)</f>
        <v/>
      </c>
      <c r="K187" s="87" t="str">
        <f>IF('(4).Midterm Results'!K187="","",'(4).Midterm Results'!K187)</f>
        <v/>
      </c>
      <c r="L187" s="87" t="str">
        <f>IF('(4).Midterm Results'!L187="","",'(4).Midterm Results'!L187)</f>
        <v/>
      </c>
      <c r="M187" s="87" t="str">
        <f>IF('(4).Midterm Results'!M187="","",'(4).Midterm Results'!M187)</f>
        <v/>
      </c>
      <c r="N187" s="87" t="str">
        <f>IF('(4).Midterm Results'!N187="","",'(4).Midterm Results'!N187)</f>
        <v/>
      </c>
      <c r="O187" s="88" t="str">
        <f>IF('(4).Midterm Results'!O187="","",'(4).Midterm Results'!O187)</f>
        <v/>
      </c>
      <c r="P187" s="86" t="str">
        <f>IF('(5).Promotion Daily'!AH187="","",'(5).Promotion Daily'!AH187)</f>
        <v/>
      </c>
      <c r="Q187" s="87" t="str">
        <f>IF('(6).Promotion Exam'!D187="","",'(6).Promotion Exam'!D187)</f>
        <v/>
      </c>
      <c r="R187" s="87" t="str">
        <f>IF('(6).Promotion Exam'!E187="","",'(6).Promotion Exam'!E187)</f>
        <v/>
      </c>
      <c r="S187" s="87" t="str">
        <f>IF('(6).Promotion Exam'!F187="","",'(6).Promotion Exam'!F187)</f>
        <v/>
      </c>
      <c r="T187" s="87" t="str">
        <f>IF('(6).Promotion Exam'!G187="","",'(6).Promotion Exam'!G187)</f>
        <v/>
      </c>
      <c r="U187" s="87" t="str">
        <f>IF('(6).Promotion Exam'!H187="","",'(6).Promotion Exam'!H187)</f>
        <v/>
      </c>
      <c r="V187" s="87" t="str">
        <f>IF('(6).Promotion Exam'!I187="","",'(6).Promotion Exam'!I187)</f>
        <v/>
      </c>
      <c r="W187" s="87" t="str">
        <f>IF('(6).Promotion Exam'!J187="","",'(6).Promotion Exam'!J187)</f>
        <v/>
      </c>
      <c r="X187" s="87" t="str">
        <f>IF('(6).Promotion Exam'!K187="","",'(6).Promotion Exam'!K187)</f>
        <v/>
      </c>
      <c r="Y187" s="87" t="str">
        <f>IF('(6).Promotion Exam'!L187="","",'(6).Promotion Exam'!L187)</f>
        <v/>
      </c>
      <c r="Z187" s="87" t="str">
        <f>IF('(6).Promotion Exam'!M187="","",'(6).Promotion Exam'!M187)</f>
        <v/>
      </c>
      <c r="AA187" s="88" t="str">
        <f>IF(B187="","",IF(P187="Incomplete","Incomplete",IF('(6).Promotion Exam'!N187="Change","Change",IF('(6).Promotion Exam'!N187="Stop","Stop",IF('(6).Promotion Exam'!N187="Incomplete","Incomplete",IF(COUNTBLANK(Q187:Z187)&gt;=1,"Incomplete",P187*20%+SUM(Q187:Z187)*80%))))))</f>
        <v/>
      </c>
      <c r="AB187" s="98" t="str">
        <f>IF(O187="","",IF(O187="Incomplete","",IF(O187="Change","",IF(O187="Stop","",IF(AA187="","",SUM(O187,AA187)/2)))))</f>
        <v/>
      </c>
      <c r="AC187" s="55" t="str">
        <f>IF(AB187="","",IF(AB187&lt;55,"Repeat",IF(AB187&lt;65,"C-",IF(AB187&lt;70,"C",IF(AB187&lt;75,"C+",IF(AB187&lt;80,"B-",IF(AB187&lt;85,"B",IF(AB187&lt;90,"B+",IF(AB187&gt;=90,"A")))))))))</f>
        <v/>
      </c>
      <c r="AD187" s="55" t="str">
        <f>IF(AC187="","",IF(AC187="Repeat","Repeat",IF(AC187="C-","Below Average",IF(AC187="C","Average",IF(AC187="C+","Above Average",IF(AC187="B-","Fairly Good",IF(AC187="B","Good",IF(AC187="B+","Very Good",IF(AC187="A","Excellent")))))))))</f>
        <v/>
      </c>
      <c r="AE187" s="56" t="str">
        <f>IF(AD187="","",IF(AD187="Repeat","ត្រួតថ្នាក់",IF(AD187="Below Average","ក្រោមមធ្យមភាគ",IF(AD187="Average","មធ្យមភាគ",IF(AD187="Above Average","លើមធ្យមភាគ",IF(AD187="Fairly Good","ល្អបង្គួរ",IF(AD187="Good","ល្អ",IF(AD187="Very Good","ល្អណាស់",IF(AD187="Excellent","ល្អប្រសើរ")))))))))</f>
        <v/>
      </c>
      <c r="AF187" s="57" t="str">
        <f>IF(B187="","",$AF$181)</f>
        <v/>
      </c>
      <c r="AG187" s="97" t="str">
        <f>IF(B187="","",$AG$181)</f>
        <v/>
      </c>
      <c r="AH187" s="58" t="str">
        <f>IF(B187="","",$AH$181)</f>
        <v/>
      </c>
      <c r="AI187" s="58" t="str">
        <f>IF(B187="","",$AI$181)</f>
        <v/>
      </c>
      <c r="AJ187" s="59"/>
    </row>
    <row r="188" spans="1:36" ht="15.95" customHeight="1">
      <c r="A188" s="66">
        <v>2</v>
      </c>
      <c r="B188" s="63" t="str">
        <f>IF('(6).Promotion Exam'!B188="","",'(6).Promotion Exam'!B188)</f>
        <v/>
      </c>
      <c r="C188" s="67" t="str">
        <f>IF('(6).Promotion Exam'!C188="","",'(6).Promotion Exam'!C188)</f>
        <v/>
      </c>
      <c r="D188" s="51" t="str">
        <f>IF('(4).Midterm Results'!D188="","",'(4).Midterm Results'!D188)</f>
        <v/>
      </c>
      <c r="E188" s="52" t="str">
        <f>IF('(4).Midterm Results'!E188="","",'(4).Midterm Results'!E188)</f>
        <v/>
      </c>
      <c r="F188" s="52" t="str">
        <f>IF('(4).Midterm Results'!F188="","",'(4).Midterm Results'!F188)</f>
        <v/>
      </c>
      <c r="G188" s="52" t="str">
        <f>IF('(4).Midterm Results'!G188="","",'(4).Midterm Results'!G188)</f>
        <v/>
      </c>
      <c r="H188" s="52" t="str">
        <f>IF('(4).Midterm Results'!H188="","",'(4).Midterm Results'!H188)</f>
        <v/>
      </c>
      <c r="I188" s="52" t="str">
        <f>IF('(4).Midterm Results'!I188="","",'(4).Midterm Results'!I188)</f>
        <v/>
      </c>
      <c r="J188" s="52" t="str">
        <f>IF('(4).Midterm Results'!J188="","",'(4).Midterm Results'!J188)</f>
        <v/>
      </c>
      <c r="K188" s="52" t="str">
        <f>IF('(4).Midterm Results'!K188="","",'(4).Midterm Results'!K188)</f>
        <v/>
      </c>
      <c r="L188" s="52" t="str">
        <f>IF('(4).Midterm Results'!L188="","",'(4).Midterm Results'!L188)</f>
        <v/>
      </c>
      <c r="M188" s="52" t="str">
        <f>IF('(4).Midterm Results'!M188="","",'(4).Midterm Results'!M188)</f>
        <v/>
      </c>
      <c r="N188" s="52" t="str">
        <f>IF('(4).Midterm Results'!N188="","",'(4).Midterm Results'!N188)</f>
        <v/>
      </c>
      <c r="O188" s="53" t="str">
        <f>IF('(4).Midterm Results'!O188="","",'(4).Midterm Results'!O188)</f>
        <v/>
      </c>
      <c r="P188" s="51" t="str">
        <f>IF('(5).Promotion Daily'!AH188="","",'(5).Promotion Daily'!AH188)</f>
        <v/>
      </c>
      <c r="Q188" s="52" t="str">
        <f>IF('(6).Promotion Exam'!D188="","",'(6).Promotion Exam'!D188)</f>
        <v/>
      </c>
      <c r="R188" s="52" t="str">
        <f>IF('(6).Promotion Exam'!E188="","",'(6).Promotion Exam'!E188)</f>
        <v/>
      </c>
      <c r="S188" s="52" t="str">
        <f>IF('(6).Promotion Exam'!F188="","",'(6).Promotion Exam'!F188)</f>
        <v/>
      </c>
      <c r="T188" s="52" t="str">
        <f>IF('(6).Promotion Exam'!G188="","",'(6).Promotion Exam'!G188)</f>
        <v/>
      </c>
      <c r="U188" s="52" t="str">
        <f>IF('(6).Promotion Exam'!H188="","",'(6).Promotion Exam'!H188)</f>
        <v/>
      </c>
      <c r="V188" s="52" t="str">
        <f>IF('(6).Promotion Exam'!I188="","",'(6).Promotion Exam'!I188)</f>
        <v/>
      </c>
      <c r="W188" s="52" t="str">
        <f>IF('(6).Promotion Exam'!J188="","",'(6).Promotion Exam'!J188)</f>
        <v/>
      </c>
      <c r="X188" s="52" t="str">
        <f>IF('(6).Promotion Exam'!K188="","",'(6).Promotion Exam'!K188)</f>
        <v/>
      </c>
      <c r="Y188" s="52" t="str">
        <f>IF('(6).Promotion Exam'!L188="","",'(6).Promotion Exam'!L188)</f>
        <v/>
      </c>
      <c r="Z188" s="52" t="str">
        <f>IF('(6).Promotion Exam'!M188="","",'(6).Promotion Exam'!M188)</f>
        <v/>
      </c>
      <c r="AA188" s="53" t="str">
        <f>IF(B188="","",IF(P188="Incomplete","Incomplete",IF('(6).Promotion Exam'!N188="Change","Change",IF('(6).Promotion Exam'!N188="Stop","Stop",IF('(6).Promotion Exam'!N188="Incomplete","Incomplete",IF(COUNTBLANK(Q188:Z188)&gt;=1,"Incomplete",P188*20%+SUM(Q188:Z188)*80%))))))</f>
        <v/>
      </c>
      <c r="AB188" s="54" t="str">
        <f t="shared" ref="AB188:AB216" si="40">IF(O188="","",IF(O188="Incomplete","",IF(O188="Change","",IF(O188="Stop","",IF(AA188="","",SUM(O188,AA188)/2)))))</f>
        <v/>
      </c>
      <c r="AC188" s="55" t="str">
        <f t="shared" ref="AC188:AC216" si="41">IF(AB188="","",IF(AB188&lt;55,"Repeat",IF(AB188&lt;65,"C-",IF(AB188&lt;70,"C",IF(AB188&lt;75,"C+",IF(AB188&lt;80,"B-",IF(AB188&lt;85,"B",IF(AB188&lt;90,"B+",IF(AB188&gt;=90,"A")))))))))</f>
        <v/>
      </c>
      <c r="AD188" s="55" t="str">
        <f t="shared" ref="AD188:AD216" si="42">IF(AC188="","",IF(AC188="Repeat","Repeat",IF(AC188="C-","Below Average",IF(AC188="C","Average",IF(AC188="C+","Above Average",IF(AC188="B-","Fairly Good",IF(AC188="B","Good",IF(AC188="B+","Very Good",IF(AC188="A","Excellent")))))))))</f>
        <v/>
      </c>
      <c r="AE188" s="56" t="str">
        <f t="shared" ref="AE188:AE216" si="43">IF(AD188="","",IF(AD188="Repeat","ត្រួតថ្នាក់",IF(AD188="Below Average","ក្រោមមធ្យមភាគ",IF(AD188="Average","មធ្យមភាគ",IF(AD188="Above Average","លើមធ្យមភាគ",IF(AD188="Fairly Good","ល្អបង្គួរ",IF(AD188="Good","ល្អ",IF(AD188="Very Good","ល្អណាស់",IF(AD188="Excellent","ល្អប្រសើរ")))))))))</f>
        <v/>
      </c>
      <c r="AF188" s="57" t="str">
        <f t="shared" ref="AF188:AF216" si="44">IF(B188="","",$AF$181)</f>
        <v/>
      </c>
      <c r="AG188" s="97" t="str">
        <f t="shared" ref="AG188:AG216" si="45">IF(B188="","",$AG$181)</f>
        <v/>
      </c>
      <c r="AH188" s="58" t="str">
        <f t="shared" ref="AH188:AH216" si="46">IF(B188="","",$AH$181)</f>
        <v/>
      </c>
      <c r="AI188" s="58" t="str">
        <f t="shared" ref="AI188:AI216" si="47">IF(B188="","",$AI$181)</f>
        <v/>
      </c>
      <c r="AJ188" s="59"/>
    </row>
    <row r="189" spans="1:36" ht="15.95" customHeight="1">
      <c r="A189" s="66">
        <v>3</v>
      </c>
      <c r="B189" s="63" t="str">
        <f>IF('(6).Promotion Exam'!B189="","",'(6).Promotion Exam'!B189)</f>
        <v/>
      </c>
      <c r="C189" s="67" t="str">
        <f>IF('(6).Promotion Exam'!C189="","",'(6).Promotion Exam'!C189)</f>
        <v/>
      </c>
      <c r="D189" s="51" t="str">
        <f>IF('(4).Midterm Results'!D189="","",'(4).Midterm Results'!D189)</f>
        <v/>
      </c>
      <c r="E189" s="52" t="str">
        <f>IF('(4).Midterm Results'!E189="","",'(4).Midterm Results'!E189)</f>
        <v/>
      </c>
      <c r="F189" s="52" t="str">
        <f>IF('(4).Midterm Results'!F189="","",'(4).Midterm Results'!F189)</f>
        <v/>
      </c>
      <c r="G189" s="52" t="str">
        <f>IF('(4).Midterm Results'!G189="","",'(4).Midterm Results'!G189)</f>
        <v/>
      </c>
      <c r="H189" s="52" t="str">
        <f>IF('(4).Midterm Results'!H189="","",'(4).Midterm Results'!H189)</f>
        <v/>
      </c>
      <c r="I189" s="52" t="str">
        <f>IF('(4).Midterm Results'!I189="","",'(4).Midterm Results'!I189)</f>
        <v/>
      </c>
      <c r="J189" s="52" t="str">
        <f>IF('(4).Midterm Results'!J189="","",'(4).Midterm Results'!J189)</f>
        <v/>
      </c>
      <c r="K189" s="52" t="str">
        <f>IF('(4).Midterm Results'!K189="","",'(4).Midterm Results'!K189)</f>
        <v/>
      </c>
      <c r="L189" s="52" t="str">
        <f>IF('(4).Midterm Results'!L189="","",'(4).Midterm Results'!L189)</f>
        <v/>
      </c>
      <c r="M189" s="52" t="str">
        <f>IF('(4).Midterm Results'!M189="","",'(4).Midterm Results'!M189)</f>
        <v/>
      </c>
      <c r="N189" s="52" t="str">
        <f>IF('(4).Midterm Results'!N189="","",'(4).Midterm Results'!N189)</f>
        <v/>
      </c>
      <c r="O189" s="53" t="str">
        <f>IF('(4).Midterm Results'!O189="","",'(4).Midterm Results'!O189)</f>
        <v/>
      </c>
      <c r="P189" s="51" t="str">
        <f>IF('(5).Promotion Daily'!AH189="","",'(5).Promotion Daily'!AH189)</f>
        <v/>
      </c>
      <c r="Q189" s="52" t="str">
        <f>IF('(6).Promotion Exam'!D189="","",'(6).Promotion Exam'!D189)</f>
        <v/>
      </c>
      <c r="R189" s="52" t="str">
        <f>IF('(6).Promotion Exam'!E189="","",'(6).Promotion Exam'!E189)</f>
        <v/>
      </c>
      <c r="S189" s="52" t="str">
        <f>IF('(6).Promotion Exam'!F189="","",'(6).Promotion Exam'!F189)</f>
        <v/>
      </c>
      <c r="T189" s="52" t="str">
        <f>IF('(6).Promotion Exam'!G189="","",'(6).Promotion Exam'!G189)</f>
        <v/>
      </c>
      <c r="U189" s="52" t="str">
        <f>IF('(6).Promotion Exam'!H189="","",'(6).Promotion Exam'!H189)</f>
        <v/>
      </c>
      <c r="V189" s="52" t="str">
        <f>IF('(6).Promotion Exam'!I189="","",'(6).Promotion Exam'!I189)</f>
        <v/>
      </c>
      <c r="W189" s="52" t="str">
        <f>IF('(6).Promotion Exam'!J189="","",'(6).Promotion Exam'!J189)</f>
        <v/>
      </c>
      <c r="X189" s="52" t="str">
        <f>IF('(6).Promotion Exam'!K189="","",'(6).Promotion Exam'!K189)</f>
        <v/>
      </c>
      <c r="Y189" s="52" t="str">
        <f>IF('(6).Promotion Exam'!L189="","",'(6).Promotion Exam'!L189)</f>
        <v/>
      </c>
      <c r="Z189" s="52" t="str">
        <f>IF('(6).Promotion Exam'!M189="","",'(6).Promotion Exam'!M189)</f>
        <v/>
      </c>
      <c r="AA189" s="53" t="str">
        <f>IF(B189="","",IF(P189="Incomplete","Incomplete",IF('(6).Promotion Exam'!N189="Change","Change",IF('(6).Promotion Exam'!N189="Stop","Stop",IF('(6).Promotion Exam'!N189="Incomplete","Incomplete",IF(COUNTBLANK(Q189:Z189)&gt;=1,"Incomplete",P189*20%+SUM(Q189:Z189)*80%))))))</f>
        <v/>
      </c>
      <c r="AB189" s="54" t="str">
        <f t="shared" si="40"/>
        <v/>
      </c>
      <c r="AC189" s="55" t="str">
        <f t="shared" si="41"/>
        <v/>
      </c>
      <c r="AD189" s="55" t="str">
        <f t="shared" si="42"/>
        <v/>
      </c>
      <c r="AE189" s="56" t="str">
        <f t="shared" si="43"/>
        <v/>
      </c>
      <c r="AF189" s="57" t="str">
        <f t="shared" si="44"/>
        <v/>
      </c>
      <c r="AG189" s="97" t="str">
        <f t="shared" si="45"/>
        <v/>
      </c>
      <c r="AH189" s="58" t="str">
        <f t="shared" si="46"/>
        <v/>
      </c>
      <c r="AI189" s="58" t="str">
        <f t="shared" si="47"/>
        <v/>
      </c>
      <c r="AJ189" s="59"/>
    </row>
    <row r="190" spans="1:36" ht="15.95" customHeight="1">
      <c r="A190" s="66">
        <v>4</v>
      </c>
      <c r="B190" s="63" t="str">
        <f>IF('(6).Promotion Exam'!B190="","",'(6).Promotion Exam'!B190)</f>
        <v/>
      </c>
      <c r="C190" s="67" t="str">
        <f>IF('(6).Promotion Exam'!C190="","",'(6).Promotion Exam'!C190)</f>
        <v/>
      </c>
      <c r="D190" s="51" t="str">
        <f>IF('(4).Midterm Results'!D190="","",'(4).Midterm Results'!D190)</f>
        <v/>
      </c>
      <c r="E190" s="52" t="str">
        <f>IF('(4).Midterm Results'!E190="","",'(4).Midterm Results'!E190)</f>
        <v/>
      </c>
      <c r="F190" s="52" t="str">
        <f>IF('(4).Midterm Results'!F190="","",'(4).Midterm Results'!F190)</f>
        <v/>
      </c>
      <c r="G190" s="52" t="str">
        <f>IF('(4).Midterm Results'!G190="","",'(4).Midterm Results'!G190)</f>
        <v/>
      </c>
      <c r="H190" s="52" t="str">
        <f>IF('(4).Midterm Results'!H190="","",'(4).Midterm Results'!H190)</f>
        <v/>
      </c>
      <c r="I190" s="52" t="str">
        <f>IF('(4).Midterm Results'!I190="","",'(4).Midterm Results'!I190)</f>
        <v/>
      </c>
      <c r="J190" s="52" t="str">
        <f>IF('(4).Midterm Results'!J190="","",'(4).Midterm Results'!J190)</f>
        <v/>
      </c>
      <c r="K190" s="52" t="str">
        <f>IF('(4).Midterm Results'!K190="","",'(4).Midterm Results'!K190)</f>
        <v/>
      </c>
      <c r="L190" s="52" t="str">
        <f>IF('(4).Midterm Results'!L190="","",'(4).Midterm Results'!L190)</f>
        <v/>
      </c>
      <c r="M190" s="52" t="str">
        <f>IF('(4).Midterm Results'!M190="","",'(4).Midterm Results'!M190)</f>
        <v/>
      </c>
      <c r="N190" s="52" t="str">
        <f>IF('(4).Midterm Results'!N190="","",'(4).Midterm Results'!N190)</f>
        <v/>
      </c>
      <c r="O190" s="53" t="str">
        <f>IF('(4).Midterm Results'!O190="","",'(4).Midterm Results'!O190)</f>
        <v/>
      </c>
      <c r="P190" s="51" t="str">
        <f>IF('(5).Promotion Daily'!AH190="","",'(5).Promotion Daily'!AH190)</f>
        <v/>
      </c>
      <c r="Q190" s="52" t="str">
        <f>IF('(6).Promotion Exam'!D190="","",'(6).Promotion Exam'!D190)</f>
        <v/>
      </c>
      <c r="R190" s="52" t="str">
        <f>IF('(6).Promotion Exam'!E190="","",'(6).Promotion Exam'!E190)</f>
        <v/>
      </c>
      <c r="S190" s="52" t="str">
        <f>IF('(6).Promotion Exam'!F190="","",'(6).Promotion Exam'!F190)</f>
        <v/>
      </c>
      <c r="T190" s="52" t="str">
        <f>IF('(6).Promotion Exam'!G190="","",'(6).Promotion Exam'!G190)</f>
        <v/>
      </c>
      <c r="U190" s="52" t="str">
        <f>IF('(6).Promotion Exam'!H190="","",'(6).Promotion Exam'!H190)</f>
        <v/>
      </c>
      <c r="V190" s="52" t="str">
        <f>IF('(6).Promotion Exam'!I190="","",'(6).Promotion Exam'!I190)</f>
        <v/>
      </c>
      <c r="W190" s="52" t="str">
        <f>IF('(6).Promotion Exam'!J190="","",'(6).Promotion Exam'!J190)</f>
        <v/>
      </c>
      <c r="X190" s="52" t="str">
        <f>IF('(6).Promotion Exam'!K190="","",'(6).Promotion Exam'!K190)</f>
        <v/>
      </c>
      <c r="Y190" s="52" t="str">
        <f>IF('(6).Promotion Exam'!L190="","",'(6).Promotion Exam'!L190)</f>
        <v/>
      </c>
      <c r="Z190" s="52" t="str">
        <f>IF('(6).Promotion Exam'!M190="","",'(6).Promotion Exam'!M190)</f>
        <v/>
      </c>
      <c r="AA190" s="53" t="str">
        <f>IF(B190="","",IF(P190="Incomplete","Incomplete",IF('(6).Promotion Exam'!N190="Change","Change",IF('(6).Promotion Exam'!N190="Stop","Stop",IF('(6).Promotion Exam'!N190="Incomplete","Incomplete",IF(COUNTBLANK(Q190:Z190)&gt;=1,"Incomplete",P190*20%+SUM(Q190:Z190)*80%))))))</f>
        <v/>
      </c>
      <c r="AB190" s="54" t="str">
        <f t="shared" si="40"/>
        <v/>
      </c>
      <c r="AC190" s="55" t="str">
        <f t="shared" si="41"/>
        <v/>
      </c>
      <c r="AD190" s="55" t="str">
        <f t="shared" si="42"/>
        <v/>
      </c>
      <c r="AE190" s="56" t="str">
        <f t="shared" si="43"/>
        <v/>
      </c>
      <c r="AF190" s="57" t="str">
        <f t="shared" si="44"/>
        <v/>
      </c>
      <c r="AG190" s="97" t="str">
        <f t="shared" si="45"/>
        <v/>
      </c>
      <c r="AH190" s="58" t="str">
        <f t="shared" si="46"/>
        <v/>
      </c>
      <c r="AI190" s="58" t="str">
        <f t="shared" si="47"/>
        <v/>
      </c>
      <c r="AJ190" s="59"/>
    </row>
    <row r="191" spans="1:36" ht="15.95" customHeight="1">
      <c r="A191" s="66">
        <v>5</v>
      </c>
      <c r="B191" s="63" t="str">
        <f>IF('(6).Promotion Exam'!B191="","",'(6).Promotion Exam'!B191)</f>
        <v/>
      </c>
      <c r="C191" s="67" t="str">
        <f>IF('(6).Promotion Exam'!C191="","",'(6).Promotion Exam'!C191)</f>
        <v/>
      </c>
      <c r="D191" s="51" t="str">
        <f>IF('(4).Midterm Results'!D191="","",'(4).Midterm Results'!D191)</f>
        <v/>
      </c>
      <c r="E191" s="52" t="str">
        <f>IF('(4).Midterm Results'!E191="","",'(4).Midterm Results'!E191)</f>
        <v/>
      </c>
      <c r="F191" s="52" t="str">
        <f>IF('(4).Midterm Results'!F191="","",'(4).Midterm Results'!F191)</f>
        <v/>
      </c>
      <c r="G191" s="52" t="str">
        <f>IF('(4).Midterm Results'!G191="","",'(4).Midterm Results'!G191)</f>
        <v/>
      </c>
      <c r="H191" s="52" t="str">
        <f>IF('(4).Midterm Results'!H191="","",'(4).Midterm Results'!H191)</f>
        <v/>
      </c>
      <c r="I191" s="52" t="str">
        <f>IF('(4).Midterm Results'!I191="","",'(4).Midterm Results'!I191)</f>
        <v/>
      </c>
      <c r="J191" s="52" t="str">
        <f>IF('(4).Midterm Results'!J191="","",'(4).Midterm Results'!J191)</f>
        <v/>
      </c>
      <c r="K191" s="52" t="str">
        <f>IF('(4).Midterm Results'!K191="","",'(4).Midterm Results'!K191)</f>
        <v/>
      </c>
      <c r="L191" s="52" t="str">
        <f>IF('(4).Midterm Results'!L191="","",'(4).Midterm Results'!L191)</f>
        <v/>
      </c>
      <c r="M191" s="52" t="str">
        <f>IF('(4).Midterm Results'!M191="","",'(4).Midterm Results'!M191)</f>
        <v/>
      </c>
      <c r="N191" s="52" t="str">
        <f>IF('(4).Midterm Results'!N191="","",'(4).Midterm Results'!N191)</f>
        <v/>
      </c>
      <c r="O191" s="53" t="str">
        <f>IF('(4).Midterm Results'!O191="","",'(4).Midterm Results'!O191)</f>
        <v/>
      </c>
      <c r="P191" s="51" t="str">
        <f>IF('(5).Promotion Daily'!AH191="","",'(5).Promotion Daily'!AH191)</f>
        <v/>
      </c>
      <c r="Q191" s="52" t="str">
        <f>IF('(6).Promotion Exam'!D191="","",'(6).Promotion Exam'!D191)</f>
        <v/>
      </c>
      <c r="R191" s="52" t="str">
        <f>IF('(6).Promotion Exam'!E191="","",'(6).Promotion Exam'!E191)</f>
        <v/>
      </c>
      <c r="S191" s="52" t="str">
        <f>IF('(6).Promotion Exam'!F191="","",'(6).Promotion Exam'!F191)</f>
        <v/>
      </c>
      <c r="T191" s="52" t="str">
        <f>IF('(6).Promotion Exam'!G191="","",'(6).Promotion Exam'!G191)</f>
        <v/>
      </c>
      <c r="U191" s="52" t="str">
        <f>IF('(6).Promotion Exam'!H191="","",'(6).Promotion Exam'!H191)</f>
        <v/>
      </c>
      <c r="V191" s="52" t="str">
        <f>IF('(6).Promotion Exam'!I191="","",'(6).Promotion Exam'!I191)</f>
        <v/>
      </c>
      <c r="W191" s="52" t="str">
        <f>IF('(6).Promotion Exam'!J191="","",'(6).Promotion Exam'!J191)</f>
        <v/>
      </c>
      <c r="X191" s="52" t="str">
        <f>IF('(6).Promotion Exam'!K191="","",'(6).Promotion Exam'!K191)</f>
        <v/>
      </c>
      <c r="Y191" s="52" t="str">
        <f>IF('(6).Promotion Exam'!L191="","",'(6).Promotion Exam'!L191)</f>
        <v/>
      </c>
      <c r="Z191" s="52" t="str">
        <f>IF('(6).Promotion Exam'!M191="","",'(6).Promotion Exam'!M191)</f>
        <v/>
      </c>
      <c r="AA191" s="53" t="str">
        <f>IF(B191="","",IF(P191="Incomplete","Incomplete",IF('(6).Promotion Exam'!N191="Change","Change",IF('(6).Promotion Exam'!N191="Stop","Stop",IF('(6).Promotion Exam'!N191="Incomplete","Incomplete",IF(COUNTBLANK(Q191:Z191)&gt;=1,"Incomplete",P191*20%+SUM(Q191:Z191)*80%))))))</f>
        <v/>
      </c>
      <c r="AB191" s="54" t="str">
        <f t="shared" si="40"/>
        <v/>
      </c>
      <c r="AC191" s="55" t="str">
        <f t="shared" si="41"/>
        <v/>
      </c>
      <c r="AD191" s="55" t="str">
        <f t="shared" si="42"/>
        <v/>
      </c>
      <c r="AE191" s="56" t="str">
        <f t="shared" si="43"/>
        <v/>
      </c>
      <c r="AF191" s="57" t="str">
        <f t="shared" si="44"/>
        <v/>
      </c>
      <c r="AG191" s="97" t="str">
        <f t="shared" si="45"/>
        <v/>
      </c>
      <c r="AH191" s="58" t="str">
        <f t="shared" si="46"/>
        <v/>
      </c>
      <c r="AI191" s="58" t="str">
        <f t="shared" si="47"/>
        <v/>
      </c>
      <c r="AJ191" s="59"/>
    </row>
    <row r="192" spans="1:36" ht="15.95" customHeight="1">
      <c r="A192" s="66">
        <v>6</v>
      </c>
      <c r="B192" s="63" t="str">
        <f>IF('(6).Promotion Exam'!B192="","",'(6).Promotion Exam'!B192)</f>
        <v/>
      </c>
      <c r="C192" s="67" t="str">
        <f>IF('(6).Promotion Exam'!C192="","",'(6).Promotion Exam'!C192)</f>
        <v/>
      </c>
      <c r="D192" s="51" t="str">
        <f>IF('(4).Midterm Results'!D192="","",'(4).Midterm Results'!D192)</f>
        <v/>
      </c>
      <c r="E192" s="52" t="str">
        <f>IF('(4).Midterm Results'!E192="","",'(4).Midterm Results'!E192)</f>
        <v/>
      </c>
      <c r="F192" s="52" t="str">
        <f>IF('(4).Midterm Results'!F192="","",'(4).Midterm Results'!F192)</f>
        <v/>
      </c>
      <c r="G192" s="52" t="str">
        <f>IF('(4).Midterm Results'!G192="","",'(4).Midterm Results'!G192)</f>
        <v/>
      </c>
      <c r="H192" s="52" t="str">
        <f>IF('(4).Midterm Results'!H192="","",'(4).Midterm Results'!H192)</f>
        <v/>
      </c>
      <c r="I192" s="52" t="str">
        <f>IF('(4).Midterm Results'!I192="","",'(4).Midterm Results'!I192)</f>
        <v/>
      </c>
      <c r="J192" s="52" t="str">
        <f>IF('(4).Midterm Results'!J192="","",'(4).Midterm Results'!J192)</f>
        <v/>
      </c>
      <c r="K192" s="52" t="str">
        <f>IF('(4).Midterm Results'!K192="","",'(4).Midterm Results'!K192)</f>
        <v/>
      </c>
      <c r="L192" s="52" t="str">
        <f>IF('(4).Midterm Results'!L192="","",'(4).Midterm Results'!L192)</f>
        <v/>
      </c>
      <c r="M192" s="52" t="str">
        <f>IF('(4).Midterm Results'!M192="","",'(4).Midterm Results'!M192)</f>
        <v/>
      </c>
      <c r="N192" s="52" t="str">
        <f>IF('(4).Midterm Results'!N192="","",'(4).Midterm Results'!N192)</f>
        <v/>
      </c>
      <c r="O192" s="53" t="str">
        <f>IF('(4).Midterm Results'!O192="","",'(4).Midterm Results'!O192)</f>
        <v/>
      </c>
      <c r="P192" s="51" t="str">
        <f>IF('(5).Promotion Daily'!AH192="","",'(5).Promotion Daily'!AH192)</f>
        <v/>
      </c>
      <c r="Q192" s="52" t="str">
        <f>IF('(6).Promotion Exam'!D192="","",'(6).Promotion Exam'!D192)</f>
        <v/>
      </c>
      <c r="R192" s="52" t="str">
        <f>IF('(6).Promotion Exam'!E192="","",'(6).Promotion Exam'!E192)</f>
        <v/>
      </c>
      <c r="S192" s="52" t="str">
        <f>IF('(6).Promotion Exam'!F192="","",'(6).Promotion Exam'!F192)</f>
        <v/>
      </c>
      <c r="T192" s="52" t="str">
        <f>IF('(6).Promotion Exam'!G192="","",'(6).Promotion Exam'!G192)</f>
        <v/>
      </c>
      <c r="U192" s="52" t="str">
        <f>IF('(6).Promotion Exam'!H192="","",'(6).Promotion Exam'!H192)</f>
        <v/>
      </c>
      <c r="V192" s="52" t="str">
        <f>IF('(6).Promotion Exam'!I192="","",'(6).Promotion Exam'!I192)</f>
        <v/>
      </c>
      <c r="W192" s="52" t="str">
        <f>IF('(6).Promotion Exam'!J192="","",'(6).Promotion Exam'!J192)</f>
        <v/>
      </c>
      <c r="X192" s="52" t="str">
        <f>IF('(6).Promotion Exam'!K192="","",'(6).Promotion Exam'!K192)</f>
        <v/>
      </c>
      <c r="Y192" s="52" t="str">
        <f>IF('(6).Promotion Exam'!L192="","",'(6).Promotion Exam'!L192)</f>
        <v/>
      </c>
      <c r="Z192" s="52" t="str">
        <f>IF('(6).Promotion Exam'!M192="","",'(6).Promotion Exam'!M192)</f>
        <v/>
      </c>
      <c r="AA192" s="53" t="str">
        <f>IF(B192="","",IF(P192="Incomplete","Incomplete",IF('(6).Promotion Exam'!N192="Change","Change",IF('(6).Promotion Exam'!N192="Stop","Stop",IF('(6).Promotion Exam'!N192="Incomplete","Incomplete",IF(COUNTBLANK(Q192:Z192)&gt;=1,"Incomplete",P192*20%+SUM(Q192:Z192)*80%))))))</f>
        <v/>
      </c>
      <c r="AB192" s="54" t="str">
        <f t="shared" si="40"/>
        <v/>
      </c>
      <c r="AC192" s="55" t="str">
        <f t="shared" si="41"/>
        <v/>
      </c>
      <c r="AD192" s="55" t="str">
        <f t="shared" si="42"/>
        <v/>
      </c>
      <c r="AE192" s="56" t="str">
        <f t="shared" si="43"/>
        <v/>
      </c>
      <c r="AF192" s="57" t="str">
        <f t="shared" si="44"/>
        <v/>
      </c>
      <c r="AG192" s="97" t="str">
        <f t="shared" si="45"/>
        <v/>
      </c>
      <c r="AH192" s="58" t="str">
        <f t="shared" si="46"/>
        <v/>
      </c>
      <c r="AI192" s="58" t="str">
        <f t="shared" si="47"/>
        <v/>
      </c>
      <c r="AJ192" s="59"/>
    </row>
    <row r="193" spans="1:36" ht="15.95" customHeight="1">
      <c r="A193" s="66">
        <v>7</v>
      </c>
      <c r="B193" s="63" t="str">
        <f>IF('(6).Promotion Exam'!B193="","",'(6).Promotion Exam'!B193)</f>
        <v/>
      </c>
      <c r="C193" s="67" t="str">
        <f>IF('(6).Promotion Exam'!C193="","",'(6).Promotion Exam'!C193)</f>
        <v/>
      </c>
      <c r="D193" s="51" t="str">
        <f>IF('(4).Midterm Results'!D193="","",'(4).Midterm Results'!D193)</f>
        <v/>
      </c>
      <c r="E193" s="52" t="str">
        <f>IF('(4).Midterm Results'!E193="","",'(4).Midterm Results'!E193)</f>
        <v/>
      </c>
      <c r="F193" s="52" t="str">
        <f>IF('(4).Midterm Results'!F193="","",'(4).Midterm Results'!F193)</f>
        <v/>
      </c>
      <c r="G193" s="52" t="str">
        <f>IF('(4).Midterm Results'!G193="","",'(4).Midterm Results'!G193)</f>
        <v/>
      </c>
      <c r="H193" s="52" t="str">
        <f>IF('(4).Midterm Results'!H193="","",'(4).Midterm Results'!H193)</f>
        <v/>
      </c>
      <c r="I193" s="52" t="str">
        <f>IF('(4).Midterm Results'!I193="","",'(4).Midterm Results'!I193)</f>
        <v/>
      </c>
      <c r="J193" s="52" t="str">
        <f>IF('(4).Midterm Results'!J193="","",'(4).Midterm Results'!J193)</f>
        <v/>
      </c>
      <c r="K193" s="52" t="str">
        <f>IF('(4).Midterm Results'!K193="","",'(4).Midterm Results'!K193)</f>
        <v/>
      </c>
      <c r="L193" s="52" t="str">
        <f>IF('(4).Midterm Results'!L193="","",'(4).Midterm Results'!L193)</f>
        <v/>
      </c>
      <c r="M193" s="52" t="str">
        <f>IF('(4).Midterm Results'!M193="","",'(4).Midterm Results'!M193)</f>
        <v/>
      </c>
      <c r="N193" s="52" t="str">
        <f>IF('(4).Midterm Results'!N193="","",'(4).Midterm Results'!N193)</f>
        <v/>
      </c>
      <c r="O193" s="53" t="str">
        <f>IF('(4).Midterm Results'!O193="","",'(4).Midterm Results'!O193)</f>
        <v/>
      </c>
      <c r="P193" s="51" t="str">
        <f>IF('(5).Promotion Daily'!AH193="","",'(5).Promotion Daily'!AH193)</f>
        <v/>
      </c>
      <c r="Q193" s="52" t="str">
        <f>IF('(6).Promotion Exam'!D193="","",'(6).Promotion Exam'!D193)</f>
        <v/>
      </c>
      <c r="R193" s="52" t="str">
        <f>IF('(6).Promotion Exam'!E193="","",'(6).Promotion Exam'!E193)</f>
        <v/>
      </c>
      <c r="S193" s="52" t="str">
        <f>IF('(6).Promotion Exam'!F193="","",'(6).Promotion Exam'!F193)</f>
        <v/>
      </c>
      <c r="T193" s="52" t="str">
        <f>IF('(6).Promotion Exam'!G193="","",'(6).Promotion Exam'!G193)</f>
        <v/>
      </c>
      <c r="U193" s="52" t="str">
        <f>IF('(6).Promotion Exam'!H193="","",'(6).Promotion Exam'!H193)</f>
        <v/>
      </c>
      <c r="V193" s="52" t="str">
        <f>IF('(6).Promotion Exam'!I193="","",'(6).Promotion Exam'!I193)</f>
        <v/>
      </c>
      <c r="W193" s="52" t="str">
        <f>IF('(6).Promotion Exam'!J193="","",'(6).Promotion Exam'!J193)</f>
        <v/>
      </c>
      <c r="X193" s="52" t="str">
        <f>IF('(6).Promotion Exam'!K193="","",'(6).Promotion Exam'!K193)</f>
        <v/>
      </c>
      <c r="Y193" s="52" t="str">
        <f>IF('(6).Promotion Exam'!L193="","",'(6).Promotion Exam'!L193)</f>
        <v/>
      </c>
      <c r="Z193" s="52" t="str">
        <f>IF('(6).Promotion Exam'!M193="","",'(6).Promotion Exam'!M193)</f>
        <v/>
      </c>
      <c r="AA193" s="53" t="str">
        <f>IF(B193="","",IF(P193="Incomplete","Incomplete",IF('(6).Promotion Exam'!N193="Change","Change",IF('(6).Promotion Exam'!N193="Stop","Stop",IF('(6).Promotion Exam'!N193="Incomplete","Incomplete",IF(COUNTBLANK(Q193:Z193)&gt;=1,"Incomplete",P193*20%+SUM(Q193:Z193)*80%))))))</f>
        <v/>
      </c>
      <c r="AB193" s="54" t="str">
        <f t="shared" si="40"/>
        <v/>
      </c>
      <c r="AC193" s="55" t="str">
        <f t="shared" si="41"/>
        <v/>
      </c>
      <c r="AD193" s="55" t="str">
        <f t="shared" si="42"/>
        <v/>
      </c>
      <c r="AE193" s="56" t="str">
        <f t="shared" si="43"/>
        <v/>
      </c>
      <c r="AF193" s="57" t="str">
        <f t="shared" si="44"/>
        <v/>
      </c>
      <c r="AG193" s="97" t="str">
        <f t="shared" si="45"/>
        <v/>
      </c>
      <c r="AH193" s="58" t="str">
        <f t="shared" si="46"/>
        <v/>
      </c>
      <c r="AI193" s="58" t="str">
        <f t="shared" si="47"/>
        <v/>
      </c>
      <c r="AJ193" s="59"/>
    </row>
    <row r="194" spans="1:36" ht="15.95" customHeight="1">
      <c r="A194" s="66">
        <v>8</v>
      </c>
      <c r="B194" s="63" t="str">
        <f>IF('(6).Promotion Exam'!B194="","",'(6).Promotion Exam'!B194)</f>
        <v/>
      </c>
      <c r="C194" s="67" t="str">
        <f>IF('(6).Promotion Exam'!C194="","",'(6).Promotion Exam'!C194)</f>
        <v/>
      </c>
      <c r="D194" s="51" t="str">
        <f>IF('(4).Midterm Results'!D194="","",'(4).Midterm Results'!D194)</f>
        <v/>
      </c>
      <c r="E194" s="52" t="str">
        <f>IF('(4).Midterm Results'!E194="","",'(4).Midterm Results'!E194)</f>
        <v/>
      </c>
      <c r="F194" s="52" t="str">
        <f>IF('(4).Midterm Results'!F194="","",'(4).Midterm Results'!F194)</f>
        <v/>
      </c>
      <c r="G194" s="52" t="str">
        <f>IF('(4).Midterm Results'!G194="","",'(4).Midterm Results'!G194)</f>
        <v/>
      </c>
      <c r="H194" s="52" t="str">
        <f>IF('(4).Midterm Results'!H194="","",'(4).Midterm Results'!H194)</f>
        <v/>
      </c>
      <c r="I194" s="52" t="str">
        <f>IF('(4).Midterm Results'!I194="","",'(4).Midterm Results'!I194)</f>
        <v/>
      </c>
      <c r="J194" s="52" t="str">
        <f>IF('(4).Midterm Results'!J194="","",'(4).Midterm Results'!J194)</f>
        <v/>
      </c>
      <c r="K194" s="52" t="str">
        <f>IF('(4).Midterm Results'!K194="","",'(4).Midterm Results'!K194)</f>
        <v/>
      </c>
      <c r="L194" s="52" t="str">
        <f>IF('(4).Midterm Results'!L194="","",'(4).Midterm Results'!L194)</f>
        <v/>
      </c>
      <c r="M194" s="52" t="str">
        <f>IF('(4).Midterm Results'!M194="","",'(4).Midterm Results'!M194)</f>
        <v/>
      </c>
      <c r="N194" s="52" t="str">
        <f>IF('(4).Midterm Results'!N194="","",'(4).Midterm Results'!N194)</f>
        <v/>
      </c>
      <c r="O194" s="53" t="str">
        <f>IF('(4).Midterm Results'!O194="","",'(4).Midterm Results'!O194)</f>
        <v/>
      </c>
      <c r="P194" s="51" t="str">
        <f>IF('(5).Promotion Daily'!AH194="","",'(5).Promotion Daily'!AH194)</f>
        <v/>
      </c>
      <c r="Q194" s="52" t="str">
        <f>IF('(6).Promotion Exam'!D194="","",'(6).Promotion Exam'!D194)</f>
        <v/>
      </c>
      <c r="R194" s="52" t="str">
        <f>IF('(6).Promotion Exam'!E194="","",'(6).Promotion Exam'!E194)</f>
        <v/>
      </c>
      <c r="S194" s="52" t="str">
        <f>IF('(6).Promotion Exam'!F194="","",'(6).Promotion Exam'!F194)</f>
        <v/>
      </c>
      <c r="T194" s="52" t="str">
        <f>IF('(6).Promotion Exam'!G194="","",'(6).Promotion Exam'!G194)</f>
        <v/>
      </c>
      <c r="U194" s="52" t="str">
        <f>IF('(6).Promotion Exam'!H194="","",'(6).Promotion Exam'!H194)</f>
        <v/>
      </c>
      <c r="V194" s="52" t="str">
        <f>IF('(6).Promotion Exam'!I194="","",'(6).Promotion Exam'!I194)</f>
        <v/>
      </c>
      <c r="W194" s="52" t="str">
        <f>IF('(6).Promotion Exam'!J194="","",'(6).Promotion Exam'!J194)</f>
        <v/>
      </c>
      <c r="X194" s="52" t="str">
        <f>IF('(6).Promotion Exam'!K194="","",'(6).Promotion Exam'!K194)</f>
        <v/>
      </c>
      <c r="Y194" s="52" t="str">
        <f>IF('(6).Promotion Exam'!L194="","",'(6).Promotion Exam'!L194)</f>
        <v/>
      </c>
      <c r="Z194" s="52" t="str">
        <f>IF('(6).Promotion Exam'!M194="","",'(6).Promotion Exam'!M194)</f>
        <v/>
      </c>
      <c r="AA194" s="53" t="str">
        <f>IF(B194="","",IF(P194="Incomplete","Incomplete",IF('(6).Promotion Exam'!N194="Change","Change",IF('(6).Promotion Exam'!N194="Stop","Stop",IF('(6).Promotion Exam'!N194="Incomplete","Incomplete",IF(COUNTBLANK(Q194:Z194)&gt;=1,"Incomplete",P194*20%+SUM(Q194:Z194)*80%))))))</f>
        <v/>
      </c>
      <c r="AB194" s="54" t="str">
        <f t="shared" si="40"/>
        <v/>
      </c>
      <c r="AC194" s="55" t="str">
        <f t="shared" si="41"/>
        <v/>
      </c>
      <c r="AD194" s="55" t="str">
        <f t="shared" si="42"/>
        <v/>
      </c>
      <c r="AE194" s="56" t="str">
        <f t="shared" si="43"/>
        <v/>
      </c>
      <c r="AF194" s="57" t="str">
        <f t="shared" si="44"/>
        <v/>
      </c>
      <c r="AG194" s="97" t="str">
        <f t="shared" si="45"/>
        <v/>
      </c>
      <c r="AH194" s="58" t="str">
        <f t="shared" si="46"/>
        <v/>
      </c>
      <c r="AI194" s="58" t="str">
        <f t="shared" si="47"/>
        <v/>
      </c>
      <c r="AJ194" s="59"/>
    </row>
    <row r="195" spans="1:36" ht="15.95" customHeight="1">
      <c r="A195" s="66">
        <v>9</v>
      </c>
      <c r="B195" s="63" t="str">
        <f>IF('(6).Promotion Exam'!B195="","",'(6).Promotion Exam'!B195)</f>
        <v/>
      </c>
      <c r="C195" s="67" t="str">
        <f>IF('(6).Promotion Exam'!C195="","",'(6).Promotion Exam'!C195)</f>
        <v/>
      </c>
      <c r="D195" s="51" t="str">
        <f>IF('(4).Midterm Results'!D195="","",'(4).Midterm Results'!D195)</f>
        <v/>
      </c>
      <c r="E195" s="52" t="str">
        <f>IF('(4).Midterm Results'!E195="","",'(4).Midterm Results'!E195)</f>
        <v/>
      </c>
      <c r="F195" s="52" t="str">
        <f>IF('(4).Midterm Results'!F195="","",'(4).Midterm Results'!F195)</f>
        <v/>
      </c>
      <c r="G195" s="52" t="str">
        <f>IF('(4).Midterm Results'!G195="","",'(4).Midterm Results'!G195)</f>
        <v/>
      </c>
      <c r="H195" s="52" t="str">
        <f>IF('(4).Midterm Results'!H195="","",'(4).Midterm Results'!H195)</f>
        <v/>
      </c>
      <c r="I195" s="52" t="str">
        <f>IF('(4).Midterm Results'!I195="","",'(4).Midterm Results'!I195)</f>
        <v/>
      </c>
      <c r="J195" s="52" t="str">
        <f>IF('(4).Midterm Results'!J195="","",'(4).Midterm Results'!J195)</f>
        <v/>
      </c>
      <c r="K195" s="52" t="str">
        <f>IF('(4).Midterm Results'!K195="","",'(4).Midterm Results'!K195)</f>
        <v/>
      </c>
      <c r="L195" s="52" t="str">
        <f>IF('(4).Midterm Results'!L195="","",'(4).Midterm Results'!L195)</f>
        <v/>
      </c>
      <c r="M195" s="52" t="str">
        <f>IF('(4).Midterm Results'!M195="","",'(4).Midterm Results'!M195)</f>
        <v/>
      </c>
      <c r="N195" s="52" t="str">
        <f>IF('(4).Midterm Results'!N195="","",'(4).Midterm Results'!N195)</f>
        <v/>
      </c>
      <c r="O195" s="53" t="str">
        <f>IF('(4).Midterm Results'!O195="","",'(4).Midterm Results'!O195)</f>
        <v/>
      </c>
      <c r="P195" s="51" t="str">
        <f>IF('(5).Promotion Daily'!AH195="","",'(5).Promotion Daily'!AH195)</f>
        <v/>
      </c>
      <c r="Q195" s="52" t="str">
        <f>IF('(6).Promotion Exam'!D195="","",'(6).Promotion Exam'!D195)</f>
        <v/>
      </c>
      <c r="R195" s="52" t="str">
        <f>IF('(6).Promotion Exam'!E195="","",'(6).Promotion Exam'!E195)</f>
        <v/>
      </c>
      <c r="S195" s="52" t="str">
        <f>IF('(6).Promotion Exam'!F195="","",'(6).Promotion Exam'!F195)</f>
        <v/>
      </c>
      <c r="T195" s="52" t="str">
        <f>IF('(6).Promotion Exam'!G195="","",'(6).Promotion Exam'!G195)</f>
        <v/>
      </c>
      <c r="U195" s="52" t="str">
        <f>IF('(6).Promotion Exam'!H195="","",'(6).Promotion Exam'!H195)</f>
        <v/>
      </c>
      <c r="V195" s="52" t="str">
        <f>IF('(6).Promotion Exam'!I195="","",'(6).Promotion Exam'!I195)</f>
        <v/>
      </c>
      <c r="W195" s="52" t="str">
        <f>IF('(6).Promotion Exam'!J195="","",'(6).Promotion Exam'!J195)</f>
        <v/>
      </c>
      <c r="X195" s="52" t="str">
        <f>IF('(6).Promotion Exam'!K195="","",'(6).Promotion Exam'!K195)</f>
        <v/>
      </c>
      <c r="Y195" s="52" t="str">
        <f>IF('(6).Promotion Exam'!L195="","",'(6).Promotion Exam'!L195)</f>
        <v/>
      </c>
      <c r="Z195" s="52" t="str">
        <f>IF('(6).Promotion Exam'!M195="","",'(6).Promotion Exam'!M195)</f>
        <v/>
      </c>
      <c r="AA195" s="53" t="str">
        <f>IF(B195="","",IF(P195="Incomplete","Incomplete",IF('(6).Promotion Exam'!N195="Change","Change",IF('(6).Promotion Exam'!N195="Stop","Stop",IF('(6).Promotion Exam'!N195="Incomplete","Incomplete",IF(COUNTBLANK(Q195:Z195)&gt;=1,"Incomplete",P195*20%+SUM(Q195:Z195)*80%))))))</f>
        <v/>
      </c>
      <c r="AB195" s="54" t="str">
        <f t="shared" si="40"/>
        <v/>
      </c>
      <c r="AC195" s="55" t="str">
        <f t="shared" si="41"/>
        <v/>
      </c>
      <c r="AD195" s="55" t="str">
        <f t="shared" si="42"/>
        <v/>
      </c>
      <c r="AE195" s="56" t="str">
        <f t="shared" si="43"/>
        <v/>
      </c>
      <c r="AF195" s="57" t="str">
        <f t="shared" si="44"/>
        <v/>
      </c>
      <c r="AG195" s="97" t="str">
        <f t="shared" si="45"/>
        <v/>
      </c>
      <c r="AH195" s="58" t="str">
        <f t="shared" si="46"/>
        <v/>
      </c>
      <c r="AI195" s="58" t="str">
        <f t="shared" si="47"/>
        <v/>
      </c>
      <c r="AJ195" s="59"/>
    </row>
    <row r="196" spans="1:36" ht="15.95" customHeight="1">
      <c r="A196" s="66">
        <v>10</v>
      </c>
      <c r="B196" s="63" t="str">
        <f>IF('(6).Promotion Exam'!B196="","",'(6).Promotion Exam'!B196)</f>
        <v/>
      </c>
      <c r="C196" s="67" t="str">
        <f>IF('(6).Promotion Exam'!C196="","",'(6).Promotion Exam'!C196)</f>
        <v/>
      </c>
      <c r="D196" s="51" t="str">
        <f>IF('(4).Midterm Results'!D196="","",'(4).Midterm Results'!D196)</f>
        <v/>
      </c>
      <c r="E196" s="52" t="str">
        <f>IF('(4).Midterm Results'!E196="","",'(4).Midterm Results'!E196)</f>
        <v/>
      </c>
      <c r="F196" s="52" t="str">
        <f>IF('(4).Midterm Results'!F196="","",'(4).Midterm Results'!F196)</f>
        <v/>
      </c>
      <c r="G196" s="52" t="str">
        <f>IF('(4).Midterm Results'!G196="","",'(4).Midterm Results'!G196)</f>
        <v/>
      </c>
      <c r="H196" s="52" t="str">
        <f>IF('(4).Midterm Results'!H196="","",'(4).Midterm Results'!H196)</f>
        <v/>
      </c>
      <c r="I196" s="52" t="str">
        <f>IF('(4).Midterm Results'!I196="","",'(4).Midterm Results'!I196)</f>
        <v/>
      </c>
      <c r="J196" s="52" t="str">
        <f>IF('(4).Midterm Results'!J196="","",'(4).Midterm Results'!J196)</f>
        <v/>
      </c>
      <c r="K196" s="52" t="str">
        <f>IF('(4).Midterm Results'!K196="","",'(4).Midterm Results'!K196)</f>
        <v/>
      </c>
      <c r="L196" s="52" t="str">
        <f>IF('(4).Midterm Results'!L196="","",'(4).Midterm Results'!L196)</f>
        <v/>
      </c>
      <c r="M196" s="52" t="str">
        <f>IF('(4).Midterm Results'!M196="","",'(4).Midterm Results'!M196)</f>
        <v/>
      </c>
      <c r="N196" s="52" t="str">
        <f>IF('(4).Midterm Results'!N196="","",'(4).Midterm Results'!N196)</f>
        <v/>
      </c>
      <c r="O196" s="53" t="str">
        <f>IF('(4).Midterm Results'!O196="","",'(4).Midterm Results'!O196)</f>
        <v/>
      </c>
      <c r="P196" s="51" t="str">
        <f>IF('(5).Promotion Daily'!AH196="","",'(5).Promotion Daily'!AH196)</f>
        <v/>
      </c>
      <c r="Q196" s="52" t="str">
        <f>IF('(6).Promotion Exam'!D196="","",'(6).Promotion Exam'!D196)</f>
        <v/>
      </c>
      <c r="R196" s="52" t="str">
        <f>IF('(6).Promotion Exam'!E196="","",'(6).Promotion Exam'!E196)</f>
        <v/>
      </c>
      <c r="S196" s="52" t="str">
        <f>IF('(6).Promotion Exam'!F196="","",'(6).Promotion Exam'!F196)</f>
        <v/>
      </c>
      <c r="T196" s="52" t="str">
        <f>IF('(6).Promotion Exam'!G196="","",'(6).Promotion Exam'!G196)</f>
        <v/>
      </c>
      <c r="U196" s="52" t="str">
        <f>IF('(6).Promotion Exam'!H196="","",'(6).Promotion Exam'!H196)</f>
        <v/>
      </c>
      <c r="V196" s="52" t="str">
        <f>IF('(6).Promotion Exam'!I196="","",'(6).Promotion Exam'!I196)</f>
        <v/>
      </c>
      <c r="W196" s="52" t="str">
        <f>IF('(6).Promotion Exam'!J196="","",'(6).Promotion Exam'!J196)</f>
        <v/>
      </c>
      <c r="X196" s="52" t="str">
        <f>IF('(6).Promotion Exam'!K196="","",'(6).Promotion Exam'!K196)</f>
        <v/>
      </c>
      <c r="Y196" s="52" t="str">
        <f>IF('(6).Promotion Exam'!L196="","",'(6).Promotion Exam'!L196)</f>
        <v/>
      </c>
      <c r="Z196" s="52" t="str">
        <f>IF('(6).Promotion Exam'!M196="","",'(6).Promotion Exam'!M196)</f>
        <v/>
      </c>
      <c r="AA196" s="53" t="str">
        <f>IF(B196="","",IF(P196="Incomplete","Incomplete",IF('(6).Promotion Exam'!N196="Change","Change",IF('(6).Promotion Exam'!N196="Stop","Stop",IF('(6).Promotion Exam'!N196="Incomplete","Incomplete",IF(COUNTBLANK(Q196:Z196)&gt;=1,"Incomplete",P196*20%+SUM(Q196:Z196)*80%))))))</f>
        <v/>
      </c>
      <c r="AB196" s="54" t="str">
        <f t="shared" si="40"/>
        <v/>
      </c>
      <c r="AC196" s="55" t="str">
        <f t="shared" si="41"/>
        <v/>
      </c>
      <c r="AD196" s="55" t="str">
        <f t="shared" si="42"/>
        <v/>
      </c>
      <c r="AE196" s="56" t="str">
        <f t="shared" si="43"/>
        <v/>
      </c>
      <c r="AF196" s="57" t="str">
        <f t="shared" si="44"/>
        <v/>
      </c>
      <c r="AG196" s="97" t="str">
        <f t="shared" si="45"/>
        <v/>
      </c>
      <c r="AH196" s="58" t="str">
        <f t="shared" si="46"/>
        <v/>
      </c>
      <c r="AI196" s="58" t="str">
        <f t="shared" si="47"/>
        <v/>
      </c>
      <c r="AJ196" s="59"/>
    </row>
    <row r="197" spans="1:36" ht="15.95" customHeight="1">
      <c r="A197" s="66">
        <v>11</v>
      </c>
      <c r="B197" s="63" t="str">
        <f>IF('(6).Promotion Exam'!B197="","",'(6).Promotion Exam'!B197)</f>
        <v/>
      </c>
      <c r="C197" s="67" t="str">
        <f>IF('(6).Promotion Exam'!C197="","",'(6).Promotion Exam'!C197)</f>
        <v/>
      </c>
      <c r="D197" s="51" t="str">
        <f>IF('(4).Midterm Results'!D197="","",'(4).Midterm Results'!D197)</f>
        <v/>
      </c>
      <c r="E197" s="52" t="str">
        <f>IF('(4).Midterm Results'!E197="","",'(4).Midterm Results'!E197)</f>
        <v/>
      </c>
      <c r="F197" s="52" t="str">
        <f>IF('(4).Midterm Results'!F197="","",'(4).Midterm Results'!F197)</f>
        <v/>
      </c>
      <c r="G197" s="52" t="str">
        <f>IF('(4).Midterm Results'!G197="","",'(4).Midterm Results'!G197)</f>
        <v/>
      </c>
      <c r="H197" s="52" t="str">
        <f>IF('(4).Midterm Results'!H197="","",'(4).Midterm Results'!H197)</f>
        <v/>
      </c>
      <c r="I197" s="52" t="str">
        <f>IF('(4).Midterm Results'!I197="","",'(4).Midterm Results'!I197)</f>
        <v/>
      </c>
      <c r="J197" s="52" t="str">
        <f>IF('(4).Midterm Results'!J197="","",'(4).Midterm Results'!J197)</f>
        <v/>
      </c>
      <c r="K197" s="52" t="str">
        <f>IF('(4).Midterm Results'!K197="","",'(4).Midterm Results'!K197)</f>
        <v/>
      </c>
      <c r="L197" s="52" t="str">
        <f>IF('(4).Midterm Results'!L197="","",'(4).Midterm Results'!L197)</f>
        <v/>
      </c>
      <c r="M197" s="52" t="str">
        <f>IF('(4).Midterm Results'!M197="","",'(4).Midterm Results'!M197)</f>
        <v/>
      </c>
      <c r="N197" s="52" t="str">
        <f>IF('(4).Midterm Results'!N197="","",'(4).Midterm Results'!N197)</f>
        <v/>
      </c>
      <c r="O197" s="53" t="str">
        <f>IF('(4).Midterm Results'!O197="","",'(4).Midterm Results'!O197)</f>
        <v/>
      </c>
      <c r="P197" s="51" t="str">
        <f>IF('(5).Promotion Daily'!AH197="","",'(5).Promotion Daily'!AH197)</f>
        <v/>
      </c>
      <c r="Q197" s="52" t="str">
        <f>IF('(6).Promotion Exam'!D197="","",'(6).Promotion Exam'!D197)</f>
        <v/>
      </c>
      <c r="R197" s="52" t="str">
        <f>IF('(6).Promotion Exam'!E197="","",'(6).Promotion Exam'!E197)</f>
        <v/>
      </c>
      <c r="S197" s="52" t="str">
        <f>IF('(6).Promotion Exam'!F197="","",'(6).Promotion Exam'!F197)</f>
        <v/>
      </c>
      <c r="T197" s="52" t="str">
        <f>IF('(6).Promotion Exam'!G197="","",'(6).Promotion Exam'!G197)</f>
        <v/>
      </c>
      <c r="U197" s="52" t="str">
        <f>IF('(6).Promotion Exam'!H197="","",'(6).Promotion Exam'!H197)</f>
        <v/>
      </c>
      <c r="V197" s="52" t="str">
        <f>IF('(6).Promotion Exam'!I197="","",'(6).Promotion Exam'!I197)</f>
        <v/>
      </c>
      <c r="W197" s="52" t="str">
        <f>IF('(6).Promotion Exam'!J197="","",'(6).Promotion Exam'!J197)</f>
        <v/>
      </c>
      <c r="X197" s="52" t="str">
        <f>IF('(6).Promotion Exam'!K197="","",'(6).Promotion Exam'!K197)</f>
        <v/>
      </c>
      <c r="Y197" s="52" t="str">
        <f>IF('(6).Promotion Exam'!L197="","",'(6).Promotion Exam'!L197)</f>
        <v/>
      </c>
      <c r="Z197" s="52" t="str">
        <f>IF('(6).Promotion Exam'!M197="","",'(6).Promotion Exam'!M197)</f>
        <v/>
      </c>
      <c r="AA197" s="53" t="str">
        <f>IF(B197="","",IF(P197="Incomplete","Incomplete",IF('(6).Promotion Exam'!N197="Change","Change",IF('(6).Promotion Exam'!N197="Stop","Stop",IF('(6).Promotion Exam'!N197="Incomplete","Incomplete",IF(COUNTBLANK(Q197:Z197)&gt;=1,"Incomplete",P197*20%+SUM(Q197:Z197)*80%))))))</f>
        <v/>
      </c>
      <c r="AB197" s="54" t="str">
        <f t="shared" si="40"/>
        <v/>
      </c>
      <c r="AC197" s="55" t="str">
        <f t="shared" si="41"/>
        <v/>
      </c>
      <c r="AD197" s="55" t="str">
        <f t="shared" si="42"/>
        <v/>
      </c>
      <c r="AE197" s="56" t="str">
        <f t="shared" si="43"/>
        <v/>
      </c>
      <c r="AF197" s="57" t="str">
        <f t="shared" si="44"/>
        <v/>
      </c>
      <c r="AG197" s="97" t="str">
        <f t="shared" si="45"/>
        <v/>
      </c>
      <c r="AH197" s="58" t="str">
        <f t="shared" si="46"/>
        <v/>
      </c>
      <c r="AI197" s="58" t="str">
        <f t="shared" si="47"/>
        <v/>
      </c>
      <c r="AJ197" s="59"/>
    </row>
    <row r="198" spans="1:36" ht="15.95" customHeight="1">
      <c r="A198" s="66">
        <v>12</v>
      </c>
      <c r="B198" s="63" t="str">
        <f>IF('(6).Promotion Exam'!B198="","",'(6).Promotion Exam'!B198)</f>
        <v/>
      </c>
      <c r="C198" s="67" t="str">
        <f>IF('(6).Promotion Exam'!C198="","",'(6).Promotion Exam'!C198)</f>
        <v/>
      </c>
      <c r="D198" s="51" t="str">
        <f>IF('(4).Midterm Results'!D198="","",'(4).Midterm Results'!D198)</f>
        <v/>
      </c>
      <c r="E198" s="52" t="str">
        <f>IF('(4).Midterm Results'!E198="","",'(4).Midterm Results'!E198)</f>
        <v/>
      </c>
      <c r="F198" s="52" t="str">
        <f>IF('(4).Midterm Results'!F198="","",'(4).Midterm Results'!F198)</f>
        <v/>
      </c>
      <c r="G198" s="52" t="str">
        <f>IF('(4).Midterm Results'!G198="","",'(4).Midterm Results'!G198)</f>
        <v/>
      </c>
      <c r="H198" s="52" t="str">
        <f>IF('(4).Midterm Results'!H198="","",'(4).Midterm Results'!H198)</f>
        <v/>
      </c>
      <c r="I198" s="52" t="str">
        <f>IF('(4).Midterm Results'!I198="","",'(4).Midterm Results'!I198)</f>
        <v/>
      </c>
      <c r="J198" s="52" t="str">
        <f>IF('(4).Midterm Results'!J198="","",'(4).Midterm Results'!J198)</f>
        <v/>
      </c>
      <c r="K198" s="52" t="str">
        <f>IF('(4).Midterm Results'!K198="","",'(4).Midterm Results'!K198)</f>
        <v/>
      </c>
      <c r="L198" s="52" t="str">
        <f>IF('(4).Midterm Results'!L198="","",'(4).Midterm Results'!L198)</f>
        <v/>
      </c>
      <c r="M198" s="52" t="str">
        <f>IF('(4).Midterm Results'!M198="","",'(4).Midterm Results'!M198)</f>
        <v/>
      </c>
      <c r="N198" s="52" t="str">
        <f>IF('(4).Midterm Results'!N198="","",'(4).Midterm Results'!N198)</f>
        <v/>
      </c>
      <c r="O198" s="53" t="str">
        <f>IF('(4).Midterm Results'!O198="","",'(4).Midterm Results'!O198)</f>
        <v/>
      </c>
      <c r="P198" s="51" t="str">
        <f>IF('(5).Promotion Daily'!AH198="","",'(5).Promotion Daily'!AH198)</f>
        <v/>
      </c>
      <c r="Q198" s="52" t="str">
        <f>IF('(6).Promotion Exam'!D198="","",'(6).Promotion Exam'!D198)</f>
        <v/>
      </c>
      <c r="R198" s="52" t="str">
        <f>IF('(6).Promotion Exam'!E198="","",'(6).Promotion Exam'!E198)</f>
        <v/>
      </c>
      <c r="S198" s="52" t="str">
        <f>IF('(6).Promotion Exam'!F198="","",'(6).Promotion Exam'!F198)</f>
        <v/>
      </c>
      <c r="T198" s="52" t="str">
        <f>IF('(6).Promotion Exam'!G198="","",'(6).Promotion Exam'!G198)</f>
        <v/>
      </c>
      <c r="U198" s="52" t="str">
        <f>IF('(6).Promotion Exam'!H198="","",'(6).Promotion Exam'!H198)</f>
        <v/>
      </c>
      <c r="V198" s="52" t="str">
        <f>IF('(6).Promotion Exam'!I198="","",'(6).Promotion Exam'!I198)</f>
        <v/>
      </c>
      <c r="W198" s="52" t="str">
        <f>IF('(6).Promotion Exam'!J198="","",'(6).Promotion Exam'!J198)</f>
        <v/>
      </c>
      <c r="X198" s="52" t="str">
        <f>IF('(6).Promotion Exam'!K198="","",'(6).Promotion Exam'!K198)</f>
        <v/>
      </c>
      <c r="Y198" s="52" t="str">
        <f>IF('(6).Promotion Exam'!L198="","",'(6).Promotion Exam'!L198)</f>
        <v/>
      </c>
      <c r="Z198" s="52" t="str">
        <f>IF('(6).Promotion Exam'!M198="","",'(6).Promotion Exam'!M198)</f>
        <v/>
      </c>
      <c r="AA198" s="53" t="str">
        <f>IF(B198="","",IF(P198="Incomplete","Incomplete",IF('(6).Promotion Exam'!N198="Change","Change",IF('(6).Promotion Exam'!N198="Stop","Stop",IF('(6).Promotion Exam'!N198="Incomplete","Incomplete",IF(COUNTBLANK(Q198:Z198)&gt;=1,"Incomplete",P198*20%+SUM(Q198:Z198)*80%))))))</f>
        <v/>
      </c>
      <c r="AB198" s="54" t="str">
        <f t="shared" si="40"/>
        <v/>
      </c>
      <c r="AC198" s="55" t="str">
        <f t="shared" si="41"/>
        <v/>
      </c>
      <c r="AD198" s="55" t="str">
        <f t="shared" si="42"/>
        <v/>
      </c>
      <c r="AE198" s="56" t="str">
        <f t="shared" si="43"/>
        <v/>
      </c>
      <c r="AF198" s="57" t="str">
        <f t="shared" si="44"/>
        <v/>
      </c>
      <c r="AG198" s="97" t="str">
        <f t="shared" si="45"/>
        <v/>
      </c>
      <c r="AH198" s="58" t="str">
        <f t="shared" si="46"/>
        <v/>
      </c>
      <c r="AI198" s="58" t="str">
        <f t="shared" si="47"/>
        <v/>
      </c>
      <c r="AJ198" s="59"/>
    </row>
    <row r="199" spans="1:36" ht="15.95" customHeight="1">
      <c r="A199" s="66">
        <v>13</v>
      </c>
      <c r="B199" s="63" t="str">
        <f>IF('(6).Promotion Exam'!B199="","",'(6).Promotion Exam'!B199)</f>
        <v/>
      </c>
      <c r="C199" s="67" t="str">
        <f>IF('(6).Promotion Exam'!C199="","",'(6).Promotion Exam'!C199)</f>
        <v/>
      </c>
      <c r="D199" s="51" t="str">
        <f>IF('(4).Midterm Results'!D199="","",'(4).Midterm Results'!D199)</f>
        <v/>
      </c>
      <c r="E199" s="52" t="str">
        <f>IF('(4).Midterm Results'!E199="","",'(4).Midterm Results'!E199)</f>
        <v/>
      </c>
      <c r="F199" s="52" t="str">
        <f>IF('(4).Midterm Results'!F199="","",'(4).Midterm Results'!F199)</f>
        <v/>
      </c>
      <c r="G199" s="52" t="str">
        <f>IF('(4).Midterm Results'!G199="","",'(4).Midterm Results'!G199)</f>
        <v/>
      </c>
      <c r="H199" s="52" t="str">
        <f>IF('(4).Midterm Results'!H199="","",'(4).Midterm Results'!H199)</f>
        <v/>
      </c>
      <c r="I199" s="52" t="str">
        <f>IF('(4).Midterm Results'!I199="","",'(4).Midterm Results'!I199)</f>
        <v/>
      </c>
      <c r="J199" s="52" t="str">
        <f>IF('(4).Midterm Results'!J199="","",'(4).Midterm Results'!J199)</f>
        <v/>
      </c>
      <c r="K199" s="52" t="str">
        <f>IF('(4).Midterm Results'!K199="","",'(4).Midterm Results'!K199)</f>
        <v/>
      </c>
      <c r="L199" s="52" t="str">
        <f>IF('(4).Midterm Results'!L199="","",'(4).Midterm Results'!L199)</f>
        <v/>
      </c>
      <c r="M199" s="52" t="str">
        <f>IF('(4).Midterm Results'!M199="","",'(4).Midterm Results'!M199)</f>
        <v/>
      </c>
      <c r="N199" s="52" t="str">
        <f>IF('(4).Midterm Results'!N199="","",'(4).Midterm Results'!N199)</f>
        <v/>
      </c>
      <c r="O199" s="53" t="str">
        <f>IF('(4).Midterm Results'!O199="","",'(4).Midterm Results'!O199)</f>
        <v/>
      </c>
      <c r="P199" s="51" t="str">
        <f>IF('(5).Promotion Daily'!AH199="","",'(5).Promotion Daily'!AH199)</f>
        <v/>
      </c>
      <c r="Q199" s="52" t="str">
        <f>IF('(6).Promotion Exam'!D199="","",'(6).Promotion Exam'!D199)</f>
        <v/>
      </c>
      <c r="R199" s="52" t="str">
        <f>IF('(6).Promotion Exam'!E199="","",'(6).Promotion Exam'!E199)</f>
        <v/>
      </c>
      <c r="S199" s="52" t="str">
        <f>IF('(6).Promotion Exam'!F199="","",'(6).Promotion Exam'!F199)</f>
        <v/>
      </c>
      <c r="T199" s="52" t="str">
        <f>IF('(6).Promotion Exam'!G199="","",'(6).Promotion Exam'!G199)</f>
        <v/>
      </c>
      <c r="U199" s="52" t="str">
        <f>IF('(6).Promotion Exam'!H199="","",'(6).Promotion Exam'!H199)</f>
        <v/>
      </c>
      <c r="V199" s="52" t="str">
        <f>IF('(6).Promotion Exam'!I199="","",'(6).Promotion Exam'!I199)</f>
        <v/>
      </c>
      <c r="W199" s="52" t="str">
        <f>IF('(6).Promotion Exam'!J199="","",'(6).Promotion Exam'!J199)</f>
        <v/>
      </c>
      <c r="X199" s="52" t="str">
        <f>IF('(6).Promotion Exam'!K199="","",'(6).Promotion Exam'!K199)</f>
        <v/>
      </c>
      <c r="Y199" s="52" t="str">
        <f>IF('(6).Promotion Exam'!L199="","",'(6).Promotion Exam'!L199)</f>
        <v/>
      </c>
      <c r="Z199" s="52" t="str">
        <f>IF('(6).Promotion Exam'!M199="","",'(6).Promotion Exam'!M199)</f>
        <v/>
      </c>
      <c r="AA199" s="53" t="str">
        <f>IF(B199="","",IF(P199="Incomplete","Incomplete",IF('(6).Promotion Exam'!N199="Change","Change",IF('(6).Promotion Exam'!N199="Stop","Stop",IF('(6).Promotion Exam'!N199="Incomplete","Incomplete",IF(COUNTBLANK(Q199:Z199)&gt;=1,"Incomplete",P199*20%+SUM(Q199:Z199)*80%))))))</f>
        <v/>
      </c>
      <c r="AB199" s="54" t="str">
        <f t="shared" si="40"/>
        <v/>
      </c>
      <c r="AC199" s="55" t="str">
        <f t="shared" si="41"/>
        <v/>
      </c>
      <c r="AD199" s="55" t="str">
        <f t="shared" si="42"/>
        <v/>
      </c>
      <c r="AE199" s="56" t="str">
        <f t="shared" si="43"/>
        <v/>
      </c>
      <c r="AF199" s="57" t="str">
        <f t="shared" si="44"/>
        <v/>
      </c>
      <c r="AG199" s="97" t="str">
        <f t="shared" si="45"/>
        <v/>
      </c>
      <c r="AH199" s="58" t="str">
        <f t="shared" si="46"/>
        <v/>
      </c>
      <c r="AI199" s="58" t="str">
        <f t="shared" si="47"/>
        <v/>
      </c>
      <c r="AJ199" s="59"/>
    </row>
    <row r="200" spans="1:36" ht="15.95" customHeight="1">
      <c r="A200" s="66">
        <v>14</v>
      </c>
      <c r="B200" s="63" t="str">
        <f>IF('(6).Promotion Exam'!B200="","",'(6).Promotion Exam'!B200)</f>
        <v/>
      </c>
      <c r="C200" s="67" t="str">
        <f>IF('(6).Promotion Exam'!C200="","",'(6).Promotion Exam'!C200)</f>
        <v/>
      </c>
      <c r="D200" s="51" t="str">
        <f>IF('(4).Midterm Results'!D200="","",'(4).Midterm Results'!D200)</f>
        <v/>
      </c>
      <c r="E200" s="52" t="str">
        <f>IF('(4).Midterm Results'!E200="","",'(4).Midterm Results'!E200)</f>
        <v/>
      </c>
      <c r="F200" s="52" t="str">
        <f>IF('(4).Midterm Results'!F200="","",'(4).Midterm Results'!F200)</f>
        <v/>
      </c>
      <c r="G200" s="52" t="str">
        <f>IF('(4).Midterm Results'!G200="","",'(4).Midterm Results'!G200)</f>
        <v/>
      </c>
      <c r="H200" s="52" t="str">
        <f>IF('(4).Midterm Results'!H200="","",'(4).Midterm Results'!H200)</f>
        <v/>
      </c>
      <c r="I200" s="52" t="str">
        <f>IF('(4).Midterm Results'!I200="","",'(4).Midterm Results'!I200)</f>
        <v/>
      </c>
      <c r="J200" s="52" t="str">
        <f>IF('(4).Midterm Results'!J200="","",'(4).Midterm Results'!J200)</f>
        <v/>
      </c>
      <c r="K200" s="52" t="str">
        <f>IF('(4).Midterm Results'!K200="","",'(4).Midterm Results'!K200)</f>
        <v/>
      </c>
      <c r="L200" s="52" t="str">
        <f>IF('(4).Midterm Results'!L200="","",'(4).Midterm Results'!L200)</f>
        <v/>
      </c>
      <c r="M200" s="52" t="str">
        <f>IF('(4).Midterm Results'!M200="","",'(4).Midterm Results'!M200)</f>
        <v/>
      </c>
      <c r="N200" s="52" t="str">
        <f>IF('(4).Midterm Results'!N200="","",'(4).Midterm Results'!N200)</f>
        <v/>
      </c>
      <c r="O200" s="53" t="str">
        <f>IF('(4).Midterm Results'!O200="","",'(4).Midterm Results'!O200)</f>
        <v/>
      </c>
      <c r="P200" s="51" t="str">
        <f>IF('(5).Promotion Daily'!AH200="","",'(5).Promotion Daily'!AH200)</f>
        <v/>
      </c>
      <c r="Q200" s="52" t="str">
        <f>IF('(6).Promotion Exam'!D200="","",'(6).Promotion Exam'!D200)</f>
        <v/>
      </c>
      <c r="R200" s="52" t="str">
        <f>IF('(6).Promotion Exam'!E200="","",'(6).Promotion Exam'!E200)</f>
        <v/>
      </c>
      <c r="S200" s="52" t="str">
        <f>IF('(6).Promotion Exam'!F200="","",'(6).Promotion Exam'!F200)</f>
        <v/>
      </c>
      <c r="T200" s="52" t="str">
        <f>IF('(6).Promotion Exam'!G200="","",'(6).Promotion Exam'!G200)</f>
        <v/>
      </c>
      <c r="U200" s="52" t="str">
        <f>IF('(6).Promotion Exam'!H200="","",'(6).Promotion Exam'!H200)</f>
        <v/>
      </c>
      <c r="V200" s="52" t="str">
        <f>IF('(6).Promotion Exam'!I200="","",'(6).Promotion Exam'!I200)</f>
        <v/>
      </c>
      <c r="W200" s="52" t="str">
        <f>IF('(6).Promotion Exam'!J200="","",'(6).Promotion Exam'!J200)</f>
        <v/>
      </c>
      <c r="X200" s="52" t="str">
        <f>IF('(6).Promotion Exam'!K200="","",'(6).Promotion Exam'!K200)</f>
        <v/>
      </c>
      <c r="Y200" s="52" t="str">
        <f>IF('(6).Promotion Exam'!L200="","",'(6).Promotion Exam'!L200)</f>
        <v/>
      </c>
      <c r="Z200" s="52" t="str">
        <f>IF('(6).Promotion Exam'!M200="","",'(6).Promotion Exam'!M200)</f>
        <v/>
      </c>
      <c r="AA200" s="53" t="str">
        <f>IF(B200="","",IF(P200="Incomplete","Incomplete",IF('(6).Promotion Exam'!N200="Change","Change",IF('(6).Promotion Exam'!N200="Stop","Stop",IF('(6).Promotion Exam'!N200="Incomplete","Incomplete",IF(COUNTBLANK(Q200:Z200)&gt;=1,"Incomplete",P200*20%+SUM(Q200:Z200)*80%))))))</f>
        <v/>
      </c>
      <c r="AB200" s="54" t="str">
        <f t="shared" si="40"/>
        <v/>
      </c>
      <c r="AC200" s="55" t="str">
        <f t="shared" si="41"/>
        <v/>
      </c>
      <c r="AD200" s="55" t="str">
        <f t="shared" si="42"/>
        <v/>
      </c>
      <c r="AE200" s="56" t="str">
        <f t="shared" si="43"/>
        <v/>
      </c>
      <c r="AF200" s="57" t="str">
        <f t="shared" si="44"/>
        <v/>
      </c>
      <c r="AG200" s="97" t="str">
        <f t="shared" si="45"/>
        <v/>
      </c>
      <c r="AH200" s="58" t="str">
        <f t="shared" si="46"/>
        <v/>
      </c>
      <c r="AI200" s="58" t="str">
        <f t="shared" si="47"/>
        <v/>
      </c>
      <c r="AJ200" s="59"/>
    </row>
    <row r="201" spans="1:36" ht="15.95" customHeight="1">
      <c r="A201" s="66">
        <v>15</v>
      </c>
      <c r="B201" s="63" t="str">
        <f>IF('(6).Promotion Exam'!B201="","",'(6).Promotion Exam'!B201)</f>
        <v/>
      </c>
      <c r="C201" s="67" t="str">
        <f>IF('(6).Promotion Exam'!C201="","",'(6).Promotion Exam'!C201)</f>
        <v/>
      </c>
      <c r="D201" s="51" t="str">
        <f>IF('(4).Midterm Results'!D201="","",'(4).Midterm Results'!D201)</f>
        <v/>
      </c>
      <c r="E201" s="52" t="str">
        <f>IF('(4).Midterm Results'!E201="","",'(4).Midterm Results'!E201)</f>
        <v/>
      </c>
      <c r="F201" s="52" t="str">
        <f>IF('(4).Midterm Results'!F201="","",'(4).Midterm Results'!F201)</f>
        <v/>
      </c>
      <c r="G201" s="52" t="str">
        <f>IF('(4).Midterm Results'!G201="","",'(4).Midterm Results'!G201)</f>
        <v/>
      </c>
      <c r="H201" s="52" t="str">
        <f>IF('(4).Midterm Results'!H201="","",'(4).Midterm Results'!H201)</f>
        <v/>
      </c>
      <c r="I201" s="52" t="str">
        <f>IF('(4).Midterm Results'!I201="","",'(4).Midterm Results'!I201)</f>
        <v/>
      </c>
      <c r="J201" s="52" t="str">
        <f>IF('(4).Midterm Results'!J201="","",'(4).Midterm Results'!J201)</f>
        <v/>
      </c>
      <c r="K201" s="52" t="str">
        <f>IF('(4).Midterm Results'!K201="","",'(4).Midterm Results'!K201)</f>
        <v/>
      </c>
      <c r="L201" s="52" t="str">
        <f>IF('(4).Midterm Results'!L201="","",'(4).Midterm Results'!L201)</f>
        <v/>
      </c>
      <c r="M201" s="52" t="str">
        <f>IF('(4).Midterm Results'!M201="","",'(4).Midterm Results'!M201)</f>
        <v/>
      </c>
      <c r="N201" s="52" t="str">
        <f>IF('(4).Midterm Results'!N201="","",'(4).Midterm Results'!N201)</f>
        <v/>
      </c>
      <c r="O201" s="53" t="str">
        <f>IF('(4).Midterm Results'!O201="","",'(4).Midterm Results'!O201)</f>
        <v/>
      </c>
      <c r="P201" s="51" t="str">
        <f>IF('(5).Promotion Daily'!AH201="","",'(5).Promotion Daily'!AH201)</f>
        <v/>
      </c>
      <c r="Q201" s="52" t="str">
        <f>IF('(6).Promotion Exam'!D201="","",'(6).Promotion Exam'!D201)</f>
        <v/>
      </c>
      <c r="R201" s="52" t="str">
        <f>IF('(6).Promotion Exam'!E201="","",'(6).Promotion Exam'!E201)</f>
        <v/>
      </c>
      <c r="S201" s="52" t="str">
        <f>IF('(6).Promotion Exam'!F201="","",'(6).Promotion Exam'!F201)</f>
        <v/>
      </c>
      <c r="T201" s="52" t="str">
        <f>IF('(6).Promotion Exam'!G201="","",'(6).Promotion Exam'!G201)</f>
        <v/>
      </c>
      <c r="U201" s="52" t="str">
        <f>IF('(6).Promotion Exam'!H201="","",'(6).Promotion Exam'!H201)</f>
        <v/>
      </c>
      <c r="V201" s="52" t="str">
        <f>IF('(6).Promotion Exam'!I201="","",'(6).Promotion Exam'!I201)</f>
        <v/>
      </c>
      <c r="W201" s="52" t="str">
        <f>IF('(6).Promotion Exam'!J201="","",'(6).Promotion Exam'!J201)</f>
        <v/>
      </c>
      <c r="X201" s="52" t="str">
        <f>IF('(6).Promotion Exam'!K201="","",'(6).Promotion Exam'!K201)</f>
        <v/>
      </c>
      <c r="Y201" s="52" t="str">
        <f>IF('(6).Promotion Exam'!L201="","",'(6).Promotion Exam'!L201)</f>
        <v/>
      </c>
      <c r="Z201" s="52" t="str">
        <f>IF('(6).Promotion Exam'!M201="","",'(6).Promotion Exam'!M201)</f>
        <v/>
      </c>
      <c r="AA201" s="53" t="str">
        <f>IF(B201="","",IF(P201="Incomplete","Incomplete",IF('(6).Promotion Exam'!N201="Change","Change",IF('(6).Promotion Exam'!N201="Stop","Stop",IF('(6).Promotion Exam'!N201="Incomplete","Incomplete",IF(COUNTBLANK(Q201:Z201)&gt;=1,"Incomplete",P201*20%+SUM(Q201:Z201)*80%))))))</f>
        <v/>
      </c>
      <c r="AB201" s="54" t="str">
        <f t="shared" si="40"/>
        <v/>
      </c>
      <c r="AC201" s="55" t="str">
        <f t="shared" si="41"/>
        <v/>
      </c>
      <c r="AD201" s="55" t="str">
        <f t="shared" si="42"/>
        <v/>
      </c>
      <c r="AE201" s="56" t="str">
        <f t="shared" si="43"/>
        <v/>
      </c>
      <c r="AF201" s="57" t="str">
        <f t="shared" si="44"/>
        <v/>
      </c>
      <c r="AG201" s="97" t="str">
        <f t="shared" si="45"/>
        <v/>
      </c>
      <c r="AH201" s="58" t="str">
        <f t="shared" si="46"/>
        <v/>
      </c>
      <c r="AI201" s="58" t="str">
        <f t="shared" si="47"/>
        <v/>
      </c>
      <c r="AJ201" s="59"/>
    </row>
    <row r="202" spans="1:36" ht="15.95" customHeight="1">
      <c r="A202" s="66">
        <v>16</v>
      </c>
      <c r="B202" s="63" t="str">
        <f>IF('(6).Promotion Exam'!B202="","",'(6).Promotion Exam'!B202)</f>
        <v/>
      </c>
      <c r="C202" s="67" t="str">
        <f>IF('(6).Promotion Exam'!C202="","",'(6).Promotion Exam'!C202)</f>
        <v/>
      </c>
      <c r="D202" s="51" t="str">
        <f>IF('(4).Midterm Results'!D202="","",'(4).Midterm Results'!D202)</f>
        <v/>
      </c>
      <c r="E202" s="52" t="str">
        <f>IF('(4).Midterm Results'!E202="","",'(4).Midterm Results'!E202)</f>
        <v/>
      </c>
      <c r="F202" s="52" t="str">
        <f>IF('(4).Midterm Results'!F202="","",'(4).Midterm Results'!F202)</f>
        <v/>
      </c>
      <c r="G202" s="52" t="str">
        <f>IF('(4).Midterm Results'!G202="","",'(4).Midterm Results'!G202)</f>
        <v/>
      </c>
      <c r="H202" s="52" t="str">
        <f>IF('(4).Midterm Results'!H202="","",'(4).Midterm Results'!H202)</f>
        <v/>
      </c>
      <c r="I202" s="52" t="str">
        <f>IF('(4).Midterm Results'!I202="","",'(4).Midterm Results'!I202)</f>
        <v/>
      </c>
      <c r="J202" s="52" t="str">
        <f>IF('(4).Midterm Results'!J202="","",'(4).Midterm Results'!J202)</f>
        <v/>
      </c>
      <c r="K202" s="52" t="str">
        <f>IF('(4).Midterm Results'!K202="","",'(4).Midterm Results'!K202)</f>
        <v/>
      </c>
      <c r="L202" s="52" t="str">
        <f>IF('(4).Midterm Results'!L202="","",'(4).Midterm Results'!L202)</f>
        <v/>
      </c>
      <c r="M202" s="52" t="str">
        <f>IF('(4).Midterm Results'!M202="","",'(4).Midterm Results'!M202)</f>
        <v/>
      </c>
      <c r="N202" s="52" t="str">
        <f>IF('(4).Midterm Results'!N202="","",'(4).Midterm Results'!N202)</f>
        <v/>
      </c>
      <c r="O202" s="53" t="str">
        <f>IF('(4).Midterm Results'!O202="","",'(4).Midterm Results'!O202)</f>
        <v/>
      </c>
      <c r="P202" s="51" t="str">
        <f>IF('(5).Promotion Daily'!AH202="","",'(5).Promotion Daily'!AH202)</f>
        <v/>
      </c>
      <c r="Q202" s="52" t="str">
        <f>IF('(6).Promotion Exam'!D202="","",'(6).Promotion Exam'!D202)</f>
        <v/>
      </c>
      <c r="R202" s="52" t="str">
        <f>IF('(6).Promotion Exam'!E202="","",'(6).Promotion Exam'!E202)</f>
        <v/>
      </c>
      <c r="S202" s="52" t="str">
        <f>IF('(6).Promotion Exam'!F202="","",'(6).Promotion Exam'!F202)</f>
        <v/>
      </c>
      <c r="T202" s="52" t="str">
        <f>IF('(6).Promotion Exam'!G202="","",'(6).Promotion Exam'!G202)</f>
        <v/>
      </c>
      <c r="U202" s="52" t="str">
        <f>IF('(6).Promotion Exam'!H202="","",'(6).Promotion Exam'!H202)</f>
        <v/>
      </c>
      <c r="V202" s="52" t="str">
        <f>IF('(6).Promotion Exam'!I202="","",'(6).Promotion Exam'!I202)</f>
        <v/>
      </c>
      <c r="W202" s="52" t="str">
        <f>IF('(6).Promotion Exam'!J202="","",'(6).Promotion Exam'!J202)</f>
        <v/>
      </c>
      <c r="X202" s="52" t="str">
        <f>IF('(6).Promotion Exam'!K202="","",'(6).Promotion Exam'!K202)</f>
        <v/>
      </c>
      <c r="Y202" s="52" t="str">
        <f>IF('(6).Promotion Exam'!L202="","",'(6).Promotion Exam'!L202)</f>
        <v/>
      </c>
      <c r="Z202" s="52" t="str">
        <f>IF('(6).Promotion Exam'!M202="","",'(6).Promotion Exam'!M202)</f>
        <v/>
      </c>
      <c r="AA202" s="53" t="str">
        <f>IF(B202="","",IF(P202="Incomplete","Incomplete",IF('(6).Promotion Exam'!N202="Change","Change",IF('(6).Promotion Exam'!N202="Stop","Stop",IF('(6).Promotion Exam'!N202="Incomplete","Incomplete",IF(COUNTBLANK(Q202:Z202)&gt;=1,"Incomplete",P202*20%+SUM(Q202:Z202)*80%))))))</f>
        <v/>
      </c>
      <c r="AB202" s="54" t="str">
        <f t="shared" si="40"/>
        <v/>
      </c>
      <c r="AC202" s="55" t="str">
        <f t="shared" si="41"/>
        <v/>
      </c>
      <c r="AD202" s="55" t="str">
        <f t="shared" si="42"/>
        <v/>
      </c>
      <c r="AE202" s="56" t="str">
        <f t="shared" si="43"/>
        <v/>
      </c>
      <c r="AF202" s="57" t="str">
        <f t="shared" si="44"/>
        <v/>
      </c>
      <c r="AG202" s="97" t="str">
        <f t="shared" si="45"/>
        <v/>
      </c>
      <c r="AH202" s="58" t="str">
        <f t="shared" si="46"/>
        <v/>
      </c>
      <c r="AI202" s="58" t="str">
        <f t="shared" si="47"/>
        <v/>
      </c>
      <c r="AJ202" s="59"/>
    </row>
    <row r="203" spans="1:36" ht="15.95" customHeight="1">
      <c r="A203" s="66">
        <v>17</v>
      </c>
      <c r="B203" s="63" t="str">
        <f>IF('(6).Promotion Exam'!B203="","",'(6).Promotion Exam'!B203)</f>
        <v/>
      </c>
      <c r="C203" s="67" t="str">
        <f>IF('(6).Promotion Exam'!C203="","",'(6).Promotion Exam'!C203)</f>
        <v/>
      </c>
      <c r="D203" s="51" t="str">
        <f>IF('(4).Midterm Results'!D203="","",'(4).Midterm Results'!D203)</f>
        <v/>
      </c>
      <c r="E203" s="52" t="str">
        <f>IF('(4).Midterm Results'!E203="","",'(4).Midterm Results'!E203)</f>
        <v/>
      </c>
      <c r="F203" s="52" t="str">
        <f>IF('(4).Midterm Results'!F203="","",'(4).Midterm Results'!F203)</f>
        <v/>
      </c>
      <c r="G203" s="52" t="str">
        <f>IF('(4).Midterm Results'!G203="","",'(4).Midterm Results'!G203)</f>
        <v/>
      </c>
      <c r="H203" s="52" t="str">
        <f>IF('(4).Midterm Results'!H203="","",'(4).Midterm Results'!H203)</f>
        <v/>
      </c>
      <c r="I203" s="52" t="str">
        <f>IF('(4).Midterm Results'!I203="","",'(4).Midterm Results'!I203)</f>
        <v/>
      </c>
      <c r="J203" s="52" t="str">
        <f>IF('(4).Midterm Results'!J203="","",'(4).Midterm Results'!J203)</f>
        <v/>
      </c>
      <c r="K203" s="52" t="str">
        <f>IF('(4).Midterm Results'!K203="","",'(4).Midterm Results'!K203)</f>
        <v/>
      </c>
      <c r="L203" s="52" t="str">
        <f>IF('(4).Midterm Results'!L203="","",'(4).Midterm Results'!L203)</f>
        <v/>
      </c>
      <c r="M203" s="52" t="str">
        <f>IF('(4).Midterm Results'!M203="","",'(4).Midterm Results'!M203)</f>
        <v/>
      </c>
      <c r="N203" s="52" t="str">
        <f>IF('(4).Midterm Results'!N203="","",'(4).Midterm Results'!N203)</f>
        <v/>
      </c>
      <c r="O203" s="53" t="str">
        <f>IF('(4).Midterm Results'!O203="","",'(4).Midterm Results'!O203)</f>
        <v/>
      </c>
      <c r="P203" s="51" t="str">
        <f>IF('(5).Promotion Daily'!AH203="","",'(5).Promotion Daily'!AH203)</f>
        <v/>
      </c>
      <c r="Q203" s="52" t="str">
        <f>IF('(6).Promotion Exam'!D203="","",'(6).Promotion Exam'!D203)</f>
        <v/>
      </c>
      <c r="R203" s="52" t="str">
        <f>IF('(6).Promotion Exam'!E203="","",'(6).Promotion Exam'!E203)</f>
        <v/>
      </c>
      <c r="S203" s="52" t="str">
        <f>IF('(6).Promotion Exam'!F203="","",'(6).Promotion Exam'!F203)</f>
        <v/>
      </c>
      <c r="T203" s="52" t="str">
        <f>IF('(6).Promotion Exam'!G203="","",'(6).Promotion Exam'!G203)</f>
        <v/>
      </c>
      <c r="U203" s="52" t="str">
        <f>IF('(6).Promotion Exam'!H203="","",'(6).Promotion Exam'!H203)</f>
        <v/>
      </c>
      <c r="V203" s="52" t="str">
        <f>IF('(6).Promotion Exam'!I203="","",'(6).Promotion Exam'!I203)</f>
        <v/>
      </c>
      <c r="W203" s="52" t="str">
        <f>IF('(6).Promotion Exam'!J203="","",'(6).Promotion Exam'!J203)</f>
        <v/>
      </c>
      <c r="X203" s="52" t="str">
        <f>IF('(6).Promotion Exam'!K203="","",'(6).Promotion Exam'!K203)</f>
        <v/>
      </c>
      <c r="Y203" s="52" t="str">
        <f>IF('(6).Promotion Exam'!L203="","",'(6).Promotion Exam'!L203)</f>
        <v/>
      </c>
      <c r="Z203" s="52" t="str">
        <f>IF('(6).Promotion Exam'!M203="","",'(6).Promotion Exam'!M203)</f>
        <v/>
      </c>
      <c r="AA203" s="53" t="str">
        <f>IF(B203="","",IF(P203="Incomplete","Incomplete",IF('(6).Promotion Exam'!N203="Change","Change",IF('(6).Promotion Exam'!N203="Stop","Stop",IF('(6).Promotion Exam'!N203="Incomplete","Incomplete",IF(COUNTBLANK(Q203:Z203)&gt;=1,"Incomplete",P203*20%+SUM(Q203:Z203)*80%))))))</f>
        <v/>
      </c>
      <c r="AB203" s="54" t="str">
        <f t="shared" si="40"/>
        <v/>
      </c>
      <c r="AC203" s="55" t="str">
        <f t="shared" si="41"/>
        <v/>
      </c>
      <c r="AD203" s="55" t="str">
        <f t="shared" si="42"/>
        <v/>
      </c>
      <c r="AE203" s="56" t="str">
        <f t="shared" si="43"/>
        <v/>
      </c>
      <c r="AF203" s="57" t="str">
        <f t="shared" si="44"/>
        <v/>
      </c>
      <c r="AG203" s="97" t="str">
        <f t="shared" si="45"/>
        <v/>
      </c>
      <c r="AH203" s="58" t="str">
        <f t="shared" si="46"/>
        <v/>
      </c>
      <c r="AI203" s="58" t="str">
        <f t="shared" si="47"/>
        <v/>
      </c>
      <c r="AJ203" s="59"/>
    </row>
    <row r="204" spans="1:36" ht="15.95" customHeight="1">
      <c r="A204" s="66">
        <v>18</v>
      </c>
      <c r="B204" s="63" t="str">
        <f>IF('(6).Promotion Exam'!B204="","",'(6).Promotion Exam'!B204)</f>
        <v/>
      </c>
      <c r="C204" s="67" t="str">
        <f>IF('(6).Promotion Exam'!C204="","",'(6).Promotion Exam'!C204)</f>
        <v/>
      </c>
      <c r="D204" s="51" t="str">
        <f>IF('(4).Midterm Results'!D204="","",'(4).Midterm Results'!D204)</f>
        <v/>
      </c>
      <c r="E204" s="52" t="str">
        <f>IF('(4).Midterm Results'!E204="","",'(4).Midterm Results'!E204)</f>
        <v/>
      </c>
      <c r="F204" s="52" t="str">
        <f>IF('(4).Midterm Results'!F204="","",'(4).Midterm Results'!F204)</f>
        <v/>
      </c>
      <c r="G204" s="52" t="str">
        <f>IF('(4).Midterm Results'!G204="","",'(4).Midterm Results'!G204)</f>
        <v/>
      </c>
      <c r="H204" s="52" t="str">
        <f>IF('(4).Midterm Results'!H204="","",'(4).Midterm Results'!H204)</f>
        <v/>
      </c>
      <c r="I204" s="52" t="str">
        <f>IF('(4).Midterm Results'!I204="","",'(4).Midterm Results'!I204)</f>
        <v/>
      </c>
      <c r="J204" s="52" t="str">
        <f>IF('(4).Midterm Results'!J204="","",'(4).Midterm Results'!J204)</f>
        <v/>
      </c>
      <c r="K204" s="52" t="str">
        <f>IF('(4).Midterm Results'!K204="","",'(4).Midterm Results'!K204)</f>
        <v/>
      </c>
      <c r="L204" s="52" t="str">
        <f>IF('(4).Midterm Results'!L204="","",'(4).Midterm Results'!L204)</f>
        <v/>
      </c>
      <c r="M204" s="52" t="str">
        <f>IF('(4).Midterm Results'!M204="","",'(4).Midterm Results'!M204)</f>
        <v/>
      </c>
      <c r="N204" s="52" t="str">
        <f>IF('(4).Midterm Results'!N204="","",'(4).Midterm Results'!N204)</f>
        <v/>
      </c>
      <c r="O204" s="53" t="str">
        <f>IF('(4).Midterm Results'!O204="","",'(4).Midterm Results'!O204)</f>
        <v/>
      </c>
      <c r="P204" s="51" t="str">
        <f>IF('(5).Promotion Daily'!AH204="","",'(5).Promotion Daily'!AH204)</f>
        <v/>
      </c>
      <c r="Q204" s="52" t="str">
        <f>IF('(6).Promotion Exam'!D204="","",'(6).Promotion Exam'!D204)</f>
        <v/>
      </c>
      <c r="R204" s="52" t="str">
        <f>IF('(6).Promotion Exam'!E204="","",'(6).Promotion Exam'!E204)</f>
        <v/>
      </c>
      <c r="S204" s="52" t="str">
        <f>IF('(6).Promotion Exam'!F204="","",'(6).Promotion Exam'!F204)</f>
        <v/>
      </c>
      <c r="T204" s="52" t="str">
        <f>IF('(6).Promotion Exam'!G204="","",'(6).Promotion Exam'!G204)</f>
        <v/>
      </c>
      <c r="U204" s="52" t="str">
        <f>IF('(6).Promotion Exam'!H204="","",'(6).Promotion Exam'!H204)</f>
        <v/>
      </c>
      <c r="V204" s="52" t="str">
        <f>IF('(6).Promotion Exam'!I204="","",'(6).Promotion Exam'!I204)</f>
        <v/>
      </c>
      <c r="W204" s="52" t="str">
        <f>IF('(6).Promotion Exam'!J204="","",'(6).Promotion Exam'!J204)</f>
        <v/>
      </c>
      <c r="X204" s="52" t="str">
        <f>IF('(6).Promotion Exam'!K204="","",'(6).Promotion Exam'!K204)</f>
        <v/>
      </c>
      <c r="Y204" s="52" t="str">
        <f>IF('(6).Promotion Exam'!L204="","",'(6).Promotion Exam'!L204)</f>
        <v/>
      </c>
      <c r="Z204" s="52" t="str">
        <f>IF('(6).Promotion Exam'!M204="","",'(6).Promotion Exam'!M204)</f>
        <v/>
      </c>
      <c r="AA204" s="53" t="str">
        <f>IF(B204="","",IF(P204="Incomplete","Incomplete",IF('(6).Promotion Exam'!N204="Change","Change",IF('(6).Promotion Exam'!N204="Stop","Stop",IF('(6).Promotion Exam'!N204="Incomplete","Incomplete",IF(COUNTBLANK(Q204:Z204)&gt;=1,"Incomplete",P204*20%+SUM(Q204:Z204)*80%))))))</f>
        <v/>
      </c>
      <c r="AB204" s="54" t="str">
        <f t="shared" si="40"/>
        <v/>
      </c>
      <c r="AC204" s="55" t="str">
        <f t="shared" si="41"/>
        <v/>
      </c>
      <c r="AD204" s="55" t="str">
        <f t="shared" si="42"/>
        <v/>
      </c>
      <c r="AE204" s="56" t="str">
        <f t="shared" si="43"/>
        <v/>
      </c>
      <c r="AF204" s="57" t="str">
        <f t="shared" si="44"/>
        <v/>
      </c>
      <c r="AG204" s="97" t="str">
        <f t="shared" si="45"/>
        <v/>
      </c>
      <c r="AH204" s="58" t="str">
        <f t="shared" si="46"/>
        <v/>
      </c>
      <c r="AI204" s="58" t="str">
        <f t="shared" si="47"/>
        <v/>
      </c>
      <c r="AJ204" s="59"/>
    </row>
    <row r="205" spans="1:36" ht="15.95" customHeight="1">
      <c r="A205" s="66">
        <v>19</v>
      </c>
      <c r="B205" s="63" t="str">
        <f>IF('(6).Promotion Exam'!B205="","",'(6).Promotion Exam'!B205)</f>
        <v/>
      </c>
      <c r="C205" s="67" t="str">
        <f>IF('(6).Promotion Exam'!C205="","",'(6).Promotion Exam'!C205)</f>
        <v/>
      </c>
      <c r="D205" s="51" t="str">
        <f>IF('(4).Midterm Results'!D205="","",'(4).Midterm Results'!D205)</f>
        <v/>
      </c>
      <c r="E205" s="52" t="str">
        <f>IF('(4).Midterm Results'!E205="","",'(4).Midterm Results'!E205)</f>
        <v/>
      </c>
      <c r="F205" s="52" t="str">
        <f>IF('(4).Midterm Results'!F205="","",'(4).Midterm Results'!F205)</f>
        <v/>
      </c>
      <c r="G205" s="52" t="str">
        <f>IF('(4).Midterm Results'!G205="","",'(4).Midterm Results'!G205)</f>
        <v/>
      </c>
      <c r="H205" s="52" t="str">
        <f>IF('(4).Midterm Results'!H205="","",'(4).Midterm Results'!H205)</f>
        <v/>
      </c>
      <c r="I205" s="52" t="str">
        <f>IF('(4).Midterm Results'!I205="","",'(4).Midterm Results'!I205)</f>
        <v/>
      </c>
      <c r="J205" s="52" t="str">
        <f>IF('(4).Midterm Results'!J205="","",'(4).Midterm Results'!J205)</f>
        <v/>
      </c>
      <c r="K205" s="52" t="str">
        <f>IF('(4).Midterm Results'!K205="","",'(4).Midterm Results'!K205)</f>
        <v/>
      </c>
      <c r="L205" s="52" t="str">
        <f>IF('(4).Midterm Results'!L205="","",'(4).Midterm Results'!L205)</f>
        <v/>
      </c>
      <c r="M205" s="52" t="str">
        <f>IF('(4).Midterm Results'!M205="","",'(4).Midterm Results'!M205)</f>
        <v/>
      </c>
      <c r="N205" s="52" t="str">
        <f>IF('(4).Midterm Results'!N205="","",'(4).Midterm Results'!N205)</f>
        <v/>
      </c>
      <c r="O205" s="53" t="str">
        <f>IF('(4).Midterm Results'!O205="","",'(4).Midterm Results'!O205)</f>
        <v/>
      </c>
      <c r="P205" s="51" t="str">
        <f>IF('(5).Promotion Daily'!AH205="","",'(5).Promotion Daily'!AH205)</f>
        <v/>
      </c>
      <c r="Q205" s="52" t="str">
        <f>IF('(6).Promotion Exam'!D205="","",'(6).Promotion Exam'!D205)</f>
        <v/>
      </c>
      <c r="R205" s="52" t="str">
        <f>IF('(6).Promotion Exam'!E205="","",'(6).Promotion Exam'!E205)</f>
        <v/>
      </c>
      <c r="S205" s="52" t="str">
        <f>IF('(6).Promotion Exam'!F205="","",'(6).Promotion Exam'!F205)</f>
        <v/>
      </c>
      <c r="T205" s="52" t="str">
        <f>IF('(6).Promotion Exam'!G205="","",'(6).Promotion Exam'!G205)</f>
        <v/>
      </c>
      <c r="U205" s="52" t="str">
        <f>IF('(6).Promotion Exam'!H205="","",'(6).Promotion Exam'!H205)</f>
        <v/>
      </c>
      <c r="V205" s="52" t="str">
        <f>IF('(6).Promotion Exam'!I205="","",'(6).Promotion Exam'!I205)</f>
        <v/>
      </c>
      <c r="W205" s="52" t="str">
        <f>IF('(6).Promotion Exam'!J205="","",'(6).Promotion Exam'!J205)</f>
        <v/>
      </c>
      <c r="X205" s="52" t="str">
        <f>IF('(6).Promotion Exam'!K205="","",'(6).Promotion Exam'!K205)</f>
        <v/>
      </c>
      <c r="Y205" s="52" t="str">
        <f>IF('(6).Promotion Exam'!L205="","",'(6).Promotion Exam'!L205)</f>
        <v/>
      </c>
      <c r="Z205" s="52" t="str">
        <f>IF('(6).Promotion Exam'!M205="","",'(6).Promotion Exam'!M205)</f>
        <v/>
      </c>
      <c r="AA205" s="53" t="str">
        <f>IF(B205="","",IF(P205="Incomplete","Incomplete",IF('(6).Promotion Exam'!N205="Change","Change",IF('(6).Promotion Exam'!N205="Stop","Stop",IF('(6).Promotion Exam'!N205="Incomplete","Incomplete",IF(COUNTBLANK(Q205:Z205)&gt;=1,"Incomplete",P205*20%+SUM(Q205:Z205)*80%))))))</f>
        <v/>
      </c>
      <c r="AB205" s="54" t="str">
        <f t="shared" si="40"/>
        <v/>
      </c>
      <c r="AC205" s="55" t="str">
        <f t="shared" si="41"/>
        <v/>
      </c>
      <c r="AD205" s="55" t="str">
        <f t="shared" si="42"/>
        <v/>
      </c>
      <c r="AE205" s="56" t="str">
        <f t="shared" si="43"/>
        <v/>
      </c>
      <c r="AF205" s="57" t="str">
        <f t="shared" si="44"/>
        <v/>
      </c>
      <c r="AG205" s="97" t="str">
        <f t="shared" si="45"/>
        <v/>
      </c>
      <c r="AH205" s="58" t="str">
        <f t="shared" si="46"/>
        <v/>
      </c>
      <c r="AI205" s="58" t="str">
        <f t="shared" si="47"/>
        <v/>
      </c>
      <c r="AJ205" s="59"/>
    </row>
    <row r="206" spans="1:36" ht="15.95" customHeight="1">
      <c r="A206" s="66">
        <v>20</v>
      </c>
      <c r="B206" s="63" t="str">
        <f>IF('(6).Promotion Exam'!B206="","",'(6).Promotion Exam'!B206)</f>
        <v/>
      </c>
      <c r="C206" s="67" t="str">
        <f>IF('(6).Promotion Exam'!C206="","",'(6).Promotion Exam'!C206)</f>
        <v/>
      </c>
      <c r="D206" s="51" t="str">
        <f>IF('(4).Midterm Results'!D206="","",'(4).Midterm Results'!D206)</f>
        <v/>
      </c>
      <c r="E206" s="52" t="str">
        <f>IF('(4).Midterm Results'!E206="","",'(4).Midterm Results'!E206)</f>
        <v/>
      </c>
      <c r="F206" s="52" t="str">
        <f>IF('(4).Midterm Results'!F206="","",'(4).Midterm Results'!F206)</f>
        <v/>
      </c>
      <c r="G206" s="52" t="str">
        <f>IF('(4).Midterm Results'!G206="","",'(4).Midterm Results'!G206)</f>
        <v/>
      </c>
      <c r="H206" s="52" t="str">
        <f>IF('(4).Midterm Results'!H206="","",'(4).Midterm Results'!H206)</f>
        <v/>
      </c>
      <c r="I206" s="52" t="str">
        <f>IF('(4).Midterm Results'!I206="","",'(4).Midterm Results'!I206)</f>
        <v/>
      </c>
      <c r="J206" s="52" t="str">
        <f>IF('(4).Midterm Results'!J206="","",'(4).Midterm Results'!J206)</f>
        <v/>
      </c>
      <c r="K206" s="52" t="str">
        <f>IF('(4).Midterm Results'!K206="","",'(4).Midterm Results'!K206)</f>
        <v/>
      </c>
      <c r="L206" s="52" t="str">
        <f>IF('(4).Midterm Results'!L206="","",'(4).Midterm Results'!L206)</f>
        <v/>
      </c>
      <c r="M206" s="52" t="str">
        <f>IF('(4).Midterm Results'!M206="","",'(4).Midterm Results'!M206)</f>
        <v/>
      </c>
      <c r="N206" s="52" t="str">
        <f>IF('(4).Midterm Results'!N206="","",'(4).Midterm Results'!N206)</f>
        <v/>
      </c>
      <c r="O206" s="53" t="str">
        <f>IF('(4).Midterm Results'!O206="","",'(4).Midterm Results'!O206)</f>
        <v/>
      </c>
      <c r="P206" s="51" t="str">
        <f>IF('(5).Promotion Daily'!AH206="","",'(5).Promotion Daily'!AH206)</f>
        <v/>
      </c>
      <c r="Q206" s="52" t="str">
        <f>IF('(6).Promotion Exam'!D206="","",'(6).Promotion Exam'!D206)</f>
        <v/>
      </c>
      <c r="R206" s="52" t="str">
        <f>IF('(6).Promotion Exam'!E206="","",'(6).Promotion Exam'!E206)</f>
        <v/>
      </c>
      <c r="S206" s="52" t="str">
        <f>IF('(6).Promotion Exam'!F206="","",'(6).Promotion Exam'!F206)</f>
        <v/>
      </c>
      <c r="T206" s="52" t="str">
        <f>IF('(6).Promotion Exam'!G206="","",'(6).Promotion Exam'!G206)</f>
        <v/>
      </c>
      <c r="U206" s="52" t="str">
        <f>IF('(6).Promotion Exam'!H206="","",'(6).Promotion Exam'!H206)</f>
        <v/>
      </c>
      <c r="V206" s="52" t="str">
        <f>IF('(6).Promotion Exam'!I206="","",'(6).Promotion Exam'!I206)</f>
        <v/>
      </c>
      <c r="W206" s="52" t="str">
        <f>IF('(6).Promotion Exam'!J206="","",'(6).Promotion Exam'!J206)</f>
        <v/>
      </c>
      <c r="X206" s="52" t="str">
        <f>IF('(6).Promotion Exam'!K206="","",'(6).Promotion Exam'!K206)</f>
        <v/>
      </c>
      <c r="Y206" s="52" t="str">
        <f>IF('(6).Promotion Exam'!L206="","",'(6).Promotion Exam'!L206)</f>
        <v/>
      </c>
      <c r="Z206" s="52" t="str">
        <f>IF('(6).Promotion Exam'!M206="","",'(6).Promotion Exam'!M206)</f>
        <v/>
      </c>
      <c r="AA206" s="53" t="str">
        <f>IF(B206="","",IF(P206="Incomplete","Incomplete",IF('(6).Promotion Exam'!N206="Change","Change",IF('(6).Promotion Exam'!N206="Stop","Stop",IF('(6).Promotion Exam'!N206="Incomplete","Incomplete",IF(COUNTBLANK(Q206:Z206)&gt;=1,"Incomplete",P206*20%+SUM(Q206:Z206)*80%))))))</f>
        <v/>
      </c>
      <c r="AB206" s="54" t="str">
        <f t="shared" si="40"/>
        <v/>
      </c>
      <c r="AC206" s="55" t="str">
        <f t="shared" si="41"/>
        <v/>
      </c>
      <c r="AD206" s="55" t="str">
        <f t="shared" si="42"/>
        <v/>
      </c>
      <c r="AE206" s="56" t="str">
        <f t="shared" si="43"/>
        <v/>
      </c>
      <c r="AF206" s="57" t="str">
        <f t="shared" si="44"/>
        <v/>
      </c>
      <c r="AG206" s="97" t="str">
        <f t="shared" si="45"/>
        <v/>
      </c>
      <c r="AH206" s="58" t="str">
        <f t="shared" si="46"/>
        <v/>
      </c>
      <c r="AI206" s="58" t="str">
        <f t="shared" si="47"/>
        <v/>
      </c>
      <c r="AJ206" s="59"/>
    </row>
    <row r="207" spans="1:36" ht="15.95" customHeight="1">
      <c r="A207" s="66">
        <v>21</v>
      </c>
      <c r="B207" s="63" t="str">
        <f>IF('(6).Promotion Exam'!B207="","",'(6).Promotion Exam'!B207)</f>
        <v/>
      </c>
      <c r="C207" s="67" t="str">
        <f>IF('(6).Promotion Exam'!C207="","",'(6).Promotion Exam'!C207)</f>
        <v/>
      </c>
      <c r="D207" s="51" t="str">
        <f>IF('(4).Midterm Results'!D207="","",'(4).Midterm Results'!D207)</f>
        <v/>
      </c>
      <c r="E207" s="52" t="str">
        <f>IF('(4).Midterm Results'!E207="","",'(4).Midterm Results'!E207)</f>
        <v/>
      </c>
      <c r="F207" s="52" t="str">
        <f>IF('(4).Midterm Results'!F207="","",'(4).Midterm Results'!F207)</f>
        <v/>
      </c>
      <c r="G207" s="52" t="str">
        <f>IF('(4).Midterm Results'!G207="","",'(4).Midterm Results'!G207)</f>
        <v/>
      </c>
      <c r="H207" s="52" t="str">
        <f>IF('(4).Midterm Results'!H207="","",'(4).Midterm Results'!H207)</f>
        <v/>
      </c>
      <c r="I207" s="52" t="str">
        <f>IF('(4).Midterm Results'!I207="","",'(4).Midterm Results'!I207)</f>
        <v/>
      </c>
      <c r="J207" s="52" t="str">
        <f>IF('(4).Midterm Results'!J207="","",'(4).Midterm Results'!J207)</f>
        <v/>
      </c>
      <c r="K207" s="52" t="str">
        <f>IF('(4).Midterm Results'!K207="","",'(4).Midterm Results'!K207)</f>
        <v/>
      </c>
      <c r="L207" s="52" t="str">
        <f>IF('(4).Midterm Results'!L207="","",'(4).Midterm Results'!L207)</f>
        <v/>
      </c>
      <c r="M207" s="52" t="str">
        <f>IF('(4).Midterm Results'!M207="","",'(4).Midterm Results'!M207)</f>
        <v/>
      </c>
      <c r="N207" s="52" t="str">
        <f>IF('(4).Midterm Results'!N207="","",'(4).Midterm Results'!N207)</f>
        <v/>
      </c>
      <c r="O207" s="53" t="str">
        <f>IF('(4).Midterm Results'!O207="","",'(4).Midterm Results'!O207)</f>
        <v/>
      </c>
      <c r="P207" s="51" t="str">
        <f>IF('(5).Promotion Daily'!AH207="","",'(5).Promotion Daily'!AH207)</f>
        <v/>
      </c>
      <c r="Q207" s="52" t="str">
        <f>IF('(6).Promotion Exam'!D207="","",'(6).Promotion Exam'!D207)</f>
        <v/>
      </c>
      <c r="R207" s="52" t="str">
        <f>IF('(6).Promotion Exam'!E207="","",'(6).Promotion Exam'!E207)</f>
        <v/>
      </c>
      <c r="S207" s="52" t="str">
        <f>IF('(6).Promotion Exam'!F207="","",'(6).Promotion Exam'!F207)</f>
        <v/>
      </c>
      <c r="T207" s="52" t="str">
        <f>IF('(6).Promotion Exam'!G207="","",'(6).Promotion Exam'!G207)</f>
        <v/>
      </c>
      <c r="U207" s="52" t="str">
        <f>IF('(6).Promotion Exam'!H207="","",'(6).Promotion Exam'!H207)</f>
        <v/>
      </c>
      <c r="V207" s="52" t="str">
        <f>IF('(6).Promotion Exam'!I207="","",'(6).Promotion Exam'!I207)</f>
        <v/>
      </c>
      <c r="W207" s="52" t="str">
        <f>IF('(6).Promotion Exam'!J207="","",'(6).Promotion Exam'!J207)</f>
        <v/>
      </c>
      <c r="X207" s="52" t="str">
        <f>IF('(6).Promotion Exam'!K207="","",'(6).Promotion Exam'!K207)</f>
        <v/>
      </c>
      <c r="Y207" s="52" t="str">
        <f>IF('(6).Promotion Exam'!L207="","",'(6).Promotion Exam'!L207)</f>
        <v/>
      </c>
      <c r="Z207" s="52" t="str">
        <f>IF('(6).Promotion Exam'!M207="","",'(6).Promotion Exam'!M207)</f>
        <v/>
      </c>
      <c r="AA207" s="53" t="str">
        <f>IF(B207="","",IF(P207="Incomplete","Incomplete",IF('(6).Promotion Exam'!N207="Change","Change",IF('(6).Promotion Exam'!N207="Stop","Stop",IF('(6).Promotion Exam'!N207="Incomplete","Incomplete",IF(COUNTBLANK(Q207:Z207)&gt;=1,"Incomplete",P207*20%+SUM(Q207:Z207)*80%))))))</f>
        <v/>
      </c>
      <c r="AB207" s="54" t="str">
        <f t="shared" si="40"/>
        <v/>
      </c>
      <c r="AC207" s="55" t="str">
        <f t="shared" si="41"/>
        <v/>
      </c>
      <c r="AD207" s="55" t="str">
        <f t="shared" si="42"/>
        <v/>
      </c>
      <c r="AE207" s="56" t="str">
        <f t="shared" si="43"/>
        <v/>
      </c>
      <c r="AF207" s="57" t="str">
        <f t="shared" si="44"/>
        <v/>
      </c>
      <c r="AG207" s="97" t="str">
        <f t="shared" si="45"/>
        <v/>
      </c>
      <c r="AH207" s="58" t="str">
        <f t="shared" si="46"/>
        <v/>
      </c>
      <c r="AI207" s="58" t="str">
        <f t="shared" si="47"/>
        <v/>
      </c>
      <c r="AJ207" s="59"/>
    </row>
    <row r="208" spans="1:36" ht="15.95" customHeight="1">
      <c r="A208" s="66">
        <v>22</v>
      </c>
      <c r="B208" s="63" t="str">
        <f>IF('(6).Promotion Exam'!B208="","",'(6).Promotion Exam'!B208)</f>
        <v/>
      </c>
      <c r="C208" s="67" t="str">
        <f>IF('(6).Promotion Exam'!C208="","",'(6).Promotion Exam'!C208)</f>
        <v/>
      </c>
      <c r="D208" s="51" t="str">
        <f>IF('(4).Midterm Results'!D208="","",'(4).Midterm Results'!D208)</f>
        <v/>
      </c>
      <c r="E208" s="52" t="str">
        <f>IF('(4).Midterm Results'!E208="","",'(4).Midterm Results'!E208)</f>
        <v/>
      </c>
      <c r="F208" s="52" t="str">
        <f>IF('(4).Midterm Results'!F208="","",'(4).Midterm Results'!F208)</f>
        <v/>
      </c>
      <c r="G208" s="52" t="str">
        <f>IF('(4).Midterm Results'!G208="","",'(4).Midterm Results'!G208)</f>
        <v/>
      </c>
      <c r="H208" s="52" t="str">
        <f>IF('(4).Midterm Results'!H208="","",'(4).Midterm Results'!H208)</f>
        <v/>
      </c>
      <c r="I208" s="52" t="str">
        <f>IF('(4).Midterm Results'!I208="","",'(4).Midterm Results'!I208)</f>
        <v/>
      </c>
      <c r="J208" s="52" t="str">
        <f>IF('(4).Midterm Results'!J208="","",'(4).Midterm Results'!J208)</f>
        <v/>
      </c>
      <c r="K208" s="52" t="str">
        <f>IF('(4).Midterm Results'!K208="","",'(4).Midterm Results'!K208)</f>
        <v/>
      </c>
      <c r="L208" s="52" t="str">
        <f>IF('(4).Midterm Results'!L208="","",'(4).Midterm Results'!L208)</f>
        <v/>
      </c>
      <c r="M208" s="52" t="str">
        <f>IF('(4).Midterm Results'!M208="","",'(4).Midterm Results'!M208)</f>
        <v/>
      </c>
      <c r="N208" s="52" t="str">
        <f>IF('(4).Midterm Results'!N208="","",'(4).Midterm Results'!N208)</f>
        <v/>
      </c>
      <c r="O208" s="53" t="str">
        <f>IF('(4).Midterm Results'!O208="","",'(4).Midterm Results'!O208)</f>
        <v/>
      </c>
      <c r="P208" s="51" t="str">
        <f>IF('(5).Promotion Daily'!AH208="","",'(5).Promotion Daily'!AH208)</f>
        <v/>
      </c>
      <c r="Q208" s="52" t="str">
        <f>IF('(6).Promotion Exam'!D208="","",'(6).Promotion Exam'!D208)</f>
        <v/>
      </c>
      <c r="R208" s="52" t="str">
        <f>IF('(6).Promotion Exam'!E208="","",'(6).Promotion Exam'!E208)</f>
        <v/>
      </c>
      <c r="S208" s="52" t="str">
        <f>IF('(6).Promotion Exam'!F208="","",'(6).Promotion Exam'!F208)</f>
        <v/>
      </c>
      <c r="T208" s="52" t="str">
        <f>IF('(6).Promotion Exam'!G208="","",'(6).Promotion Exam'!G208)</f>
        <v/>
      </c>
      <c r="U208" s="52" t="str">
        <f>IF('(6).Promotion Exam'!H208="","",'(6).Promotion Exam'!H208)</f>
        <v/>
      </c>
      <c r="V208" s="52" t="str">
        <f>IF('(6).Promotion Exam'!I208="","",'(6).Promotion Exam'!I208)</f>
        <v/>
      </c>
      <c r="W208" s="52" t="str">
        <f>IF('(6).Promotion Exam'!J208="","",'(6).Promotion Exam'!J208)</f>
        <v/>
      </c>
      <c r="X208" s="52" t="str">
        <f>IF('(6).Promotion Exam'!K208="","",'(6).Promotion Exam'!K208)</f>
        <v/>
      </c>
      <c r="Y208" s="52" t="str">
        <f>IF('(6).Promotion Exam'!L208="","",'(6).Promotion Exam'!L208)</f>
        <v/>
      </c>
      <c r="Z208" s="52" t="str">
        <f>IF('(6).Promotion Exam'!M208="","",'(6).Promotion Exam'!M208)</f>
        <v/>
      </c>
      <c r="AA208" s="53" t="str">
        <f>IF(B208="","",IF(P208="Incomplete","Incomplete",IF('(6).Promotion Exam'!N208="Change","Change",IF('(6).Promotion Exam'!N208="Stop","Stop",IF('(6).Promotion Exam'!N208="Incomplete","Incomplete",IF(COUNTBLANK(Q208:Z208)&gt;=1,"Incomplete",P208*20%+SUM(Q208:Z208)*80%))))))</f>
        <v/>
      </c>
      <c r="AB208" s="54" t="str">
        <f t="shared" si="40"/>
        <v/>
      </c>
      <c r="AC208" s="55" t="str">
        <f t="shared" si="41"/>
        <v/>
      </c>
      <c r="AD208" s="55" t="str">
        <f t="shared" si="42"/>
        <v/>
      </c>
      <c r="AE208" s="56" t="str">
        <f t="shared" si="43"/>
        <v/>
      </c>
      <c r="AF208" s="57" t="str">
        <f t="shared" si="44"/>
        <v/>
      </c>
      <c r="AG208" s="97" t="str">
        <f t="shared" si="45"/>
        <v/>
      </c>
      <c r="AH208" s="58" t="str">
        <f t="shared" si="46"/>
        <v/>
      </c>
      <c r="AI208" s="58" t="str">
        <f t="shared" si="47"/>
        <v/>
      </c>
      <c r="AJ208" s="59"/>
    </row>
    <row r="209" spans="1:36" ht="15.95" customHeight="1">
      <c r="A209" s="66">
        <v>23</v>
      </c>
      <c r="B209" s="63" t="str">
        <f>IF('(6).Promotion Exam'!B209="","",'(6).Promotion Exam'!B209)</f>
        <v/>
      </c>
      <c r="C209" s="67" t="str">
        <f>IF('(6).Promotion Exam'!C209="","",'(6).Promotion Exam'!C209)</f>
        <v/>
      </c>
      <c r="D209" s="51" t="str">
        <f>IF('(4).Midterm Results'!D209="","",'(4).Midterm Results'!D209)</f>
        <v/>
      </c>
      <c r="E209" s="52" t="str">
        <f>IF('(4).Midterm Results'!E209="","",'(4).Midterm Results'!E209)</f>
        <v/>
      </c>
      <c r="F209" s="52" t="str">
        <f>IF('(4).Midterm Results'!F209="","",'(4).Midterm Results'!F209)</f>
        <v/>
      </c>
      <c r="G209" s="52" t="str">
        <f>IF('(4).Midterm Results'!G209="","",'(4).Midterm Results'!G209)</f>
        <v/>
      </c>
      <c r="H209" s="52" t="str">
        <f>IF('(4).Midterm Results'!H209="","",'(4).Midterm Results'!H209)</f>
        <v/>
      </c>
      <c r="I209" s="52" t="str">
        <f>IF('(4).Midterm Results'!I209="","",'(4).Midterm Results'!I209)</f>
        <v/>
      </c>
      <c r="J209" s="52" t="str">
        <f>IF('(4).Midterm Results'!J209="","",'(4).Midterm Results'!J209)</f>
        <v/>
      </c>
      <c r="K209" s="52" t="str">
        <f>IF('(4).Midterm Results'!K209="","",'(4).Midterm Results'!K209)</f>
        <v/>
      </c>
      <c r="L209" s="52" t="str">
        <f>IF('(4).Midterm Results'!L209="","",'(4).Midterm Results'!L209)</f>
        <v/>
      </c>
      <c r="M209" s="52" t="str">
        <f>IF('(4).Midterm Results'!M209="","",'(4).Midterm Results'!M209)</f>
        <v/>
      </c>
      <c r="N209" s="52" t="str">
        <f>IF('(4).Midterm Results'!N209="","",'(4).Midterm Results'!N209)</f>
        <v/>
      </c>
      <c r="O209" s="53" t="str">
        <f>IF('(4).Midterm Results'!O209="","",'(4).Midterm Results'!O209)</f>
        <v/>
      </c>
      <c r="P209" s="51" t="str">
        <f>IF('(5).Promotion Daily'!AH209="","",'(5).Promotion Daily'!AH209)</f>
        <v/>
      </c>
      <c r="Q209" s="52" t="str">
        <f>IF('(6).Promotion Exam'!D209="","",'(6).Promotion Exam'!D209)</f>
        <v/>
      </c>
      <c r="R209" s="52" t="str">
        <f>IF('(6).Promotion Exam'!E209="","",'(6).Promotion Exam'!E209)</f>
        <v/>
      </c>
      <c r="S209" s="52" t="str">
        <f>IF('(6).Promotion Exam'!F209="","",'(6).Promotion Exam'!F209)</f>
        <v/>
      </c>
      <c r="T209" s="52" t="str">
        <f>IF('(6).Promotion Exam'!G209="","",'(6).Promotion Exam'!G209)</f>
        <v/>
      </c>
      <c r="U209" s="52" t="str">
        <f>IF('(6).Promotion Exam'!H209="","",'(6).Promotion Exam'!H209)</f>
        <v/>
      </c>
      <c r="V209" s="52" t="str">
        <f>IF('(6).Promotion Exam'!I209="","",'(6).Promotion Exam'!I209)</f>
        <v/>
      </c>
      <c r="W209" s="52" t="str">
        <f>IF('(6).Promotion Exam'!J209="","",'(6).Promotion Exam'!J209)</f>
        <v/>
      </c>
      <c r="X209" s="52" t="str">
        <f>IF('(6).Promotion Exam'!K209="","",'(6).Promotion Exam'!K209)</f>
        <v/>
      </c>
      <c r="Y209" s="52" t="str">
        <f>IF('(6).Promotion Exam'!L209="","",'(6).Promotion Exam'!L209)</f>
        <v/>
      </c>
      <c r="Z209" s="52" t="str">
        <f>IF('(6).Promotion Exam'!M209="","",'(6).Promotion Exam'!M209)</f>
        <v/>
      </c>
      <c r="AA209" s="53" t="str">
        <f>IF(B209="","",IF(P209="Incomplete","Incomplete",IF('(6).Promotion Exam'!N209="Change","Change",IF('(6).Promotion Exam'!N209="Stop","Stop",IF('(6).Promotion Exam'!N209="Incomplete","Incomplete",IF(COUNTBLANK(Q209:Z209)&gt;=1,"Incomplete",P209*20%+SUM(Q209:Z209)*80%))))))</f>
        <v/>
      </c>
      <c r="AB209" s="54" t="str">
        <f t="shared" si="40"/>
        <v/>
      </c>
      <c r="AC209" s="55" t="str">
        <f t="shared" si="41"/>
        <v/>
      </c>
      <c r="AD209" s="55" t="str">
        <f t="shared" si="42"/>
        <v/>
      </c>
      <c r="AE209" s="56" t="str">
        <f t="shared" si="43"/>
        <v/>
      </c>
      <c r="AF209" s="57" t="str">
        <f t="shared" si="44"/>
        <v/>
      </c>
      <c r="AG209" s="97" t="str">
        <f t="shared" si="45"/>
        <v/>
      </c>
      <c r="AH209" s="58" t="str">
        <f t="shared" si="46"/>
        <v/>
      </c>
      <c r="AI209" s="58" t="str">
        <f t="shared" si="47"/>
        <v/>
      </c>
      <c r="AJ209" s="59"/>
    </row>
    <row r="210" spans="1:36" ht="15.95" customHeight="1">
      <c r="A210" s="66">
        <v>24</v>
      </c>
      <c r="B210" s="63" t="str">
        <f>IF('(6).Promotion Exam'!B210="","",'(6).Promotion Exam'!B210)</f>
        <v/>
      </c>
      <c r="C210" s="67" t="str">
        <f>IF('(6).Promotion Exam'!C210="","",'(6).Promotion Exam'!C210)</f>
        <v/>
      </c>
      <c r="D210" s="51" t="str">
        <f>IF('(4).Midterm Results'!D210="","",'(4).Midterm Results'!D210)</f>
        <v/>
      </c>
      <c r="E210" s="52" t="str">
        <f>IF('(4).Midterm Results'!E210="","",'(4).Midterm Results'!E210)</f>
        <v/>
      </c>
      <c r="F210" s="52" t="str">
        <f>IF('(4).Midterm Results'!F210="","",'(4).Midterm Results'!F210)</f>
        <v/>
      </c>
      <c r="G210" s="52" t="str">
        <f>IF('(4).Midterm Results'!G210="","",'(4).Midterm Results'!G210)</f>
        <v/>
      </c>
      <c r="H210" s="52" t="str">
        <f>IF('(4).Midterm Results'!H210="","",'(4).Midterm Results'!H210)</f>
        <v/>
      </c>
      <c r="I210" s="52" t="str">
        <f>IF('(4).Midterm Results'!I210="","",'(4).Midterm Results'!I210)</f>
        <v/>
      </c>
      <c r="J210" s="52" t="str">
        <f>IF('(4).Midterm Results'!J210="","",'(4).Midterm Results'!J210)</f>
        <v/>
      </c>
      <c r="K210" s="52" t="str">
        <f>IF('(4).Midterm Results'!K210="","",'(4).Midterm Results'!K210)</f>
        <v/>
      </c>
      <c r="L210" s="52" t="str">
        <f>IF('(4).Midterm Results'!L210="","",'(4).Midterm Results'!L210)</f>
        <v/>
      </c>
      <c r="M210" s="52" t="str">
        <f>IF('(4).Midterm Results'!M210="","",'(4).Midterm Results'!M210)</f>
        <v/>
      </c>
      <c r="N210" s="52" t="str">
        <f>IF('(4).Midterm Results'!N210="","",'(4).Midterm Results'!N210)</f>
        <v/>
      </c>
      <c r="O210" s="53" t="str">
        <f>IF('(4).Midterm Results'!O210="","",'(4).Midterm Results'!O210)</f>
        <v/>
      </c>
      <c r="P210" s="51" t="str">
        <f>IF('(5).Promotion Daily'!AH210="","",'(5).Promotion Daily'!AH210)</f>
        <v/>
      </c>
      <c r="Q210" s="52" t="str">
        <f>IF('(6).Promotion Exam'!D210="","",'(6).Promotion Exam'!D210)</f>
        <v/>
      </c>
      <c r="R210" s="52" t="str">
        <f>IF('(6).Promotion Exam'!E210="","",'(6).Promotion Exam'!E210)</f>
        <v/>
      </c>
      <c r="S210" s="52" t="str">
        <f>IF('(6).Promotion Exam'!F210="","",'(6).Promotion Exam'!F210)</f>
        <v/>
      </c>
      <c r="T210" s="52" t="str">
        <f>IF('(6).Promotion Exam'!G210="","",'(6).Promotion Exam'!G210)</f>
        <v/>
      </c>
      <c r="U210" s="52" t="str">
        <f>IF('(6).Promotion Exam'!H210="","",'(6).Promotion Exam'!H210)</f>
        <v/>
      </c>
      <c r="V210" s="52" t="str">
        <f>IF('(6).Promotion Exam'!I210="","",'(6).Promotion Exam'!I210)</f>
        <v/>
      </c>
      <c r="W210" s="52" t="str">
        <f>IF('(6).Promotion Exam'!J210="","",'(6).Promotion Exam'!J210)</f>
        <v/>
      </c>
      <c r="X210" s="52" t="str">
        <f>IF('(6).Promotion Exam'!K210="","",'(6).Promotion Exam'!K210)</f>
        <v/>
      </c>
      <c r="Y210" s="52" t="str">
        <f>IF('(6).Promotion Exam'!L210="","",'(6).Promotion Exam'!L210)</f>
        <v/>
      </c>
      <c r="Z210" s="52" t="str">
        <f>IF('(6).Promotion Exam'!M210="","",'(6).Promotion Exam'!M210)</f>
        <v/>
      </c>
      <c r="AA210" s="53" t="str">
        <f>IF(B210="","",IF(P210="Incomplete","Incomplete",IF('(6).Promotion Exam'!N210="Change","Change",IF('(6).Promotion Exam'!N210="Stop","Stop",IF('(6).Promotion Exam'!N210="Incomplete","Incomplete",IF(COUNTBLANK(Q210:Z210)&gt;=1,"Incomplete",P210*20%+SUM(Q210:Z210)*80%))))))</f>
        <v/>
      </c>
      <c r="AB210" s="54" t="str">
        <f t="shared" si="40"/>
        <v/>
      </c>
      <c r="AC210" s="55" t="str">
        <f t="shared" si="41"/>
        <v/>
      </c>
      <c r="AD210" s="55" t="str">
        <f t="shared" si="42"/>
        <v/>
      </c>
      <c r="AE210" s="56" t="str">
        <f t="shared" si="43"/>
        <v/>
      </c>
      <c r="AF210" s="57" t="str">
        <f t="shared" si="44"/>
        <v/>
      </c>
      <c r="AG210" s="97" t="str">
        <f t="shared" si="45"/>
        <v/>
      </c>
      <c r="AH210" s="58" t="str">
        <f t="shared" si="46"/>
        <v/>
      </c>
      <c r="AI210" s="58" t="str">
        <f t="shared" si="47"/>
        <v/>
      </c>
      <c r="AJ210" s="59"/>
    </row>
    <row r="211" spans="1:36" ht="15.95" customHeight="1">
      <c r="A211" s="66">
        <v>25</v>
      </c>
      <c r="B211" s="63" t="str">
        <f>IF('(6).Promotion Exam'!B211="","",'(6).Promotion Exam'!B211)</f>
        <v/>
      </c>
      <c r="C211" s="67" t="str">
        <f>IF('(6).Promotion Exam'!C211="","",'(6).Promotion Exam'!C211)</f>
        <v/>
      </c>
      <c r="D211" s="51" t="str">
        <f>IF('(4).Midterm Results'!D211="","",'(4).Midterm Results'!D211)</f>
        <v/>
      </c>
      <c r="E211" s="52" t="str">
        <f>IF('(4).Midterm Results'!E211="","",'(4).Midterm Results'!E211)</f>
        <v/>
      </c>
      <c r="F211" s="52" t="str">
        <f>IF('(4).Midterm Results'!F211="","",'(4).Midterm Results'!F211)</f>
        <v/>
      </c>
      <c r="G211" s="52" t="str">
        <f>IF('(4).Midterm Results'!G211="","",'(4).Midterm Results'!G211)</f>
        <v/>
      </c>
      <c r="H211" s="52" t="str">
        <f>IF('(4).Midterm Results'!H211="","",'(4).Midterm Results'!H211)</f>
        <v/>
      </c>
      <c r="I211" s="52" t="str">
        <f>IF('(4).Midterm Results'!I211="","",'(4).Midterm Results'!I211)</f>
        <v/>
      </c>
      <c r="J211" s="52" t="str">
        <f>IF('(4).Midterm Results'!J211="","",'(4).Midterm Results'!J211)</f>
        <v/>
      </c>
      <c r="K211" s="52" t="str">
        <f>IF('(4).Midterm Results'!K211="","",'(4).Midterm Results'!K211)</f>
        <v/>
      </c>
      <c r="L211" s="52" t="str">
        <f>IF('(4).Midterm Results'!L211="","",'(4).Midterm Results'!L211)</f>
        <v/>
      </c>
      <c r="M211" s="52" t="str">
        <f>IF('(4).Midterm Results'!M211="","",'(4).Midterm Results'!M211)</f>
        <v/>
      </c>
      <c r="N211" s="52" t="str">
        <f>IF('(4).Midterm Results'!N211="","",'(4).Midterm Results'!N211)</f>
        <v/>
      </c>
      <c r="O211" s="53" t="str">
        <f>IF('(4).Midterm Results'!O211="","",'(4).Midterm Results'!O211)</f>
        <v/>
      </c>
      <c r="P211" s="51" t="str">
        <f>IF('(5).Promotion Daily'!AH211="","",'(5).Promotion Daily'!AH211)</f>
        <v/>
      </c>
      <c r="Q211" s="52" t="str">
        <f>IF('(6).Promotion Exam'!D211="","",'(6).Promotion Exam'!D211)</f>
        <v/>
      </c>
      <c r="R211" s="52" t="str">
        <f>IF('(6).Promotion Exam'!E211="","",'(6).Promotion Exam'!E211)</f>
        <v/>
      </c>
      <c r="S211" s="52" t="str">
        <f>IF('(6).Promotion Exam'!F211="","",'(6).Promotion Exam'!F211)</f>
        <v/>
      </c>
      <c r="T211" s="52" t="str">
        <f>IF('(6).Promotion Exam'!G211="","",'(6).Promotion Exam'!G211)</f>
        <v/>
      </c>
      <c r="U211" s="52" t="str">
        <f>IF('(6).Promotion Exam'!H211="","",'(6).Promotion Exam'!H211)</f>
        <v/>
      </c>
      <c r="V211" s="52" t="str">
        <f>IF('(6).Promotion Exam'!I211="","",'(6).Promotion Exam'!I211)</f>
        <v/>
      </c>
      <c r="W211" s="52" t="str">
        <f>IF('(6).Promotion Exam'!J211="","",'(6).Promotion Exam'!J211)</f>
        <v/>
      </c>
      <c r="X211" s="52" t="str">
        <f>IF('(6).Promotion Exam'!K211="","",'(6).Promotion Exam'!K211)</f>
        <v/>
      </c>
      <c r="Y211" s="52" t="str">
        <f>IF('(6).Promotion Exam'!L211="","",'(6).Promotion Exam'!L211)</f>
        <v/>
      </c>
      <c r="Z211" s="52" t="str">
        <f>IF('(6).Promotion Exam'!M211="","",'(6).Promotion Exam'!M211)</f>
        <v/>
      </c>
      <c r="AA211" s="53" t="str">
        <f>IF(B211="","",IF(P211="Incomplete","Incomplete",IF('(6).Promotion Exam'!N211="Change","Change",IF('(6).Promotion Exam'!N211="Stop","Stop",IF('(6).Promotion Exam'!N211="Incomplete","Incomplete",IF(COUNTBLANK(Q211:Z211)&gt;=1,"Incomplete",P211*20%+SUM(Q211:Z211)*80%))))))</f>
        <v/>
      </c>
      <c r="AB211" s="54" t="str">
        <f t="shared" si="40"/>
        <v/>
      </c>
      <c r="AC211" s="55" t="str">
        <f t="shared" si="41"/>
        <v/>
      </c>
      <c r="AD211" s="55" t="str">
        <f t="shared" si="42"/>
        <v/>
      </c>
      <c r="AE211" s="56" t="str">
        <f t="shared" si="43"/>
        <v/>
      </c>
      <c r="AF211" s="57" t="str">
        <f t="shared" si="44"/>
        <v/>
      </c>
      <c r="AG211" s="97" t="str">
        <f t="shared" si="45"/>
        <v/>
      </c>
      <c r="AH211" s="58" t="str">
        <f t="shared" si="46"/>
        <v/>
      </c>
      <c r="AI211" s="58" t="str">
        <f t="shared" si="47"/>
        <v/>
      </c>
      <c r="AJ211" s="59"/>
    </row>
    <row r="212" spans="1:36" ht="15.95" customHeight="1">
      <c r="A212" s="66">
        <v>26</v>
      </c>
      <c r="B212" s="63" t="str">
        <f>IF('(6).Promotion Exam'!B212="","",'(6).Promotion Exam'!B212)</f>
        <v/>
      </c>
      <c r="C212" s="67" t="str">
        <f>IF('(6).Promotion Exam'!C212="","",'(6).Promotion Exam'!C212)</f>
        <v/>
      </c>
      <c r="D212" s="51" t="str">
        <f>IF('(4).Midterm Results'!D212="","",'(4).Midterm Results'!D212)</f>
        <v/>
      </c>
      <c r="E212" s="52" t="str">
        <f>IF('(4).Midterm Results'!E212="","",'(4).Midterm Results'!E212)</f>
        <v/>
      </c>
      <c r="F212" s="52" t="str">
        <f>IF('(4).Midterm Results'!F212="","",'(4).Midterm Results'!F212)</f>
        <v/>
      </c>
      <c r="G212" s="52" t="str">
        <f>IF('(4).Midterm Results'!G212="","",'(4).Midterm Results'!G212)</f>
        <v/>
      </c>
      <c r="H212" s="52" t="str">
        <f>IF('(4).Midterm Results'!H212="","",'(4).Midterm Results'!H212)</f>
        <v/>
      </c>
      <c r="I212" s="52" t="str">
        <f>IF('(4).Midterm Results'!I212="","",'(4).Midterm Results'!I212)</f>
        <v/>
      </c>
      <c r="J212" s="52" t="str">
        <f>IF('(4).Midterm Results'!J212="","",'(4).Midterm Results'!J212)</f>
        <v/>
      </c>
      <c r="K212" s="52" t="str">
        <f>IF('(4).Midterm Results'!K212="","",'(4).Midterm Results'!K212)</f>
        <v/>
      </c>
      <c r="L212" s="52" t="str">
        <f>IF('(4).Midterm Results'!L212="","",'(4).Midterm Results'!L212)</f>
        <v/>
      </c>
      <c r="M212" s="52" t="str">
        <f>IF('(4).Midterm Results'!M212="","",'(4).Midterm Results'!M212)</f>
        <v/>
      </c>
      <c r="N212" s="52" t="str">
        <f>IF('(4).Midterm Results'!N212="","",'(4).Midterm Results'!N212)</f>
        <v/>
      </c>
      <c r="O212" s="53" t="str">
        <f>IF('(4).Midterm Results'!O212="","",'(4).Midterm Results'!O212)</f>
        <v/>
      </c>
      <c r="P212" s="51" t="str">
        <f>IF('(5).Promotion Daily'!AH212="","",'(5).Promotion Daily'!AH212)</f>
        <v/>
      </c>
      <c r="Q212" s="52" t="str">
        <f>IF('(6).Promotion Exam'!D212="","",'(6).Promotion Exam'!D212)</f>
        <v/>
      </c>
      <c r="R212" s="52" t="str">
        <f>IF('(6).Promotion Exam'!E212="","",'(6).Promotion Exam'!E212)</f>
        <v/>
      </c>
      <c r="S212" s="52" t="str">
        <f>IF('(6).Promotion Exam'!F212="","",'(6).Promotion Exam'!F212)</f>
        <v/>
      </c>
      <c r="T212" s="52" t="str">
        <f>IF('(6).Promotion Exam'!G212="","",'(6).Promotion Exam'!G212)</f>
        <v/>
      </c>
      <c r="U212" s="52" t="str">
        <f>IF('(6).Promotion Exam'!H212="","",'(6).Promotion Exam'!H212)</f>
        <v/>
      </c>
      <c r="V212" s="52" t="str">
        <f>IF('(6).Promotion Exam'!I212="","",'(6).Promotion Exam'!I212)</f>
        <v/>
      </c>
      <c r="W212" s="52" t="str">
        <f>IF('(6).Promotion Exam'!J212="","",'(6).Promotion Exam'!J212)</f>
        <v/>
      </c>
      <c r="X212" s="52" t="str">
        <f>IF('(6).Promotion Exam'!K212="","",'(6).Promotion Exam'!K212)</f>
        <v/>
      </c>
      <c r="Y212" s="52" t="str">
        <f>IF('(6).Promotion Exam'!L212="","",'(6).Promotion Exam'!L212)</f>
        <v/>
      </c>
      <c r="Z212" s="52" t="str">
        <f>IF('(6).Promotion Exam'!M212="","",'(6).Promotion Exam'!M212)</f>
        <v/>
      </c>
      <c r="AA212" s="53" t="str">
        <f>IF(B212="","",IF(P212="Incomplete","Incomplete",IF('(6).Promotion Exam'!N212="Change","Change",IF('(6).Promotion Exam'!N212="Stop","Stop",IF('(6).Promotion Exam'!N212="Incomplete","Incomplete",IF(COUNTBLANK(Q212:Z212)&gt;=1,"Incomplete",P212*20%+SUM(Q212:Z212)*80%))))))</f>
        <v/>
      </c>
      <c r="AB212" s="54" t="str">
        <f t="shared" si="40"/>
        <v/>
      </c>
      <c r="AC212" s="55" t="str">
        <f t="shared" si="41"/>
        <v/>
      </c>
      <c r="AD212" s="55" t="str">
        <f t="shared" si="42"/>
        <v/>
      </c>
      <c r="AE212" s="56" t="str">
        <f t="shared" si="43"/>
        <v/>
      </c>
      <c r="AF212" s="57" t="str">
        <f t="shared" si="44"/>
        <v/>
      </c>
      <c r="AG212" s="97" t="str">
        <f t="shared" si="45"/>
        <v/>
      </c>
      <c r="AH212" s="58" t="str">
        <f t="shared" si="46"/>
        <v/>
      </c>
      <c r="AI212" s="58" t="str">
        <f t="shared" si="47"/>
        <v/>
      </c>
      <c r="AJ212" s="59"/>
    </row>
    <row r="213" spans="1:36" ht="15.95" customHeight="1">
      <c r="A213" s="66">
        <v>27</v>
      </c>
      <c r="B213" s="63" t="str">
        <f>IF('(6).Promotion Exam'!B213="","",'(6).Promotion Exam'!B213)</f>
        <v/>
      </c>
      <c r="C213" s="67" t="str">
        <f>IF('(6).Promotion Exam'!C213="","",'(6).Promotion Exam'!C213)</f>
        <v/>
      </c>
      <c r="D213" s="51" t="str">
        <f>IF('(4).Midterm Results'!D213="","",'(4).Midterm Results'!D213)</f>
        <v/>
      </c>
      <c r="E213" s="52" t="str">
        <f>IF('(4).Midterm Results'!E213="","",'(4).Midterm Results'!E213)</f>
        <v/>
      </c>
      <c r="F213" s="52" t="str">
        <f>IF('(4).Midterm Results'!F213="","",'(4).Midterm Results'!F213)</f>
        <v/>
      </c>
      <c r="G213" s="52" t="str">
        <f>IF('(4).Midterm Results'!G213="","",'(4).Midterm Results'!G213)</f>
        <v/>
      </c>
      <c r="H213" s="52" t="str">
        <f>IF('(4).Midterm Results'!H213="","",'(4).Midterm Results'!H213)</f>
        <v/>
      </c>
      <c r="I213" s="52" t="str">
        <f>IF('(4).Midterm Results'!I213="","",'(4).Midterm Results'!I213)</f>
        <v/>
      </c>
      <c r="J213" s="52" t="str">
        <f>IF('(4).Midterm Results'!J213="","",'(4).Midterm Results'!J213)</f>
        <v/>
      </c>
      <c r="K213" s="52" t="str">
        <f>IF('(4).Midterm Results'!K213="","",'(4).Midterm Results'!K213)</f>
        <v/>
      </c>
      <c r="L213" s="52" t="str">
        <f>IF('(4).Midterm Results'!L213="","",'(4).Midterm Results'!L213)</f>
        <v/>
      </c>
      <c r="M213" s="52" t="str">
        <f>IF('(4).Midterm Results'!M213="","",'(4).Midterm Results'!M213)</f>
        <v/>
      </c>
      <c r="N213" s="52" t="str">
        <f>IF('(4).Midterm Results'!N213="","",'(4).Midterm Results'!N213)</f>
        <v/>
      </c>
      <c r="O213" s="53" t="str">
        <f>IF('(4).Midterm Results'!O213="","",'(4).Midterm Results'!O213)</f>
        <v/>
      </c>
      <c r="P213" s="51" t="str">
        <f>IF('(5).Promotion Daily'!AH213="","",'(5).Promotion Daily'!AH213)</f>
        <v/>
      </c>
      <c r="Q213" s="52" t="str">
        <f>IF('(6).Promotion Exam'!D213="","",'(6).Promotion Exam'!D213)</f>
        <v/>
      </c>
      <c r="R213" s="52" t="str">
        <f>IF('(6).Promotion Exam'!E213="","",'(6).Promotion Exam'!E213)</f>
        <v/>
      </c>
      <c r="S213" s="52" t="str">
        <f>IF('(6).Promotion Exam'!F213="","",'(6).Promotion Exam'!F213)</f>
        <v/>
      </c>
      <c r="T213" s="52" t="str">
        <f>IF('(6).Promotion Exam'!G213="","",'(6).Promotion Exam'!G213)</f>
        <v/>
      </c>
      <c r="U213" s="52" t="str">
        <f>IF('(6).Promotion Exam'!H213="","",'(6).Promotion Exam'!H213)</f>
        <v/>
      </c>
      <c r="V213" s="52" t="str">
        <f>IF('(6).Promotion Exam'!I213="","",'(6).Promotion Exam'!I213)</f>
        <v/>
      </c>
      <c r="W213" s="52" t="str">
        <f>IF('(6).Promotion Exam'!J213="","",'(6).Promotion Exam'!J213)</f>
        <v/>
      </c>
      <c r="X213" s="52" t="str">
        <f>IF('(6).Promotion Exam'!K213="","",'(6).Promotion Exam'!K213)</f>
        <v/>
      </c>
      <c r="Y213" s="52" t="str">
        <f>IF('(6).Promotion Exam'!L213="","",'(6).Promotion Exam'!L213)</f>
        <v/>
      </c>
      <c r="Z213" s="52" t="str">
        <f>IF('(6).Promotion Exam'!M213="","",'(6).Promotion Exam'!M213)</f>
        <v/>
      </c>
      <c r="AA213" s="53" t="str">
        <f>IF(B213="","",IF(P213="Incomplete","Incomplete",IF('(6).Promotion Exam'!N213="Change","Change",IF('(6).Promotion Exam'!N213="Stop","Stop",IF('(6).Promotion Exam'!N213="Incomplete","Incomplete",IF(COUNTBLANK(Q213:Z213)&gt;=1,"Incomplete",P213*20%+SUM(Q213:Z213)*80%))))))</f>
        <v/>
      </c>
      <c r="AB213" s="54" t="str">
        <f t="shared" si="40"/>
        <v/>
      </c>
      <c r="AC213" s="55" t="str">
        <f t="shared" si="41"/>
        <v/>
      </c>
      <c r="AD213" s="55" t="str">
        <f t="shared" si="42"/>
        <v/>
      </c>
      <c r="AE213" s="56" t="str">
        <f t="shared" si="43"/>
        <v/>
      </c>
      <c r="AF213" s="57" t="str">
        <f t="shared" si="44"/>
        <v/>
      </c>
      <c r="AG213" s="97" t="str">
        <f t="shared" si="45"/>
        <v/>
      </c>
      <c r="AH213" s="58" t="str">
        <f t="shared" si="46"/>
        <v/>
      </c>
      <c r="AI213" s="58" t="str">
        <f t="shared" si="47"/>
        <v/>
      </c>
      <c r="AJ213" s="59"/>
    </row>
    <row r="214" spans="1:36" ht="15.95" customHeight="1">
      <c r="A214" s="66">
        <v>28</v>
      </c>
      <c r="B214" s="63" t="str">
        <f>IF('(6).Promotion Exam'!B214="","",'(6).Promotion Exam'!B214)</f>
        <v/>
      </c>
      <c r="C214" s="67" t="str">
        <f>IF('(6).Promotion Exam'!C214="","",'(6).Promotion Exam'!C214)</f>
        <v/>
      </c>
      <c r="D214" s="51" t="str">
        <f>IF('(4).Midterm Results'!D214="","",'(4).Midterm Results'!D214)</f>
        <v/>
      </c>
      <c r="E214" s="52" t="str">
        <f>IF('(4).Midterm Results'!E214="","",'(4).Midterm Results'!E214)</f>
        <v/>
      </c>
      <c r="F214" s="52" t="str">
        <f>IF('(4).Midterm Results'!F214="","",'(4).Midterm Results'!F214)</f>
        <v/>
      </c>
      <c r="G214" s="52" t="str">
        <f>IF('(4).Midterm Results'!G214="","",'(4).Midterm Results'!G214)</f>
        <v/>
      </c>
      <c r="H214" s="52" t="str">
        <f>IF('(4).Midterm Results'!H214="","",'(4).Midterm Results'!H214)</f>
        <v/>
      </c>
      <c r="I214" s="52" t="str">
        <f>IF('(4).Midterm Results'!I214="","",'(4).Midterm Results'!I214)</f>
        <v/>
      </c>
      <c r="J214" s="52" t="str">
        <f>IF('(4).Midterm Results'!J214="","",'(4).Midterm Results'!J214)</f>
        <v/>
      </c>
      <c r="K214" s="52" t="str">
        <f>IF('(4).Midterm Results'!K214="","",'(4).Midterm Results'!K214)</f>
        <v/>
      </c>
      <c r="L214" s="52" t="str">
        <f>IF('(4).Midterm Results'!L214="","",'(4).Midterm Results'!L214)</f>
        <v/>
      </c>
      <c r="M214" s="52" t="str">
        <f>IF('(4).Midterm Results'!M214="","",'(4).Midterm Results'!M214)</f>
        <v/>
      </c>
      <c r="N214" s="52" t="str">
        <f>IF('(4).Midterm Results'!N214="","",'(4).Midterm Results'!N214)</f>
        <v/>
      </c>
      <c r="O214" s="53" t="str">
        <f>IF('(4).Midterm Results'!O214="","",'(4).Midterm Results'!O214)</f>
        <v/>
      </c>
      <c r="P214" s="51" t="str">
        <f>IF('(5).Promotion Daily'!AH214="","",'(5).Promotion Daily'!AH214)</f>
        <v/>
      </c>
      <c r="Q214" s="52" t="str">
        <f>IF('(6).Promotion Exam'!D214="","",'(6).Promotion Exam'!D214)</f>
        <v/>
      </c>
      <c r="R214" s="52" t="str">
        <f>IF('(6).Promotion Exam'!E214="","",'(6).Promotion Exam'!E214)</f>
        <v/>
      </c>
      <c r="S214" s="52" t="str">
        <f>IF('(6).Promotion Exam'!F214="","",'(6).Promotion Exam'!F214)</f>
        <v/>
      </c>
      <c r="T214" s="52" t="str">
        <f>IF('(6).Promotion Exam'!G214="","",'(6).Promotion Exam'!G214)</f>
        <v/>
      </c>
      <c r="U214" s="52" t="str">
        <f>IF('(6).Promotion Exam'!H214="","",'(6).Promotion Exam'!H214)</f>
        <v/>
      </c>
      <c r="V214" s="52" t="str">
        <f>IF('(6).Promotion Exam'!I214="","",'(6).Promotion Exam'!I214)</f>
        <v/>
      </c>
      <c r="W214" s="52" t="str">
        <f>IF('(6).Promotion Exam'!J214="","",'(6).Promotion Exam'!J214)</f>
        <v/>
      </c>
      <c r="X214" s="52" t="str">
        <f>IF('(6).Promotion Exam'!K214="","",'(6).Promotion Exam'!K214)</f>
        <v/>
      </c>
      <c r="Y214" s="52" t="str">
        <f>IF('(6).Promotion Exam'!L214="","",'(6).Promotion Exam'!L214)</f>
        <v/>
      </c>
      <c r="Z214" s="52" t="str">
        <f>IF('(6).Promotion Exam'!M214="","",'(6).Promotion Exam'!M214)</f>
        <v/>
      </c>
      <c r="AA214" s="53" t="str">
        <f>IF(B214="","",IF(P214="Incomplete","Incomplete",IF('(6).Promotion Exam'!N214="Change","Change",IF('(6).Promotion Exam'!N214="Stop","Stop",IF('(6).Promotion Exam'!N214="Incomplete","Incomplete",IF(COUNTBLANK(Q214:Z214)&gt;=1,"Incomplete",P214*20%+SUM(Q214:Z214)*80%))))))</f>
        <v/>
      </c>
      <c r="AB214" s="54" t="str">
        <f t="shared" si="40"/>
        <v/>
      </c>
      <c r="AC214" s="55" t="str">
        <f t="shared" si="41"/>
        <v/>
      </c>
      <c r="AD214" s="55" t="str">
        <f t="shared" si="42"/>
        <v/>
      </c>
      <c r="AE214" s="56" t="str">
        <f t="shared" si="43"/>
        <v/>
      </c>
      <c r="AF214" s="57" t="str">
        <f t="shared" si="44"/>
        <v/>
      </c>
      <c r="AG214" s="97" t="str">
        <f t="shared" si="45"/>
        <v/>
      </c>
      <c r="AH214" s="58" t="str">
        <f t="shared" si="46"/>
        <v/>
      </c>
      <c r="AI214" s="58" t="str">
        <f t="shared" si="47"/>
        <v/>
      </c>
      <c r="AJ214" s="59"/>
    </row>
    <row r="215" spans="1:36" ht="15.95" customHeight="1">
      <c r="A215" s="66">
        <v>29</v>
      </c>
      <c r="B215" s="63" t="str">
        <f>IF('(6).Promotion Exam'!B215="","",'(6).Promotion Exam'!B215)</f>
        <v/>
      </c>
      <c r="C215" s="67" t="str">
        <f>IF('(6).Promotion Exam'!C215="","",'(6).Promotion Exam'!C215)</f>
        <v/>
      </c>
      <c r="D215" s="51" t="str">
        <f>IF('(4).Midterm Results'!D215="","",'(4).Midterm Results'!D215)</f>
        <v/>
      </c>
      <c r="E215" s="52" t="str">
        <f>IF('(4).Midterm Results'!E215="","",'(4).Midterm Results'!E215)</f>
        <v/>
      </c>
      <c r="F215" s="52" t="str">
        <f>IF('(4).Midterm Results'!F215="","",'(4).Midterm Results'!F215)</f>
        <v/>
      </c>
      <c r="G215" s="52" t="str">
        <f>IF('(4).Midterm Results'!G215="","",'(4).Midterm Results'!G215)</f>
        <v/>
      </c>
      <c r="H215" s="52" t="str">
        <f>IF('(4).Midterm Results'!H215="","",'(4).Midterm Results'!H215)</f>
        <v/>
      </c>
      <c r="I215" s="52" t="str">
        <f>IF('(4).Midterm Results'!I215="","",'(4).Midterm Results'!I215)</f>
        <v/>
      </c>
      <c r="J215" s="52" t="str">
        <f>IF('(4).Midterm Results'!J215="","",'(4).Midterm Results'!J215)</f>
        <v/>
      </c>
      <c r="K215" s="52" t="str">
        <f>IF('(4).Midterm Results'!K215="","",'(4).Midterm Results'!K215)</f>
        <v/>
      </c>
      <c r="L215" s="52" t="str">
        <f>IF('(4).Midterm Results'!L215="","",'(4).Midterm Results'!L215)</f>
        <v/>
      </c>
      <c r="M215" s="52" t="str">
        <f>IF('(4).Midterm Results'!M215="","",'(4).Midterm Results'!M215)</f>
        <v/>
      </c>
      <c r="N215" s="52" t="str">
        <f>IF('(4).Midterm Results'!N215="","",'(4).Midterm Results'!N215)</f>
        <v/>
      </c>
      <c r="O215" s="53" t="str">
        <f>IF('(4).Midterm Results'!O215="","",'(4).Midterm Results'!O215)</f>
        <v/>
      </c>
      <c r="P215" s="51" t="str">
        <f>IF('(5).Promotion Daily'!AH215="","",'(5).Promotion Daily'!AH215)</f>
        <v/>
      </c>
      <c r="Q215" s="52" t="str">
        <f>IF('(6).Promotion Exam'!D215="","",'(6).Promotion Exam'!D215)</f>
        <v/>
      </c>
      <c r="R215" s="52" t="str">
        <f>IF('(6).Promotion Exam'!E215="","",'(6).Promotion Exam'!E215)</f>
        <v/>
      </c>
      <c r="S215" s="52" t="str">
        <f>IF('(6).Promotion Exam'!F215="","",'(6).Promotion Exam'!F215)</f>
        <v/>
      </c>
      <c r="T215" s="52" t="str">
        <f>IF('(6).Promotion Exam'!G215="","",'(6).Promotion Exam'!G215)</f>
        <v/>
      </c>
      <c r="U215" s="52" t="str">
        <f>IF('(6).Promotion Exam'!H215="","",'(6).Promotion Exam'!H215)</f>
        <v/>
      </c>
      <c r="V215" s="52" t="str">
        <f>IF('(6).Promotion Exam'!I215="","",'(6).Promotion Exam'!I215)</f>
        <v/>
      </c>
      <c r="W215" s="52" t="str">
        <f>IF('(6).Promotion Exam'!J215="","",'(6).Promotion Exam'!J215)</f>
        <v/>
      </c>
      <c r="X215" s="52" t="str">
        <f>IF('(6).Promotion Exam'!K215="","",'(6).Promotion Exam'!K215)</f>
        <v/>
      </c>
      <c r="Y215" s="52" t="str">
        <f>IF('(6).Promotion Exam'!L215="","",'(6).Promotion Exam'!L215)</f>
        <v/>
      </c>
      <c r="Z215" s="52" t="str">
        <f>IF('(6).Promotion Exam'!M215="","",'(6).Promotion Exam'!M215)</f>
        <v/>
      </c>
      <c r="AA215" s="53" t="str">
        <f>IF(B215="","",IF(P215="Incomplete","Incomplete",IF('(6).Promotion Exam'!N215="Change","Change",IF('(6).Promotion Exam'!N215="Stop","Stop",IF('(6).Promotion Exam'!N215="Incomplete","Incomplete",IF(COUNTBLANK(Q215:Z215)&gt;=1,"Incomplete",P215*20%+SUM(Q215:Z215)*80%))))))</f>
        <v/>
      </c>
      <c r="AB215" s="54" t="str">
        <f t="shared" si="40"/>
        <v/>
      </c>
      <c r="AC215" s="55" t="str">
        <f t="shared" si="41"/>
        <v/>
      </c>
      <c r="AD215" s="55" t="str">
        <f t="shared" si="42"/>
        <v/>
      </c>
      <c r="AE215" s="56" t="str">
        <f t="shared" si="43"/>
        <v/>
      </c>
      <c r="AF215" s="57" t="str">
        <f t="shared" si="44"/>
        <v/>
      </c>
      <c r="AG215" s="97" t="str">
        <f t="shared" si="45"/>
        <v/>
      </c>
      <c r="AH215" s="58" t="str">
        <f t="shared" si="46"/>
        <v/>
      </c>
      <c r="AI215" s="58" t="str">
        <f t="shared" si="47"/>
        <v/>
      </c>
      <c r="AJ215" s="59"/>
    </row>
    <row r="216" spans="1:36" ht="15.95" customHeight="1">
      <c r="A216" s="66">
        <v>30</v>
      </c>
      <c r="B216" s="63" t="str">
        <f>IF('(6).Promotion Exam'!B216="","",'(6).Promotion Exam'!B216)</f>
        <v/>
      </c>
      <c r="C216" s="67" t="str">
        <f>IF('(6).Promotion Exam'!C216="","",'(6).Promotion Exam'!C216)</f>
        <v/>
      </c>
      <c r="D216" s="51" t="str">
        <f>IF('(4).Midterm Results'!D216="","",'(4).Midterm Results'!D216)</f>
        <v/>
      </c>
      <c r="E216" s="52" t="str">
        <f>IF('(4).Midterm Results'!E216="","",'(4).Midterm Results'!E216)</f>
        <v/>
      </c>
      <c r="F216" s="52" t="str">
        <f>IF('(4).Midterm Results'!F216="","",'(4).Midterm Results'!F216)</f>
        <v/>
      </c>
      <c r="G216" s="52" t="str">
        <f>IF('(4).Midterm Results'!G216="","",'(4).Midterm Results'!G216)</f>
        <v/>
      </c>
      <c r="H216" s="52" t="str">
        <f>IF('(4).Midterm Results'!H216="","",'(4).Midterm Results'!H216)</f>
        <v/>
      </c>
      <c r="I216" s="52" t="str">
        <f>IF('(4).Midterm Results'!I216="","",'(4).Midterm Results'!I216)</f>
        <v/>
      </c>
      <c r="J216" s="52" t="str">
        <f>IF('(4).Midterm Results'!J216="","",'(4).Midterm Results'!J216)</f>
        <v/>
      </c>
      <c r="K216" s="52" t="str">
        <f>IF('(4).Midterm Results'!K216="","",'(4).Midterm Results'!K216)</f>
        <v/>
      </c>
      <c r="L216" s="52" t="str">
        <f>IF('(4).Midterm Results'!L216="","",'(4).Midterm Results'!L216)</f>
        <v/>
      </c>
      <c r="M216" s="52" t="str">
        <f>IF('(4).Midterm Results'!M216="","",'(4).Midterm Results'!M216)</f>
        <v/>
      </c>
      <c r="N216" s="52" t="str">
        <f>IF('(4).Midterm Results'!N216="","",'(4).Midterm Results'!N216)</f>
        <v/>
      </c>
      <c r="O216" s="53" t="str">
        <f>IF('(4).Midterm Results'!O216="","",'(4).Midterm Results'!O216)</f>
        <v/>
      </c>
      <c r="P216" s="51" t="str">
        <f>IF('(5).Promotion Daily'!AH216="","",'(5).Promotion Daily'!AH216)</f>
        <v/>
      </c>
      <c r="Q216" s="52" t="str">
        <f>IF('(6).Promotion Exam'!D216="","",'(6).Promotion Exam'!D216)</f>
        <v/>
      </c>
      <c r="R216" s="52" t="str">
        <f>IF('(6).Promotion Exam'!E216="","",'(6).Promotion Exam'!E216)</f>
        <v/>
      </c>
      <c r="S216" s="52" t="str">
        <f>IF('(6).Promotion Exam'!F216="","",'(6).Promotion Exam'!F216)</f>
        <v/>
      </c>
      <c r="T216" s="52" t="str">
        <f>IF('(6).Promotion Exam'!G216="","",'(6).Promotion Exam'!G216)</f>
        <v/>
      </c>
      <c r="U216" s="52" t="str">
        <f>IF('(6).Promotion Exam'!H216="","",'(6).Promotion Exam'!H216)</f>
        <v/>
      </c>
      <c r="V216" s="52" t="str">
        <f>IF('(6).Promotion Exam'!I216="","",'(6).Promotion Exam'!I216)</f>
        <v/>
      </c>
      <c r="W216" s="52" t="str">
        <f>IF('(6).Promotion Exam'!J216="","",'(6).Promotion Exam'!J216)</f>
        <v/>
      </c>
      <c r="X216" s="52" t="str">
        <f>IF('(6).Promotion Exam'!K216="","",'(6).Promotion Exam'!K216)</f>
        <v/>
      </c>
      <c r="Y216" s="52" t="str">
        <f>IF('(6).Promotion Exam'!L216="","",'(6).Promotion Exam'!L216)</f>
        <v/>
      </c>
      <c r="Z216" s="52" t="str">
        <f>IF('(6).Promotion Exam'!M216="","",'(6).Promotion Exam'!M216)</f>
        <v/>
      </c>
      <c r="AA216" s="53" t="str">
        <f>IF(B216="","",IF(P216="Incomplete","Incomplete",IF('(6).Promotion Exam'!N216="Change","Change",IF('(6).Promotion Exam'!N216="Stop","Stop",IF('(6).Promotion Exam'!N216="Incomplete","Incomplete",IF(COUNTBLANK(Q216:Z216)&gt;=1,"Incomplete",P216*20%+SUM(Q216:Z216)*80%))))))</f>
        <v/>
      </c>
      <c r="AB216" s="54" t="str">
        <f t="shared" si="40"/>
        <v/>
      </c>
      <c r="AC216" s="55" t="str">
        <f t="shared" si="41"/>
        <v/>
      </c>
      <c r="AD216" s="55" t="str">
        <f t="shared" si="42"/>
        <v/>
      </c>
      <c r="AE216" s="56" t="str">
        <f t="shared" si="43"/>
        <v/>
      </c>
      <c r="AF216" s="57" t="str">
        <f t="shared" si="44"/>
        <v/>
      </c>
      <c r="AG216" s="97" t="str">
        <f t="shared" si="45"/>
        <v/>
      </c>
      <c r="AH216" s="58" t="str">
        <f t="shared" si="46"/>
        <v/>
      </c>
      <c r="AI216" s="58" t="str">
        <f t="shared" si="47"/>
        <v/>
      </c>
      <c r="AJ216" s="59"/>
    </row>
  </sheetData>
  <mergeCells count="84">
    <mergeCell ref="D145:AA145"/>
    <mergeCell ref="D146:AA146"/>
    <mergeCell ref="D147:AA147"/>
    <mergeCell ref="E148:N148"/>
    <mergeCell ref="Q148:Z148"/>
    <mergeCell ref="D181:AA181"/>
    <mergeCell ref="D182:AA182"/>
    <mergeCell ref="D183:AA183"/>
    <mergeCell ref="E184:N184"/>
    <mergeCell ref="Q184:Z184"/>
    <mergeCell ref="D111:AA111"/>
    <mergeCell ref="E112:N112"/>
    <mergeCell ref="Q112:Z112"/>
    <mergeCell ref="D73:AA73"/>
    <mergeCell ref="D74:AA74"/>
    <mergeCell ref="D75:AA75"/>
    <mergeCell ref="E76:N76"/>
    <mergeCell ref="Q76:Z76"/>
    <mergeCell ref="D39:AA39"/>
    <mergeCell ref="E40:N40"/>
    <mergeCell ref="Q40:Z40"/>
    <mergeCell ref="D109:AA109"/>
    <mergeCell ref="D110:AA110"/>
    <mergeCell ref="D37:AA37"/>
    <mergeCell ref="D38:AA38"/>
    <mergeCell ref="AH5:AH6"/>
    <mergeCell ref="AI5:AI6"/>
    <mergeCell ref="AF5:AF6"/>
    <mergeCell ref="AG5:AG6"/>
    <mergeCell ref="E4:N4"/>
    <mergeCell ref="D1:AA1"/>
    <mergeCell ref="Q4:Z4"/>
    <mergeCell ref="D2:AA2"/>
    <mergeCell ref="D3:AA3"/>
    <mergeCell ref="AE185:AE186"/>
    <mergeCell ref="AF185:AF186"/>
    <mergeCell ref="AH185:AH186"/>
    <mergeCell ref="AI185:AI186"/>
    <mergeCell ref="AC149:AC150"/>
    <mergeCell ref="AD149:AD150"/>
    <mergeCell ref="AE149:AE150"/>
    <mergeCell ref="AF149:AF150"/>
    <mergeCell ref="AH149:AH150"/>
    <mergeCell ref="AI149:AI150"/>
    <mergeCell ref="AC185:AC186"/>
    <mergeCell ref="AD185:AD186"/>
    <mergeCell ref="AG149:AG150"/>
    <mergeCell ref="AG185:AG186"/>
    <mergeCell ref="AI77:AI78"/>
    <mergeCell ref="AC113:AC114"/>
    <mergeCell ref="AD113:AD114"/>
    <mergeCell ref="AE113:AE114"/>
    <mergeCell ref="AF113:AF114"/>
    <mergeCell ref="AC77:AC78"/>
    <mergeCell ref="AD77:AD78"/>
    <mergeCell ref="AE77:AE78"/>
    <mergeCell ref="AF77:AF78"/>
    <mergeCell ref="AH77:AH78"/>
    <mergeCell ref="AB112:AE112"/>
    <mergeCell ref="AF112:AJ112"/>
    <mergeCell ref="AG77:AG78"/>
    <mergeCell ref="AG113:AG114"/>
    <mergeCell ref="AB4:AE4"/>
    <mergeCell ref="AF4:AJ4"/>
    <mergeCell ref="AB40:AE40"/>
    <mergeCell ref="AF40:AJ40"/>
    <mergeCell ref="AB76:AE76"/>
    <mergeCell ref="AF76:AJ76"/>
    <mergeCell ref="AI41:AI42"/>
    <mergeCell ref="AC5:AC6"/>
    <mergeCell ref="AD5:AD6"/>
    <mergeCell ref="AE5:AE6"/>
    <mergeCell ref="AC41:AC42"/>
    <mergeCell ref="AD41:AD42"/>
    <mergeCell ref="AE41:AE42"/>
    <mergeCell ref="AF41:AF42"/>
    <mergeCell ref="AH41:AH42"/>
    <mergeCell ref="AG41:AG42"/>
    <mergeCell ref="AB148:AE148"/>
    <mergeCell ref="AF148:AJ148"/>
    <mergeCell ref="AB184:AE184"/>
    <mergeCell ref="AF184:AJ184"/>
    <mergeCell ref="AH113:AH114"/>
    <mergeCell ref="AI113:AI114"/>
  </mergeCells>
  <conditionalFormatting sqref="A7:AJ36">
    <cfRule type="expression" dxfId="5" priority="45">
      <formula>$AB7=""</formula>
    </cfRule>
  </conditionalFormatting>
  <conditionalFormatting sqref="A43:AJ72">
    <cfRule type="expression" dxfId="4" priority="5">
      <formula>$AB43=""</formula>
    </cfRule>
  </conditionalFormatting>
  <conditionalFormatting sqref="A79:AJ108">
    <cfRule type="expression" dxfId="3" priority="4">
      <formula>$AB79=""</formula>
    </cfRule>
  </conditionalFormatting>
  <conditionalFormatting sqref="A115:AJ144">
    <cfRule type="expression" dxfId="2" priority="3">
      <formula>$AB115=""</formula>
    </cfRule>
  </conditionalFormatting>
  <conditionalFormatting sqref="A151:AJ180">
    <cfRule type="expression" dxfId="1" priority="2">
      <formula>$AB151=""</formula>
    </cfRule>
  </conditionalFormatting>
  <conditionalFormatting sqref="A187:AJ216">
    <cfRule type="expression" dxfId="0" priority="1">
      <formula>$AB187=""</formula>
    </cfRule>
  </conditionalFormatting>
  <printOptions horizontalCentered="1" verticalCentered="1"/>
  <pageMargins left="0" right="0" top="0.25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</vt:lpstr>
      <vt:lpstr>How to record the scores</vt:lpstr>
      <vt:lpstr>(1).Classes</vt:lpstr>
      <vt:lpstr>(2).Midterm Daily</vt:lpstr>
      <vt:lpstr>(3).Midterm Exam</vt:lpstr>
      <vt:lpstr>(4).Midterm Results</vt:lpstr>
      <vt:lpstr>Individual Midterm Result</vt:lpstr>
      <vt:lpstr>(5).Promotion Daily</vt:lpstr>
      <vt:lpstr>(6).Promotion Exam</vt:lpstr>
      <vt:lpstr>(7).Promotion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Bunly Chhim</cp:lastModifiedBy>
  <cp:lastPrinted>2025-11-07T10:09:27Z</cp:lastPrinted>
  <dcterms:created xsi:type="dcterms:W3CDTF">2015-06-05T18:17:20Z</dcterms:created>
  <dcterms:modified xsi:type="dcterms:W3CDTF">2026-02-13T09:39:38Z</dcterms:modified>
</cp:coreProperties>
</file>